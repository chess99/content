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100510c3694769" /></Relationships>
</file>

<file path=xl/workbook.xml><?xml version="1.0" encoding="utf-8"?>
<x:workbook xmlns:x="http://schemas.openxmlformats.org/spreadsheetml/2006/main">
  <x:sheets>
    <x:sheet xmlns:r="http://schemas.openxmlformats.org/officeDocument/2006/relationships" name="结论看板" sheetId="1" r:id="R330913059ff64d5f"/>
    <x:sheet xmlns:r="http://schemas.openxmlformats.org/officeDocument/2006/relationships" name="入口概览" sheetId="2" r:id="Ra0171fddde224dc7"/>
    <x:sheet xmlns:r="http://schemas.openxmlformats.org/officeDocument/2006/relationships" name="行业统计" sheetId="3" r:id="Ra745d1a75aba4c6b"/>
    <x:sheet xmlns:r="http://schemas.openxmlformats.org/officeDocument/2006/relationships" name="代表案例" sheetId="4" r:id="R962e0d6aa87c479a"/>
    <x:sheet xmlns:r="http://schemas.openxmlformats.org/officeDocument/2006/relationships" name="来源明细" sheetId="5" r:id="R38811b8686024cd0"/>
    <x:sheet xmlns:r="http://schemas.openxmlformats.org/officeDocument/2006/relationships" name="选题方向" sheetId="6" r:id="R0c838a6d7fb34608"/>
    <x:sheet xmlns:r="http://schemas.openxmlformats.org/officeDocument/2006/relationships" name="口径说明" sheetId="7" r:id="R08316080f5df48a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
    <x:numFmt numFmtId="203" formatCode="0"/>
  </x:numFmts>
  <x:fonts count="15">
    <x:font>
      <x:sz val="11"/>
      <x:name val="Carlito"/>
    </x:font>
    <x:font>
      <x:b/>
      <x:sz val="11"/>
      <x:color rgb="FFFFFFFF"/>
      <x:name val="Carlito"/>
    </x:font>
    <x:font>
      <x:b/>
      <x:sz val="20"/>
      <x:color rgb="FFFFFFFF"/>
      <x:name val="Carlito"/>
    </x:font>
    <x:font>
      <x:sz val="10"/>
      <x:color rgb="FF5B6475"/>
      <x:name val="Carlito"/>
    </x:font>
    <x:font>
      <x:i/>
      <x:sz val="11"/>
      <x:color rgb="FF1E3A8A"/>
      <x:name val="Carlito"/>
    </x:font>
    <x:font>
      <x:sz val="11"/>
      <x:color rgb="FF064E3B"/>
      <x:name val="Carlito"/>
    </x:font>
    <x:font>
      <x:sz val="11"/>
      <x:color rgb="FF172033"/>
      <x:name val="Carlito"/>
    </x:font>
    <x:font>
      <x:b/>
      <x:sz val="11"/>
      <x:color rgb="FF172033"/>
      <x:name val="Carlito"/>
    </x:font>
    <x:font>
      <x:b/>
      <x:sz val="11"/>
      <x:color rgb="FF1E3A8A"/>
      <x:name val="Carlito"/>
    </x:font>
    <x:font>
      <x:b/>
      <x:sz val="20"/>
      <x:color rgb="FF14213D"/>
      <x:name val="Carlito"/>
    </x:font>
    <x:font>
      <x:b/>
      <x:sz val="13"/>
      <x:color rgb="FFFFFFFF"/>
      <x:name val="Carlito"/>
    </x:font>
    <x:font>
      <x:b/>
      <x:sz val="15"/>
      <x:color rgb="FF064E3B"/>
      <x:name val="Carlito"/>
    </x:font>
    <x:font>
      <x:sz val="11"/>
      <x:color rgb="FF065F46"/>
      <x:name val="Carlito"/>
    </x:font>
    <x:font>
      <x:sz val="11"/>
      <x:color rgb="FF713F12"/>
      <x:name val="Carlito"/>
    </x:font>
    <x:font>
      <x:i/>
      <x:sz val="11"/>
      <x:color rgb="FF7F1D1D"/>
      <x:name val="Carlito"/>
    </x:font>
  </x:fonts>
  <x:fills count="14">
    <x:fill>
      <x:patternFill patternType="none"/>
    </x:fill>
    <x:fill>
      <x:patternFill patternType="gray125"/>
    </x:fill>
    <x:fill>
      <x:patternFill patternType="solid">
        <x:fgColor rgb="FF14213D"/>
      </x:patternFill>
    </x:fill>
    <x:fill>
      <x:patternFill patternType="solid">
        <x:fgColor rgb="FFE9EEF6"/>
      </x:patternFill>
    </x:fill>
    <x:fill>
      <x:patternFill patternType="solid">
        <x:fgColor rgb="FFDBEAFE"/>
      </x:patternFill>
    </x:fill>
    <x:fill>
      <x:patternFill patternType="solid">
        <x:fgColor rgb="FFD1FAE5"/>
      </x:patternFill>
    </x:fill>
    <x:fill>
      <x:patternFill patternType="solid">
        <x:fgColor rgb="FF0F766E"/>
      </x:patternFill>
    </x:fill>
    <x:fill>
      <x:patternFill patternType="solid">
        <x:fgColor rgb="FFF5F7FA"/>
      </x:patternFill>
    </x:fill>
    <x:fill>
      <x:patternFill patternType="solid">
        <x:fgColor rgb="FFFFFFFF"/>
      </x:patternFill>
    </x:fill>
    <x:fill>
      <x:patternFill patternType="solid">
        <x:fgColor rgb="FFB91C1C"/>
      </x:patternFill>
    </x:fill>
    <x:fill>
      <x:patternFill patternType="solid">
        <x:fgColor rgb="FFFEE2E2"/>
      </x:patternFill>
    </x:fill>
    <x:fill>
      <x:patternFill patternType="solid">
        <x:fgColor rgb="FFECFDF5"/>
      </x:patternFill>
    </x:fill>
    <x:fill>
      <x:patternFill patternType="solid">
        <x:fgColor rgb="FFD97706"/>
      </x:patternFill>
    </x:fill>
    <x:fill>
      <x:patternFill patternType="solid">
        <x:fgColor rgb="FFFEF3C7"/>
      </x:patternFill>
    </x:fill>
  </x:fills>
  <x:borders count="45">
    <x:border/>
    <x:border>
      <x:left style="thin">
        <x:color rgb="FFD7DCE5"/>
      </x:left>
      <x:right style="thin">
        <x:color rgb="FFD7DCE5"/>
      </x:right>
      <x:top style="thin">
        <x:color rgb="FFD7DCE5"/>
      </x:top>
      <x:bottom style="thin">
        <x:color rgb="FFD7DCE5"/>
      </x:bottom>
    </x:border>
    <x:border>
      <x:right style="thin">
        <x:color rgb="FFE8EBF0"/>
      </x:right>
      <x:bottom style="thin">
        <x:color rgb="FFE8EBF0"/>
      </x:bottom>
    </x:border>
    <x:border>
      <x:left style="thin">
        <x:color rgb="FFE8EBF0"/>
      </x:left>
      <x:right style="thin">
        <x:color rgb="FFE8EBF0"/>
      </x:right>
      <x:bottom style="thin">
        <x:color rgb="FFE8EBF0"/>
      </x:bottom>
    </x:border>
    <x:border>
      <x:left style="thin">
        <x:color rgb="FFE8EBF0"/>
      </x:left>
      <x:bottom style="thin">
        <x:color rgb="FFE8EBF0"/>
      </x:bottom>
    </x:border>
    <x:border>
      <x:right style="thin">
        <x:color rgb="FFE8EBF0"/>
      </x:right>
      <x:top style="thin">
        <x:color rgb="FFE8EBF0"/>
      </x:top>
      <x:bottom style="thin">
        <x:color rgb="FFE8EBF0"/>
      </x:bottom>
    </x:border>
    <x:border>
      <x:left style="thin">
        <x:color rgb="FFE8EBF0"/>
      </x:left>
      <x:right style="thin">
        <x:color rgb="FFE8EBF0"/>
      </x:right>
      <x:top style="thin">
        <x:color rgb="FFE8EBF0"/>
      </x:top>
      <x:bottom style="thin">
        <x:color rgb="FFE8EBF0"/>
      </x:bottom>
    </x:border>
    <x:border>
      <x:left style="thin">
        <x:color rgb="FFE8EBF0"/>
      </x:left>
      <x:top style="thin">
        <x:color rgb="FFE8EBF0"/>
      </x:top>
      <x:bottom style="thin">
        <x:color rgb="FFE8EBF0"/>
      </x:bottom>
    </x:border>
    <x:border>
      <x:right style="thin">
        <x:color rgb="FFE8EBF0"/>
      </x:right>
      <x:top style="thin">
        <x:color rgb="FFE8EBF0"/>
      </x:top>
    </x:border>
    <x:border>
      <x:left style="thin">
        <x:color rgb="FFE8EBF0"/>
      </x:left>
      <x:right style="thin">
        <x:color rgb="FFE8EBF0"/>
      </x:right>
      <x:top style="thin">
        <x:color rgb="FFE8EBF0"/>
      </x:top>
    </x:border>
    <x:border>
      <x:left style="thin">
        <x:color rgb="FFE8EBF0"/>
      </x:left>
      <x:top style="thin">
        <x:color rgb="FFE8EBF0"/>
      </x:top>
    </x:border>
    <x:border>
      <x:left style="thin">
        <x:color rgb="FFD7DCE5"/>
      </x:left>
      <x:top style="thin">
        <x:color rgb="FFD7DCE5"/>
      </x:top>
    </x:border>
    <x:border>
      <x:top style="thin">
        <x:color rgb="FFD7DCE5"/>
      </x:top>
    </x:border>
    <x:border>
      <x:right style="thin">
        <x:color rgb="FFD7DCE5"/>
      </x:right>
      <x:top style="thin">
        <x:color rgb="FFD7DCE5"/>
      </x:top>
    </x:border>
    <x:border>
      <x:left style="thin">
        <x:color rgb="FFD7DCE5"/>
      </x:left>
    </x:border>
    <x:border>
      <x:right style="thin">
        <x:color rgb="FFD7DCE5"/>
      </x:right>
    </x:border>
    <x:border>
      <x:left style="thin">
        <x:color rgb="FFD7DCE5"/>
      </x:left>
      <x:bottom style="thin">
        <x:color rgb="FFD7DCE5"/>
      </x:bottom>
    </x:border>
    <x:border>
      <x:bottom style="thin">
        <x:color rgb="FFD7DCE5"/>
      </x:bottom>
    </x:border>
    <x:border>
      <x:right style="thin">
        <x:color rgb="FFD7DCE5"/>
      </x:right>
      <x:bottom style="thin">
        <x:color rgb="FFD7DCE5"/>
      </x:bottom>
    </x:border>
    <x:border>
      <x:left style="thin">
        <x:color rgb="FFD7DCE5"/>
      </x:left>
      <x:top style="thin">
        <x:color rgb="FFD7DCE5"/>
      </x:top>
      <x:bottom style="thin">
        <x:color rgb="FFD7DCE5"/>
      </x:bottom>
    </x:border>
    <x:border>
      <x:top style="thin">
        <x:color rgb="FFD7DCE5"/>
      </x:top>
      <x:bottom style="thin">
        <x:color rgb="FFD7DCE5"/>
      </x:bottom>
    </x:border>
    <x:border>
      <x:right style="thin">
        <x:color rgb="FFD7DCE5"/>
      </x:right>
      <x:top style="thin">
        <x:color rgb="FFD7DCE5"/>
      </x:top>
      <x:bottom style="thin">
        <x:color rgb="FFD7DCE5"/>
      </x:bottom>
    </x:border>
    <x:border>
      <x:left style="thin">
        <x:color rgb="FF93C5FD"/>
      </x:left>
      <x:top style="thin">
        <x:color rgb="FF93C5FD"/>
      </x:top>
      <x:bottom style="thin">
        <x:color rgb="FF93C5FD"/>
      </x:bottom>
    </x:border>
    <x:border>
      <x:top style="thin">
        <x:color rgb="FF93C5FD"/>
      </x:top>
      <x:bottom style="thin">
        <x:color rgb="FF93C5FD"/>
      </x:bottom>
    </x:border>
    <x:border>
      <x:right style="thin">
        <x:color rgb="FF93C5FD"/>
      </x:right>
      <x:top style="thin">
        <x:color rgb="FF93C5FD"/>
      </x:top>
      <x:bottom style="thin">
        <x:color rgb="FF93C5FD"/>
      </x:bottom>
    </x:border>
    <x:border>
      <x:left style="thin">
        <x:color rgb="FF93C5FD"/>
      </x:left>
      <x:top style="thin">
        <x:color rgb="FF93C5FD"/>
      </x:top>
    </x:border>
    <x:border>
      <x:top style="thin">
        <x:color rgb="FF93C5FD"/>
      </x:top>
    </x:border>
    <x:border>
      <x:right style="thin">
        <x:color rgb="FF93C5FD"/>
      </x:right>
      <x:top style="thin">
        <x:color rgb="FF93C5FD"/>
      </x:top>
    </x:border>
    <x:border>
      <x:left style="thin">
        <x:color rgb="FF93C5FD"/>
      </x:left>
      <x:bottom style="thin">
        <x:color rgb="FF93C5FD"/>
      </x:bottom>
    </x:border>
    <x:border>
      <x:bottom style="thin">
        <x:color rgb="FF93C5FD"/>
      </x:bottom>
    </x:border>
    <x:border>
      <x:right style="thin">
        <x:color rgb="FF93C5FD"/>
      </x:right>
      <x:bottom style="thin">
        <x:color rgb="FF93C5FD"/>
      </x:bottom>
    </x:border>
    <x:border>
      <x:left style="thin">
        <x:color rgb="FFA7F3D0"/>
      </x:left>
      <x:top style="thin">
        <x:color rgb="FFA7F3D0"/>
      </x:top>
    </x:border>
    <x:border>
      <x:top style="thin">
        <x:color rgb="FFA7F3D0"/>
      </x:top>
    </x:border>
    <x:border>
      <x:right style="thin">
        <x:color rgb="FFA7F3D0"/>
      </x:right>
      <x:top style="thin">
        <x:color rgb="FFA7F3D0"/>
      </x:top>
    </x:border>
    <x:border>
      <x:left style="thin">
        <x:color rgb="FFA7F3D0"/>
      </x:left>
    </x:border>
    <x:border>
      <x:right style="thin">
        <x:color rgb="FFA7F3D0"/>
      </x:right>
    </x:border>
    <x:border>
      <x:left style="thin">
        <x:color rgb="FFA7F3D0"/>
      </x:left>
      <x:bottom style="thin">
        <x:color rgb="FFA7F3D0"/>
      </x:bottom>
    </x:border>
    <x:border>
      <x:bottom style="thin">
        <x:color rgb="FFA7F3D0"/>
      </x:bottom>
    </x:border>
    <x:border>
      <x:right style="thin">
        <x:color rgb="FFA7F3D0"/>
      </x:right>
      <x:bottom style="thin">
        <x:color rgb="FFA7F3D0"/>
      </x:bottom>
    </x:border>
    <x:border>
      <x:left style="thin">
        <x:color rgb="FFF6C453"/>
      </x:left>
      <x:top style="thin">
        <x:color rgb="FFF6C453"/>
      </x:top>
    </x:border>
    <x:border>
      <x:top style="thin">
        <x:color rgb="FFF6C453"/>
      </x:top>
    </x:border>
    <x:border>
      <x:right style="thin">
        <x:color rgb="FFF6C453"/>
      </x:right>
      <x:top style="thin">
        <x:color rgb="FFF6C453"/>
      </x:top>
    </x:border>
    <x:border>
      <x:left style="thin">
        <x:color rgb="FFF6C453"/>
      </x:left>
      <x:bottom style="thin">
        <x:color rgb="FFF6C453"/>
      </x:bottom>
    </x:border>
    <x:border>
      <x:bottom style="thin">
        <x:color rgb="FFF6C453"/>
      </x:bottom>
    </x:border>
    <x:border>
      <x:right style="thin">
        <x:color rgb="FFF6C453"/>
      </x:right>
      <x:bottom style="thin">
        <x:color rgb="FFF6C453"/>
      </x:bottom>
    </x:border>
  </x:borders>
  <x:cellStyleXfs count="1">
    <x:xf numFmtId="0" fontId="0" fillId="0" borderId="0"/>
  </x:cellStyleXfs>
  <x:cellXfs count="27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0" fontId="1" fillId="2"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200" fontId="0" fillId="0" borderId="3" xfId="0" applyNumberFormat="1" applyFont="1" applyFill="1" applyBorder="1" applyAlignment="1">
      <x:alignment vertical="top"/>
    </x:xf>
    <x:xf numFmtId="201" fontId="0" fillId="0" borderId="3"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200" fontId="0" fillId="0" borderId="6" xfId="0" applyNumberFormat="1" applyFont="1" applyFill="1" applyBorder="1" applyAlignment="1">
      <x:alignment vertical="top"/>
    </x:xf>
    <x:xf numFmtId="201"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200" fontId="0" fillId="0" borderId="9" xfId="0" applyNumberFormat="1" applyFont="1" applyFill="1" applyBorder="1" applyAlignment="1">
      <x:alignment vertical="top"/>
    </x:xf>
    <x:xf numFmtId="201" fontId="0" fillId="0" borderId="9" xfId="0" applyNumberFormat="1" applyFont="1" applyFill="1" applyBorder="1" applyAlignment="1">
      <x:alignment vertical="top"/>
    </x:xf>
    <x:xf numFmtId="0" fontId="0" fillId="0" borderId="10" xfId="0" applyNumberFormat="1" applyFont="1" applyFill="1" applyBorder="1" applyAlignment="1">
      <x:alignment vertical="top"/>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left" wrapText="1"/>
    </x:xf>
    <x:xf numFmtId="0" fontId="3" fillId="3" borderId="0" xfId="0" applyNumberFormat="1" applyFont="1" applyFill="1" applyBorder="1" applyAlignment="1">
      <x:alignment horizontal="left" vertical="center" wrapText="1"/>
    </x:xf>
    <x:xf numFmtId="202" fontId="0" fillId="0" borderId="0" xfId="0" applyNumberFormat="1" applyFont="1" applyFill="1" applyBorder="1"/>
    <x:xf numFmtId="202"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11" xfId="0" applyNumberFormat="1" applyFont="1" applyFill="1" applyBorder="1"/>
    <x:xf numFmtId="0" fontId="4" fillId="4" borderId="12" xfId="0" applyNumberFormat="1" applyFont="1" applyFill="1" applyBorder="1"/>
    <x:xf numFmtId="0" fontId="4" fillId="4" borderId="13" xfId="0" applyNumberFormat="1" applyFont="1" applyFill="1" applyBorder="1"/>
    <x:xf numFmtId="0" fontId="4" fillId="4" borderId="14" xfId="0" applyNumberFormat="1" applyFont="1" applyFill="1" applyBorder="1"/>
    <x:xf numFmtId="0" fontId="4" fillId="4" borderId="15" xfId="0" applyNumberFormat="1" applyFont="1" applyFill="1" applyBorder="1"/>
    <x:xf numFmtId="0" fontId="4" fillId="4" borderId="16" xfId="0" applyNumberFormat="1" applyFont="1" applyFill="1" applyBorder="1"/>
    <x:xf numFmtId="0" fontId="4" fillId="4" borderId="17" xfId="0" applyNumberFormat="1" applyFont="1" applyFill="1" applyBorder="1"/>
    <x:xf numFmtId="0" fontId="4" fillId="4" borderId="18" xfId="0" applyNumberFormat="1" applyFont="1" applyFill="1" applyBorder="1"/>
    <x:xf numFmtId="0" fontId="4" fillId="4" borderId="11" xfId="0" applyNumberFormat="1" applyFont="1" applyFill="1" applyBorder="1" applyAlignment="1">
      <x:alignment wrapText="1"/>
    </x:xf>
    <x:xf numFmtId="0" fontId="4" fillId="4" borderId="12" xfId="0" applyNumberFormat="1" applyFont="1" applyFill="1" applyBorder="1" applyAlignment="1">
      <x:alignment wrapText="1"/>
    </x:xf>
    <x:xf numFmtId="0" fontId="4" fillId="4" borderId="13" xfId="0" applyNumberFormat="1" applyFont="1" applyFill="1" applyBorder="1" applyAlignment="1">
      <x:alignment wrapText="1"/>
    </x:xf>
    <x:xf numFmtId="0" fontId="4" fillId="4" borderId="14"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15" xfId="0" applyNumberFormat="1" applyFont="1" applyFill="1" applyBorder="1" applyAlignment="1">
      <x:alignment wrapText="1"/>
    </x:xf>
    <x:xf numFmtId="0" fontId="4" fillId="4" borderId="16" xfId="0" applyNumberFormat="1" applyFont="1" applyFill="1" applyBorder="1" applyAlignment="1">
      <x:alignment wrapText="1"/>
    </x:xf>
    <x:xf numFmtId="0" fontId="4" fillId="4" borderId="17" xfId="0" applyNumberFormat="1" applyFont="1" applyFill="1" applyBorder="1" applyAlignment="1">
      <x:alignment wrapText="1"/>
    </x:xf>
    <x:xf numFmtId="0" fontId="4" fillId="4" borderId="18" xfId="0" applyNumberFormat="1" applyFont="1" applyFill="1" applyBorder="1" applyAlignment="1">
      <x:alignment wrapText="1"/>
    </x:xf>
    <x:xf numFmtId="0" fontId="4" fillId="4" borderId="11" xfId="0" applyNumberFormat="1" applyFont="1" applyFill="1" applyBorder="1" applyAlignment="1">
      <x:alignment vertical="center" wrapText="1"/>
    </x:xf>
    <x:xf numFmtId="0" fontId="4" fillId="4" borderId="12" xfId="0" applyNumberFormat="1" applyFont="1" applyFill="1" applyBorder="1" applyAlignment="1">
      <x:alignment vertical="center" wrapText="1"/>
    </x:xf>
    <x:xf numFmtId="0" fontId="4" fillId="4" borderId="13" xfId="0" applyNumberFormat="1" applyFont="1" applyFill="1" applyBorder="1" applyAlignment="1">
      <x:alignment vertical="center" wrapText="1"/>
    </x:xf>
    <x:xf numFmtId="0" fontId="4" fillId="4" borderId="14"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15" xfId="0" applyNumberFormat="1" applyFont="1" applyFill="1" applyBorder="1" applyAlignment="1">
      <x:alignment vertical="center" wrapText="1"/>
    </x:xf>
    <x:xf numFmtId="0" fontId="4" fillId="4" borderId="16" xfId="0" applyNumberFormat="1" applyFont="1" applyFill="1" applyBorder="1" applyAlignment="1">
      <x:alignment vertical="center" wrapText="1"/>
    </x:xf>
    <x:xf numFmtId="0" fontId="4" fillId="4" borderId="17" xfId="0" applyNumberFormat="1" applyFont="1" applyFill="1" applyBorder="1" applyAlignment="1">
      <x:alignment vertical="center" wrapText="1"/>
    </x:xf>
    <x:xf numFmtId="0" fontId="4" fillId="4" borderId="18"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19"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19" xfId="0" applyNumberFormat="1" applyFont="1" applyFill="1" applyBorder="1" applyAlignment="1">
      <x:alignment wrapText="1"/>
    </x:xf>
    <x:xf numFmtId="0" fontId="6" fillId="7" borderId="20" xfId="0" applyNumberFormat="1" applyFont="1" applyFill="1" applyBorder="1" applyAlignment="1">
      <x:alignment wrapText="1"/>
    </x:xf>
    <x:xf numFmtId="0" fontId="6" fillId="7" borderId="21" xfId="0" applyNumberFormat="1" applyFont="1" applyFill="1" applyBorder="1" applyAlignment="1">
      <x:alignment wrapText="1"/>
    </x:xf>
    <x:xf numFmtId="0" fontId="6" fillId="7" borderId="19" xfId="0" applyNumberFormat="1" applyFont="1" applyFill="1" applyBorder="1" applyAlignment="1">
      <x:alignment vertical="center" wrapText="1"/>
    </x:xf>
    <x:xf numFmtId="0" fontId="6" fillId="7" borderId="20" xfId="0" applyNumberFormat="1" applyFont="1" applyFill="1" applyBorder="1" applyAlignment="1">
      <x:alignment vertical="center" wrapText="1"/>
    </x:xf>
    <x:xf numFmtId="0" fontId="6" fillId="7" borderId="21" xfId="0" applyNumberFormat="1" applyFont="1" applyFill="1" applyBorder="1" applyAlignment="1">
      <x:alignment vertical="center" wrapText="1"/>
    </x:xf>
    <x:xf numFmtId="0" fontId="0" fillId="8" borderId="0" xfId="0" applyNumberFormat="1" applyFont="1" applyFill="1" applyBorder="1"/>
    <x:xf numFmtId="0" fontId="6" fillId="8" borderId="0" xfId="0" applyNumberFormat="1" applyFont="1" applyFill="1" applyBorder="1"/>
    <x:xf numFmtId="0" fontId="6" fillId="8" borderId="19"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19" xfId="0" applyNumberFormat="1" applyFont="1" applyFill="1" applyBorder="1" applyAlignment="1">
      <x:alignment wrapText="1"/>
    </x:xf>
    <x:xf numFmtId="0" fontId="6" fillId="8" borderId="20" xfId="0" applyNumberFormat="1" applyFont="1" applyFill="1" applyBorder="1" applyAlignment="1">
      <x:alignment wrapText="1"/>
    </x:xf>
    <x:xf numFmtId="0" fontId="6" fillId="8" borderId="21" xfId="0" applyNumberFormat="1" applyFont="1" applyFill="1" applyBorder="1" applyAlignment="1">
      <x:alignment wrapText="1"/>
    </x:xf>
    <x:xf numFmtId="0" fontId="6" fillId="8" borderId="19" xfId="0" applyNumberFormat="1" applyFont="1" applyFill="1" applyBorder="1" applyAlignment="1">
      <x:alignment vertical="center" wrapText="1"/>
    </x:xf>
    <x:xf numFmtId="0" fontId="6" fillId="8" borderId="20" xfId="0" applyNumberFormat="1" applyFont="1" applyFill="1" applyBorder="1" applyAlignment="1">
      <x:alignment vertical="center" wrapText="1"/>
    </x:xf>
    <x:xf numFmtId="0" fontId="6" fillId="8" borderId="21" xfId="0" applyNumberFormat="1" applyFont="1" applyFill="1" applyBorder="1" applyAlignment="1">
      <x:alignment vertical="center" wrapText="1"/>
    </x:xf>
    <x:xf numFmtId="0" fontId="0" fillId="7" borderId="1"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19" xfId="0" applyNumberFormat="1" applyFont="1" applyFill="1" applyBorder="1"/>
    <x:xf numFmtId="0" fontId="6" fillId="10" borderId="20" xfId="0" applyNumberFormat="1" applyFont="1" applyFill="1" applyBorder="1"/>
    <x:xf numFmtId="0" fontId="6" fillId="10" borderId="21" xfId="0" applyNumberFormat="1" applyFont="1" applyFill="1" applyBorder="1"/>
    <x:xf numFmtId="0" fontId="6" fillId="10" borderId="19" xfId="0" applyNumberFormat="1" applyFont="1" applyFill="1" applyBorder="1" applyAlignment="1">
      <x:alignment wrapText="1"/>
    </x:xf>
    <x:xf numFmtId="0" fontId="6" fillId="10" borderId="20" xfId="0" applyNumberFormat="1" applyFont="1" applyFill="1" applyBorder="1" applyAlignment="1">
      <x:alignment wrapText="1"/>
    </x:xf>
    <x:xf numFmtId="0" fontId="6" fillId="10" borderId="21" xfId="0" applyNumberFormat="1" applyFont="1" applyFill="1" applyBorder="1" applyAlignment="1">
      <x:alignment wrapText="1"/>
    </x:xf>
    <x:xf numFmtId="0" fontId="6" fillId="10" borderId="19" xfId="0" applyNumberFormat="1" applyFont="1" applyFill="1" applyBorder="1" applyAlignment="1">
      <x:alignment vertical="center" wrapText="1"/>
    </x:xf>
    <x:xf numFmtId="0" fontId="6" fillId="10" borderId="20" xfId="0" applyNumberFormat="1" applyFont="1" applyFill="1" applyBorder="1" applyAlignment="1">
      <x:alignment vertical="center" wrapText="1"/>
    </x:xf>
    <x:xf numFmtId="0" fontId="6" fillId="10" borderId="21" xfId="0" applyNumberFormat="1" applyFont="1" applyFill="1" applyBorder="1" applyAlignment="1">
      <x:alignment vertical="center" wrapText="1"/>
    </x:xf>
    <x:xf numFmtId="0" fontId="8" fillId="4" borderId="0" xfId="0" applyNumberFormat="1" applyFont="1" applyFill="1" applyBorder="1"/>
    <x:xf numFmtId="0" fontId="8" fillId="4" borderId="22" xfId="0" applyNumberFormat="1" applyFont="1" applyFill="1" applyBorder="1"/>
    <x:xf numFmtId="0" fontId="8" fillId="4" borderId="23" xfId="0" applyNumberFormat="1" applyFont="1" applyFill="1" applyBorder="1"/>
    <x:xf numFmtId="0" fontId="8" fillId="4" borderId="24" xfId="0" applyNumberFormat="1" applyFont="1" applyFill="1" applyBorder="1"/>
    <x:xf numFmtId="0" fontId="8" fillId="4" borderId="22" xfId="0" applyNumberFormat="1" applyFont="1" applyFill="1" applyBorder="1" applyAlignment="1">
      <x:alignment horizontal="center"/>
    </x:xf>
    <x:xf numFmtId="0" fontId="8" fillId="4" borderId="23" xfId="0" applyNumberFormat="1" applyFont="1" applyFill="1" applyBorder="1" applyAlignment="1">
      <x:alignment horizontal="center"/>
    </x:xf>
    <x:xf numFmtId="0" fontId="8" fillId="4" borderId="24" xfId="0" applyNumberFormat="1" applyFont="1" applyFill="1" applyBorder="1" applyAlignment="1">
      <x:alignment horizontal="center"/>
    </x:xf>
    <x:xf numFmtId="0" fontId="8" fillId="4" borderId="22" xfId="0" applyNumberFormat="1" applyFont="1" applyFill="1" applyBorder="1" applyAlignment="1">
      <x:alignment horizontal="center" vertical="center"/>
    </x:xf>
    <x:xf numFmtId="0" fontId="8" fillId="4" borderId="23" xfId="0" applyNumberFormat="1" applyFont="1" applyFill="1" applyBorder="1" applyAlignment="1">
      <x:alignment horizontal="center" vertical="center"/>
    </x:xf>
    <x:xf numFmtId="0" fontId="8" fillId="4" borderId="24" xfId="0" applyNumberFormat="1" applyFont="1" applyFill="1" applyBorder="1" applyAlignment="1">
      <x:alignment horizontal="center" vertical="center"/>
    </x:xf>
    <x:xf numFmtId="0" fontId="9" fillId="8" borderId="0" xfId="0" applyNumberFormat="1" applyFont="1" applyFill="1" applyBorder="1"/>
    <x:xf numFmtId="0" fontId="9" fillId="8" borderId="25" xfId="0" applyNumberFormat="1" applyFont="1" applyFill="1" applyBorder="1"/>
    <x:xf numFmtId="0" fontId="9" fillId="8" borderId="26" xfId="0" applyNumberFormat="1" applyFont="1" applyFill="1" applyBorder="1"/>
    <x:xf numFmtId="0" fontId="9" fillId="8" borderId="27" xfId="0" applyNumberFormat="1" applyFont="1" applyFill="1" applyBorder="1"/>
    <x:xf numFmtId="0" fontId="9" fillId="8" borderId="28" xfId="0" applyNumberFormat="1" applyFont="1" applyFill="1" applyBorder="1"/>
    <x:xf numFmtId="0" fontId="9" fillId="8" borderId="29" xfId="0" applyNumberFormat="1" applyFont="1" applyFill="1" applyBorder="1"/>
    <x:xf numFmtId="0" fontId="9" fillId="8" borderId="30" xfId="0" applyNumberFormat="1" applyFont="1" applyFill="1" applyBorder="1"/>
    <x:xf numFmtId="203" fontId="9" fillId="8" borderId="25" xfId="0" applyNumberFormat="1" applyFont="1" applyFill="1" applyBorder="1"/>
    <x:xf numFmtId="203" fontId="9" fillId="8" borderId="26" xfId="0" applyNumberFormat="1" applyFont="1" applyFill="1" applyBorder="1"/>
    <x:xf numFmtId="203" fontId="9" fillId="8" borderId="27" xfId="0" applyNumberFormat="1" applyFont="1" applyFill="1" applyBorder="1"/>
    <x:xf numFmtId="203" fontId="9" fillId="8" borderId="28" xfId="0" applyNumberFormat="1" applyFont="1" applyFill="1" applyBorder="1"/>
    <x:xf numFmtId="203" fontId="9" fillId="8" borderId="29" xfId="0" applyNumberFormat="1" applyFont="1" applyFill="1" applyBorder="1"/>
    <x:xf numFmtId="203" fontId="9" fillId="8" borderId="30" xfId="0" applyNumberFormat="1" applyFont="1" applyFill="1" applyBorder="1"/>
    <x:xf numFmtId="203" fontId="9" fillId="8" borderId="25" xfId="0" applyNumberFormat="1" applyFont="1" applyFill="1" applyBorder="1" applyAlignment="1">
      <x:alignment horizontal="center"/>
    </x:xf>
    <x:xf numFmtId="203" fontId="9" fillId="8" borderId="26" xfId="0" applyNumberFormat="1" applyFont="1" applyFill="1" applyBorder="1" applyAlignment="1">
      <x:alignment horizontal="center"/>
    </x:xf>
    <x:xf numFmtId="203" fontId="9" fillId="8" borderId="27" xfId="0" applyNumberFormat="1" applyFont="1" applyFill="1" applyBorder="1" applyAlignment="1">
      <x:alignment horizontal="center"/>
    </x:xf>
    <x:xf numFmtId="203" fontId="9" fillId="8" borderId="28" xfId="0" applyNumberFormat="1" applyFont="1" applyFill="1" applyBorder="1" applyAlignment="1">
      <x:alignment horizontal="center"/>
    </x:xf>
    <x:xf numFmtId="203" fontId="9" fillId="8" borderId="29" xfId="0" applyNumberFormat="1" applyFont="1" applyFill="1" applyBorder="1" applyAlignment="1">
      <x:alignment horizontal="center"/>
    </x:xf>
    <x:xf numFmtId="203" fontId="9" fillId="8" borderId="30" xfId="0" applyNumberFormat="1" applyFont="1" applyFill="1" applyBorder="1" applyAlignment="1">
      <x:alignment horizontal="center"/>
    </x:xf>
    <x:xf numFmtId="203" fontId="9" fillId="8" borderId="25" xfId="0" applyNumberFormat="1" applyFont="1" applyFill="1" applyBorder="1" applyAlignment="1">
      <x:alignment horizontal="center" vertical="center"/>
    </x:xf>
    <x:xf numFmtId="203" fontId="9" fillId="8" borderId="26" xfId="0" applyNumberFormat="1" applyFont="1" applyFill="1" applyBorder="1" applyAlignment="1">
      <x:alignment horizontal="center" vertical="center"/>
    </x:xf>
    <x:xf numFmtId="203" fontId="9" fillId="8" borderId="27" xfId="0" applyNumberFormat="1" applyFont="1" applyFill="1" applyBorder="1" applyAlignment="1">
      <x:alignment horizontal="center" vertical="center"/>
    </x:xf>
    <x:xf numFmtId="203" fontId="9" fillId="8" borderId="28" xfId="0" applyNumberFormat="1" applyFont="1" applyFill="1" applyBorder="1" applyAlignment="1">
      <x:alignment horizontal="center" vertical="center"/>
    </x:xf>
    <x:xf numFmtId="203" fontId="9" fillId="8" borderId="29" xfId="0" applyNumberFormat="1" applyFont="1" applyFill="1" applyBorder="1" applyAlignment="1">
      <x:alignment horizontal="center" vertical="center"/>
    </x:xf>
    <x:xf numFmtId="203" fontId="9" fillId="8" borderId="30" xfId="0" applyNumberFormat="1" applyFont="1" applyFill="1" applyBorder="1" applyAlignment="1">
      <x:alignment horizontal="center" vertical="center"/>
    </x:xf>
    <x:xf numFmtId="201" fontId="9" fillId="8" borderId="25" xfId="0" applyNumberFormat="1" applyFont="1" applyFill="1" applyBorder="1"/>
    <x:xf numFmtId="201" fontId="9" fillId="8" borderId="26" xfId="0" applyNumberFormat="1" applyFont="1" applyFill="1" applyBorder="1"/>
    <x:xf numFmtId="201" fontId="9" fillId="8" borderId="27" xfId="0" applyNumberFormat="1" applyFont="1" applyFill="1" applyBorder="1"/>
    <x:xf numFmtId="201" fontId="9" fillId="8" borderId="28" xfId="0" applyNumberFormat="1" applyFont="1" applyFill="1" applyBorder="1"/>
    <x:xf numFmtId="201" fontId="9" fillId="8" borderId="29" xfId="0" applyNumberFormat="1" applyFont="1" applyFill="1" applyBorder="1"/>
    <x:xf numFmtId="201" fontId="9" fillId="8" borderId="30" xfId="0" applyNumberFormat="1" applyFont="1" applyFill="1" applyBorder="1"/>
    <x:xf numFmtId="201" fontId="9" fillId="8" borderId="25" xfId="0" applyNumberFormat="1" applyFont="1" applyFill="1" applyBorder="1" applyAlignment="1">
      <x:alignment horizontal="center"/>
    </x:xf>
    <x:xf numFmtId="201" fontId="9" fillId="8" borderId="26" xfId="0" applyNumberFormat="1" applyFont="1" applyFill="1" applyBorder="1" applyAlignment="1">
      <x:alignment horizontal="center"/>
    </x:xf>
    <x:xf numFmtId="201" fontId="9" fillId="8" borderId="27" xfId="0" applyNumberFormat="1" applyFont="1" applyFill="1" applyBorder="1" applyAlignment="1">
      <x:alignment horizontal="center"/>
    </x:xf>
    <x:xf numFmtId="201" fontId="9" fillId="8" borderId="28" xfId="0" applyNumberFormat="1" applyFont="1" applyFill="1" applyBorder="1" applyAlignment="1">
      <x:alignment horizontal="center"/>
    </x:xf>
    <x:xf numFmtId="201" fontId="9" fillId="8" borderId="29" xfId="0" applyNumberFormat="1" applyFont="1" applyFill="1" applyBorder="1" applyAlignment="1">
      <x:alignment horizontal="center"/>
    </x:xf>
    <x:xf numFmtId="201" fontId="9" fillId="8" borderId="30" xfId="0" applyNumberFormat="1" applyFont="1" applyFill="1" applyBorder="1" applyAlignment="1">
      <x:alignment horizontal="center"/>
    </x:xf>
    <x:xf numFmtId="201" fontId="9" fillId="8" borderId="25" xfId="0" applyNumberFormat="1" applyFont="1" applyFill="1" applyBorder="1" applyAlignment="1">
      <x:alignment horizontal="center" vertical="center"/>
    </x:xf>
    <x:xf numFmtId="201" fontId="9" fillId="8" borderId="26" xfId="0" applyNumberFormat="1" applyFont="1" applyFill="1" applyBorder="1" applyAlignment="1">
      <x:alignment horizontal="center" vertical="center"/>
    </x:xf>
    <x:xf numFmtId="201" fontId="9" fillId="8" borderId="27" xfId="0" applyNumberFormat="1" applyFont="1" applyFill="1" applyBorder="1" applyAlignment="1">
      <x:alignment horizontal="center" vertical="center"/>
    </x:xf>
    <x:xf numFmtId="201" fontId="9" fillId="8" borderId="28" xfId="0" applyNumberFormat="1" applyFont="1" applyFill="1" applyBorder="1" applyAlignment="1">
      <x:alignment horizontal="center" vertical="center"/>
    </x:xf>
    <x:xf numFmtId="201" fontId="9" fillId="8" borderId="29" xfId="0" applyNumberFormat="1" applyFont="1" applyFill="1" applyBorder="1" applyAlignment="1">
      <x:alignment horizontal="center" vertical="center"/>
    </x:xf>
    <x:xf numFmtId="201" fontId="9" fillId="8" borderId="30" xfId="0" applyNumberFormat="1" applyFont="1" applyFill="1" applyBorder="1" applyAlignment="1">
      <x:alignment horizontal="center" vertical="center"/>
    </x:xf>
    <x:xf numFmtId="202" fontId="9" fillId="8" borderId="25" xfId="0" applyNumberFormat="1" applyFont="1" applyFill="1" applyBorder="1"/>
    <x:xf numFmtId="202" fontId="9" fillId="8" borderId="26" xfId="0" applyNumberFormat="1" applyFont="1" applyFill="1" applyBorder="1"/>
    <x:xf numFmtId="202" fontId="9" fillId="8" borderId="27" xfId="0" applyNumberFormat="1" applyFont="1" applyFill="1" applyBorder="1"/>
    <x:xf numFmtId="202" fontId="9" fillId="8" borderId="28" xfId="0" applyNumberFormat="1" applyFont="1" applyFill="1" applyBorder="1"/>
    <x:xf numFmtId="202" fontId="9" fillId="8" borderId="29" xfId="0" applyNumberFormat="1" applyFont="1" applyFill="1" applyBorder="1"/>
    <x:xf numFmtId="202" fontId="9" fillId="8" borderId="30" xfId="0" applyNumberFormat="1" applyFont="1" applyFill="1" applyBorder="1"/>
    <x:xf numFmtId="202" fontId="9" fillId="8" borderId="25" xfId="0" applyNumberFormat="1" applyFont="1" applyFill="1" applyBorder="1" applyAlignment="1">
      <x:alignment horizontal="center"/>
    </x:xf>
    <x:xf numFmtId="202" fontId="9" fillId="8" borderId="26" xfId="0" applyNumberFormat="1" applyFont="1" applyFill="1" applyBorder="1" applyAlignment="1">
      <x:alignment horizontal="center"/>
    </x:xf>
    <x:xf numFmtId="202" fontId="9" fillId="8" borderId="27" xfId="0" applyNumberFormat="1" applyFont="1" applyFill="1" applyBorder="1" applyAlignment="1">
      <x:alignment horizontal="center"/>
    </x:xf>
    <x:xf numFmtId="202" fontId="9" fillId="8" borderId="28" xfId="0" applyNumberFormat="1" applyFont="1" applyFill="1" applyBorder="1" applyAlignment="1">
      <x:alignment horizontal="center"/>
    </x:xf>
    <x:xf numFmtId="202" fontId="9" fillId="8" borderId="29" xfId="0" applyNumberFormat="1" applyFont="1" applyFill="1" applyBorder="1" applyAlignment="1">
      <x:alignment horizontal="center"/>
    </x:xf>
    <x:xf numFmtId="202" fontId="9" fillId="8" borderId="30" xfId="0" applyNumberFormat="1" applyFont="1" applyFill="1" applyBorder="1" applyAlignment="1">
      <x:alignment horizontal="center"/>
    </x:xf>
    <x:xf numFmtId="202" fontId="9" fillId="8" borderId="25" xfId="0" applyNumberFormat="1" applyFont="1" applyFill="1" applyBorder="1" applyAlignment="1">
      <x:alignment horizontal="center" vertical="center"/>
    </x:xf>
    <x:xf numFmtId="202" fontId="9" fillId="8" borderId="26" xfId="0" applyNumberFormat="1" applyFont="1" applyFill="1" applyBorder="1" applyAlignment="1">
      <x:alignment horizontal="center" vertical="center"/>
    </x:xf>
    <x:xf numFmtId="202" fontId="9" fillId="8" borderId="27" xfId="0" applyNumberFormat="1" applyFont="1" applyFill="1" applyBorder="1" applyAlignment="1">
      <x:alignment horizontal="center" vertical="center"/>
    </x:xf>
    <x:xf numFmtId="202" fontId="9" fillId="8" borderId="28" xfId="0" applyNumberFormat="1" applyFont="1" applyFill="1" applyBorder="1" applyAlignment="1">
      <x:alignment horizontal="center" vertical="center"/>
    </x:xf>
    <x:xf numFmtId="202" fontId="9" fillId="8" borderId="29" xfId="0" applyNumberFormat="1" applyFont="1" applyFill="1" applyBorder="1" applyAlignment="1">
      <x:alignment horizontal="center" vertical="center"/>
    </x:xf>
    <x:xf numFmtId="202" fontId="9" fillId="8" borderId="30" xfId="0" applyNumberFormat="1" applyFont="1" applyFill="1" applyBorder="1" applyAlignment="1">
      <x:alignment horizontal="center" vertical="center"/>
    </x:xf>
    <x:xf numFmtId="0" fontId="10" fillId="6" borderId="0" xfId="0" applyNumberFormat="1" applyFont="1" applyFill="1" applyBorder="1"/>
    <x:xf numFmtId="0" fontId="10" fillId="6" borderId="0" xfId="0" applyNumberFormat="1" applyFont="1" applyFill="1" applyBorder="1" applyAlignment="1">
      <x:alignment vertical="center"/>
    </x:xf>
    <x:xf numFmtId="0" fontId="0" fillId="5" borderId="0" xfId="0" applyNumberFormat="1" applyFont="1" applyFill="1" applyBorder="1"/>
    <x:xf numFmtId="0" fontId="11" fillId="5" borderId="0" xfId="0" applyNumberFormat="1" applyFont="1" applyFill="1" applyBorder="1"/>
    <x:xf numFmtId="0" fontId="11" fillId="5"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0" fillId="11" borderId="0" xfId="0" applyNumberFormat="1" applyFont="1" applyFill="1" applyBorder="1"/>
    <x:xf numFmtId="0" fontId="12" fillId="11" borderId="0" xfId="0" applyNumberFormat="1" applyFont="1" applyFill="1" applyBorder="1"/>
    <x:xf numFmtId="0" fontId="12" fillId="11" borderId="31" xfId="0" applyNumberFormat="1" applyFont="1" applyFill="1" applyBorder="1"/>
    <x:xf numFmtId="0" fontId="12" fillId="11" borderId="32" xfId="0" applyNumberFormat="1" applyFont="1" applyFill="1" applyBorder="1"/>
    <x:xf numFmtId="0" fontId="12" fillId="11" borderId="33" xfId="0" applyNumberFormat="1" applyFont="1" applyFill="1" applyBorder="1"/>
    <x:xf numFmtId="0" fontId="12" fillId="11" borderId="34" xfId="0" applyNumberFormat="1" applyFont="1" applyFill="1" applyBorder="1"/>
    <x:xf numFmtId="0" fontId="12" fillId="11" borderId="35" xfId="0" applyNumberFormat="1" applyFont="1" applyFill="1" applyBorder="1"/>
    <x:xf numFmtId="0" fontId="12" fillId="11" borderId="36" xfId="0" applyNumberFormat="1" applyFont="1" applyFill="1" applyBorder="1"/>
    <x:xf numFmtId="0" fontId="12" fillId="11" borderId="37" xfId="0" applyNumberFormat="1" applyFont="1" applyFill="1" applyBorder="1"/>
    <x:xf numFmtId="0" fontId="12" fillId="11" borderId="38" xfId="0" applyNumberFormat="1" applyFont="1" applyFill="1" applyBorder="1"/>
    <x:xf numFmtId="0" fontId="12" fillId="11" borderId="31" xfId="0" applyNumberFormat="1" applyFont="1" applyFill="1" applyBorder="1" applyAlignment="1">
      <x:alignment wrapText="1"/>
    </x:xf>
    <x:xf numFmtId="0" fontId="12" fillId="11" borderId="32" xfId="0" applyNumberFormat="1" applyFont="1" applyFill="1" applyBorder="1" applyAlignment="1">
      <x:alignment wrapText="1"/>
    </x:xf>
    <x:xf numFmtId="0" fontId="12" fillId="11" borderId="33" xfId="0" applyNumberFormat="1" applyFont="1" applyFill="1" applyBorder="1" applyAlignment="1">
      <x:alignment wrapText="1"/>
    </x:xf>
    <x:xf numFmtId="0" fontId="12" fillId="11" borderId="34" xfId="0" applyNumberFormat="1" applyFont="1" applyFill="1" applyBorder="1" applyAlignment="1">
      <x:alignment wrapText="1"/>
    </x:xf>
    <x:xf numFmtId="0" fontId="12" fillId="11" borderId="0" xfId="0" applyNumberFormat="1" applyFont="1" applyFill="1" applyBorder="1" applyAlignment="1">
      <x:alignment wrapText="1"/>
    </x:xf>
    <x:xf numFmtId="0" fontId="12" fillId="11" borderId="35" xfId="0" applyNumberFormat="1" applyFont="1" applyFill="1" applyBorder="1" applyAlignment="1">
      <x:alignment wrapText="1"/>
    </x:xf>
    <x:xf numFmtId="0" fontId="12" fillId="11" borderId="36" xfId="0" applyNumberFormat="1" applyFont="1" applyFill="1" applyBorder="1" applyAlignment="1">
      <x:alignment wrapText="1"/>
    </x:xf>
    <x:xf numFmtId="0" fontId="12" fillId="11" borderId="37" xfId="0" applyNumberFormat="1" applyFont="1" applyFill="1" applyBorder="1" applyAlignment="1">
      <x:alignment wrapText="1"/>
    </x:xf>
    <x:xf numFmtId="0" fontId="12" fillId="11" borderId="38" xfId="0" applyNumberFormat="1" applyFont="1" applyFill="1" applyBorder="1" applyAlignment="1">
      <x:alignment wrapText="1"/>
    </x:xf>
    <x:xf numFmtId="0" fontId="12" fillId="11" borderId="31" xfId="0" applyNumberFormat="1" applyFont="1" applyFill="1" applyBorder="1" applyAlignment="1">
      <x:alignment vertical="center" wrapText="1"/>
    </x:xf>
    <x:xf numFmtId="0" fontId="12" fillId="11" borderId="32" xfId="0" applyNumberFormat="1" applyFont="1" applyFill="1" applyBorder="1" applyAlignment="1">
      <x:alignment vertical="center" wrapText="1"/>
    </x:xf>
    <x:xf numFmtId="0" fontId="12" fillId="11" borderId="33" xfId="0" applyNumberFormat="1" applyFont="1" applyFill="1" applyBorder="1" applyAlignment="1">
      <x:alignment vertical="center" wrapText="1"/>
    </x:xf>
    <x:xf numFmtId="0" fontId="12" fillId="11" borderId="34" xfId="0" applyNumberFormat="1" applyFont="1" applyFill="1" applyBorder="1" applyAlignment="1">
      <x:alignment vertical="center" wrapText="1"/>
    </x:xf>
    <x:xf numFmtId="0" fontId="12" fillId="11" borderId="0" xfId="0" applyNumberFormat="1" applyFont="1" applyFill="1" applyBorder="1" applyAlignment="1">
      <x:alignment vertical="center" wrapText="1"/>
    </x:xf>
    <x:xf numFmtId="0" fontId="12" fillId="11" borderId="35" xfId="0" applyNumberFormat="1" applyFont="1" applyFill="1" applyBorder="1" applyAlignment="1">
      <x:alignment vertical="center" wrapText="1"/>
    </x:xf>
    <x:xf numFmtId="0" fontId="12" fillId="11" borderId="36" xfId="0" applyNumberFormat="1" applyFont="1" applyFill="1" applyBorder="1" applyAlignment="1">
      <x:alignment vertical="center" wrapText="1"/>
    </x:xf>
    <x:xf numFmtId="0" fontId="12" fillId="11" borderId="37" xfId="0" applyNumberFormat="1" applyFont="1" applyFill="1" applyBorder="1" applyAlignment="1">
      <x:alignment vertical="center" wrapText="1"/>
    </x:xf>
    <x:xf numFmtId="0" fontId="12" fillId="11" borderId="38"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vertical="center"/>
    </x:xf>
    <x:xf numFmtId="0" fontId="0" fillId="13" borderId="0" xfId="0" applyNumberFormat="1" applyFont="1" applyFill="1" applyBorder="1"/>
    <x:xf numFmtId="0" fontId="13" fillId="13" borderId="0" xfId="0" applyNumberFormat="1" applyFont="1" applyFill="1" applyBorder="1"/>
    <x:xf numFmtId="0" fontId="13" fillId="13" borderId="39" xfId="0" applyNumberFormat="1" applyFont="1" applyFill="1" applyBorder="1"/>
    <x:xf numFmtId="0" fontId="13" fillId="13" borderId="40" xfId="0" applyNumberFormat="1" applyFont="1" applyFill="1" applyBorder="1"/>
    <x:xf numFmtId="0" fontId="13" fillId="13" borderId="41" xfId="0" applyNumberFormat="1" applyFont="1" applyFill="1" applyBorder="1"/>
    <x:xf numFmtId="0" fontId="13" fillId="13" borderId="42" xfId="0" applyNumberFormat="1" applyFont="1" applyFill="1" applyBorder="1"/>
    <x:xf numFmtId="0" fontId="13" fillId="13" borderId="43" xfId="0" applyNumberFormat="1" applyFont="1" applyFill="1" applyBorder="1"/>
    <x:xf numFmtId="0" fontId="13" fillId="13" borderId="44" xfId="0" applyNumberFormat="1" applyFont="1" applyFill="1" applyBorder="1"/>
    <x:xf numFmtId="0" fontId="13" fillId="13" borderId="39" xfId="0" applyNumberFormat="1" applyFont="1" applyFill="1" applyBorder="1" applyAlignment="1">
      <x:alignment wrapText="1"/>
    </x:xf>
    <x:xf numFmtId="0" fontId="13" fillId="13" borderId="40" xfId="0" applyNumberFormat="1" applyFont="1" applyFill="1" applyBorder="1" applyAlignment="1">
      <x:alignment wrapText="1"/>
    </x:xf>
    <x:xf numFmtId="0" fontId="13" fillId="13" borderId="41" xfId="0" applyNumberFormat="1" applyFont="1" applyFill="1" applyBorder="1" applyAlignment="1">
      <x:alignment wrapText="1"/>
    </x:xf>
    <x:xf numFmtId="0" fontId="13" fillId="13" borderId="42" xfId="0" applyNumberFormat="1" applyFont="1" applyFill="1" applyBorder="1" applyAlignment="1">
      <x:alignment wrapText="1"/>
    </x:xf>
    <x:xf numFmtId="0" fontId="13" fillId="13" borderId="43" xfId="0" applyNumberFormat="1" applyFont="1" applyFill="1" applyBorder="1" applyAlignment="1">
      <x:alignment wrapText="1"/>
    </x:xf>
    <x:xf numFmtId="0" fontId="13" fillId="13" borderId="44" xfId="0" applyNumberFormat="1" applyFont="1" applyFill="1" applyBorder="1" applyAlignment="1">
      <x:alignment wrapText="1"/>
    </x:xf>
    <x:xf numFmtId="0" fontId="13" fillId="13" borderId="39" xfId="0" applyNumberFormat="1" applyFont="1" applyFill="1" applyBorder="1" applyAlignment="1">
      <x:alignment vertical="center" wrapText="1"/>
    </x:xf>
    <x:xf numFmtId="0" fontId="13" fillId="13" borderId="40" xfId="0" applyNumberFormat="1" applyFont="1" applyFill="1" applyBorder="1" applyAlignment="1">
      <x:alignment vertical="center" wrapText="1"/>
    </x:xf>
    <x:xf numFmtId="0" fontId="13" fillId="13" borderId="41" xfId="0" applyNumberFormat="1" applyFont="1" applyFill="1" applyBorder="1" applyAlignment="1">
      <x:alignment vertical="center" wrapText="1"/>
    </x:xf>
    <x:xf numFmtId="0" fontId="13" fillId="13" borderId="42" xfId="0" applyNumberFormat="1" applyFont="1" applyFill="1" applyBorder="1" applyAlignment="1">
      <x:alignment vertical="center" wrapText="1"/>
    </x:xf>
    <x:xf numFmtId="0" fontId="13" fillId="13" borderId="43" xfId="0" applyNumberFormat="1" applyFont="1" applyFill="1" applyBorder="1" applyAlignment="1">
      <x:alignment vertical="center" wrapText="1"/>
    </x:xf>
    <x:xf numFmtId="0" fontId="13" fillId="13" borderId="44" xfId="0" applyNumberFormat="1" applyFont="1" applyFill="1" applyBorder="1" applyAlignment="1">
      <x:alignment vertical="center" wrapText="1"/>
    </x:xf>
    <x:xf numFmtId="201" fontId="0" fillId="0" borderId="1" xfId="0" applyNumberFormat="1" applyFont="1" applyFill="1" applyBorder="1"/>
    <x:xf numFmtId="0" fontId="14" fillId="10" borderId="0" xfId="0" applyNumberFormat="1" applyFont="1" applyFill="1" applyBorder="1"/>
    <x:xf numFmtId="0" fontId="14" fillId="10" borderId="11" xfId="0" applyNumberFormat="1" applyFont="1" applyFill="1" applyBorder="1"/>
    <x:xf numFmtId="0" fontId="14" fillId="10" borderId="12" xfId="0" applyNumberFormat="1" applyFont="1" applyFill="1" applyBorder="1"/>
    <x:xf numFmtId="0" fontId="14" fillId="10" borderId="13" xfId="0" applyNumberFormat="1" applyFont="1" applyFill="1" applyBorder="1"/>
    <x:xf numFmtId="0" fontId="14" fillId="10" borderId="14" xfId="0" applyNumberFormat="1" applyFont="1" applyFill="1" applyBorder="1"/>
    <x:xf numFmtId="0" fontId="14" fillId="10" borderId="15" xfId="0" applyNumberFormat="1" applyFont="1" applyFill="1" applyBorder="1"/>
    <x:xf numFmtId="0" fontId="14" fillId="10" borderId="16" xfId="0" applyNumberFormat="1" applyFont="1" applyFill="1" applyBorder="1"/>
    <x:xf numFmtId="0" fontId="14" fillId="10" borderId="17" xfId="0" applyNumberFormat="1" applyFont="1" applyFill="1" applyBorder="1"/>
    <x:xf numFmtId="0" fontId="14" fillId="10" borderId="18" xfId="0" applyNumberFormat="1" applyFont="1" applyFill="1" applyBorder="1"/>
    <x:xf numFmtId="0" fontId="14" fillId="10" borderId="11" xfId="0" applyNumberFormat="1" applyFont="1" applyFill="1" applyBorder="1" applyAlignment="1">
      <x:alignment wrapText="1"/>
    </x:xf>
    <x:xf numFmtId="0" fontId="14" fillId="10" borderId="12" xfId="0" applyNumberFormat="1" applyFont="1" applyFill="1" applyBorder="1" applyAlignment="1">
      <x:alignment wrapText="1"/>
    </x:xf>
    <x:xf numFmtId="0" fontId="14" fillId="10" borderId="13" xfId="0" applyNumberFormat="1" applyFont="1" applyFill="1" applyBorder="1" applyAlignment="1">
      <x:alignment wrapText="1"/>
    </x:xf>
    <x:xf numFmtId="0" fontId="14" fillId="10" borderId="14" xfId="0" applyNumberFormat="1" applyFont="1" applyFill="1" applyBorder="1" applyAlignment="1">
      <x:alignment wrapText="1"/>
    </x:xf>
    <x:xf numFmtId="0" fontId="14" fillId="10" borderId="0" xfId="0" applyNumberFormat="1" applyFont="1" applyFill="1" applyBorder="1" applyAlignment="1">
      <x:alignment wrapText="1"/>
    </x:xf>
    <x:xf numFmtId="0" fontId="14" fillId="10" borderId="15" xfId="0" applyNumberFormat="1" applyFont="1" applyFill="1" applyBorder="1" applyAlignment="1">
      <x:alignment wrapText="1"/>
    </x:xf>
    <x:xf numFmtId="0" fontId="14" fillId="10" borderId="16" xfId="0" applyNumberFormat="1" applyFont="1" applyFill="1" applyBorder="1" applyAlignment="1">
      <x:alignment wrapText="1"/>
    </x:xf>
    <x:xf numFmtId="0" fontId="14" fillId="10" borderId="17" xfId="0" applyNumberFormat="1" applyFont="1" applyFill="1" applyBorder="1" applyAlignment="1">
      <x:alignment wrapText="1"/>
    </x:xf>
    <x:xf numFmtId="0" fontId="14" fillId="10" borderId="18" xfId="0" applyNumberFormat="1" applyFont="1" applyFill="1" applyBorder="1" applyAlignment="1">
      <x:alignment wrapText="1"/>
    </x:xf>
    <x:xf numFmtId="0" fontId="14" fillId="10" borderId="11" xfId="0" applyNumberFormat="1" applyFont="1" applyFill="1" applyBorder="1" applyAlignment="1">
      <x:alignment vertical="center" wrapText="1"/>
    </x:xf>
    <x:xf numFmtId="0" fontId="14" fillId="10" borderId="12" xfId="0" applyNumberFormat="1" applyFont="1" applyFill="1" applyBorder="1" applyAlignment="1">
      <x:alignment vertical="center" wrapText="1"/>
    </x:xf>
    <x:xf numFmtId="0" fontId="14" fillId="10" borderId="13" xfId="0" applyNumberFormat="1" applyFont="1" applyFill="1" applyBorder="1" applyAlignment="1">
      <x:alignment vertical="center" wrapText="1"/>
    </x:xf>
    <x:xf numFmtId="0" fontId="14" fillId="10" borderId="14" xfId="0" applyNumberFormat="1" applyFont="1" applyFill="1" applyBorder="1" applyAlignment="1">
      <x:alignment vertical="center" wrapText="1"/>
    </x:xf>
    <x:xf numFmtId="0" fontId="14" fillId="10" borderId="0" xfId="0" applyNumberFormat="1" applyFont="1" applyFill="1" applyBorder="1" applyAlignment="1">
      <x:alignment vertical="center" wrapText="1"/>
    </x:xf>
    <x:xf numFmtId="0" fontId="14" fillId="10" borderId="15" xfId="0" applyNumberFormat="1" applyFont="1" applyFill="1" applyBorder="1" applyAlignment="1">
      <x:alignment vertical="center" wrapText="1"/>
    </x:xf>
    <x:xf numFmtId="0" fontId="14" fillId="10" borderId="16" xfId="0" applyNumberFormat="1" applyFont="1" applyFill="1" applyBorder="1" applyAlignment="1">
      <x:alignment vertical="center" wrapText="1"/>
    </x:xf>
    <x:xf numFmtId="0" fontId="14" fillId="10" borderId="17" xfId="0" applyNumberFormat="1" applyFont="1" applyFill="1" applyBorder="1" applyAlignment="1">
      <x:alignment vertical="center" wrapText="1"/>
    </x:xf>
    <x:xf numFmtId="0" fontId="14" fillId="10" borderId="18" xfId="0" applyNumberFormat="1" applyFont="1" applyFill="1" applyBorder="1" applyAlignment="1">
      <x:alignment vertical="center" wrapText="1"/>
    </x:xf>
  </x:cellXfs>
  <x:cellStyles count="1">
    <x:cellStyle name="Normal" xfId="0"/>
  </x:cellStyles>
  <x:dxfs count="4">
    <x:dxf>
      <x:font>
        <x:b/>
        <x:color rgb="FFB91C1C"/>
      </x:font>
      <x:fill>
        <x:patternFill patternType="solid">
          <x:bgColor rgb="FFFEE2E2"/>
        </x:patternFill>
      </x:fill>
    </x:dxf>
    <x:dxf>
      <x:font>
        <x:color rgb="FF0F766E"/>
      </x:font>
      <x:fill>
        <x:patternFill patternType="solid">
          <x:bgColor rgb="FFD1FAE5"/>
        </x:patternFill>
      </x:fill>
    </x:dxf>
    <x:dxf>
      <x:font>
        <x:b/>
        <x:color rgb="FF0F766E"/>
      </x:font>
      <x:fill>
        <x:patternFill patternType="solid">
          <x:bgColor rgb="FFD1FAE5"/>
        </x:patternFill>
      </x:fill>
    </x:dxf>
    <x:dxf>
      <x:font>
        <x:b/>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14297d71fc44bf" /><Relationship Type="http://schemas.openxmlformats.org/officeDocument/2006/relationships/theme" Target="/xl/theme/theme1.xml" Id="R301bbe31ec9748a0" /><Relationship Type="http://schemas.openxmlformats.org/officeDocument/2006/relationships/sharedStrings" Target="/xl/sharedStrings.xml" Id="R440e6f3e42984935" /><Relationship Type="http://schemas.openxmlformats.org/officeDocument/2006/relationships/worksheet" Target="/xl/worksheets/sheet1.xml" Id="R330913059ff64d5f" /><Relationship Type="http://schemas.openxmlformats.org/officeDocument/2006/relationships/worksheet" Target="/xl/worksheets/sheet2.xml" Id="Ra0171fddde224dc7" /><Relationship Type="http://schemas.openxmlformats.org/officeDocument/2006/relationships/worksheet" Target="/xl/worksheets/sheet3.xml" Id="Ra745d1a75aba4c6b" /><Relationship Type="http://schemas.openxmlformats.org/officeDocument/2006/relationships/worksheet" Target="/xl/worksheets/sheet4.xml" Id="R962e0d6aa87c479a" /><Relationship Type="http://schemas.openxmlformats.org/officeDocument/2006/relationships/worksheet" Target="/xl/worksheets/sheet5.xml" Id="R38811b8686024cd0" /><Relationship Type="http://schemas.openxmlformats.org/officeDocument/2006/relationships/worksheet" Target="/xl/worksheets/sheet6.xml" Id="R0c838a6d7fb34608" /><Relationship Type="http://schemas.openxmlformats.org/officeDocument/2006/relationships/worksheet" Target="/xl/worksheets/sheet7.xml" Id="R08316080f5df48ae" /></Relationships>
</file>

<file path=xl/drawings/_rels/drawing1.xml.rels>&#65279;<?xml version="1.0" encoding="utf-8"?><Relationships xmlns="http://schemas.openxmlformats.org/package/2006/relationships"><Relationship Type="http://schemas.openxmlformats.org/officeDocument/2006/relationships/chart" Target="/xl/drawings/charts/chart1.xml" Id="R187ac56d96424fa5" /></Relationships>
</file>

<file path=xl/drawings/_rels/drawing2.xml.rels>&#65279;<?xml version="1.0" encoding="utf-8"?><Relationships xmlns="http://schemas.openxmlformats.org/package/2006/relationships"><Relationship Type="http://schemas.openxmlformats.org/officeDocument/2006/relationships/chart" Target="/xl/drawings/charts/chart2.xml" Id="R21f84899f9ed43a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高置信样本行业规模结构（Top 8）</a:t>
            </a:r>
          </a:p>
        </c:rich>
      </c:tx>
      <c:overlay val="0"/>
    </c:title>
    <c:plotArea>
      <c:barChart>
        <c:barDir val="col"/>
        <c:varyColors val="0"/>
        <c:ser>
          <c:idx val="0"/>
          <c:order val="0"/>
          <c:tx>
            <c:v>推算互动量</c:v>
          </c:tx>
          <c:cat>
            <c:strRef>
              <c:f>'结论看板'!$A$25:$A$32</c:f>
              <c:strCache>
                <c:ptCount val="0"/>
              </c:strCache>
            </c:strRef>
          </c:cat>
          <c:val>
            <c:numRef>
              <c:f>'结论看板'!$B$25:$B$32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M&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高置信样本推算互动量 Top 10</a:t>
            </a:r>
          </a:p>
        </c:rich>
      </c:tx>
      <c:overlay val="0"/>
    </c:title>
    <c:plotArea>
      <c:barChart>
        <c:barDir val="col"/>
        <c:varyColors val="0"/>
        <c:ser>
          <c:idx val="0"/>
          <c:order val="0"/>
          <c:tx>
            <c:v>公式推算互动量</c:v>
          </c:tx>
          <c:cat>
            <c:strRef>
              <c:f>'行业统计'!$A$5:$A$14</c:f>
              <c:strCache>
                <c:ptCount val="0"/>
              </c:strCache>
            </c:strRef>
          </c:cat>
          <c:val>
            <c:numRef>
              <c:f>'行业统计'!$B$5:$B$14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M&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23</xdr:row>
      <xdr:rowOff>0</xdr:rowOff>
    </xdr:from>
    <xdr:to>
      <xdr:col>14</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7ac56d96424fa5"/>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3</xdr:row>
      <xdr:rowOff>0</xdr:rowOff>
    </xdr:from>
    <xdr:to>
      <xdr:col>18</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f84899f9ed43a2"/>
        </a:graphicData>
      </a:graphic>
    </xdr:graphicFrame>
    <xdr:clientData/>
  </xdr:twoCellAnchor>
</xdr:wsDr>
</file>

<file path=xl/tables/table1.xml><?xml version="1.0" encoding="utf-8"?>
<x:table xmlns:x="http://schemas.openxmlformats.org/spreadsheetml/2006/main" id="2" name="GatewayOverview" displayName="GatewayOverview" ref="A4:M18" headerRowCount="1" totalsRowCount="0" totalsRowShown="0">
  <x:autoFilter ref="A4:M18"/>
  <x:tableColumns count="13">
    <x:tableColumn id="1" name="入口"/>
    <x:tableColumn id="2" name="状态"/>
    <x:tableColumn id="3" name="置信度"/>
    <x:tableColumn id="4" name="入口类型"/>
    <x:tableColumn id="5" name="月份"/>
    <x:tableColumn id="6" name="总引荐访问"/>
    <x:tableColumn id="7" name="引荐占网站总访问"/>
    <x:tableColumn id="8" name="引荐来源网站数"/>
    <x:tableColumn id="9" name="采集行数"/>
    <x:tableColumn id="10" name="样本覆盖率"/>
    <x:tableColumn id="11" name="口径说明"/>
    <x:tableColumn id="12" name="Similarweb URL"/>
    <x:tableColumn id="13" name="credits"/>
  </x:tableColumns>
  <x:tableStyleInfo name="TableStyleMedium2" showFirstColumn="0" showLastColumn="0" showRowStripes="1" showColumnStripes="0"/>
</x:table>
</file>

<file path=xl/tables/table2.xml><?xml version="1.0" encoding="utf-8"?>
<x:table xmlns:x="http://schemas.openxmlformats.org/spreadsheetml/2006/main" id="3" name="SectorStatistics" displayName="SectorStatistics" ref="A4:I21" headerRowCount="1" totalsRowCount="0" totalsRowShown="0">
  <x:autoFilter ref="A4:I21"/>
  <x:tableColumns count="9">
    <x:tableColumn id="1" name="行业"/>
    <x:tableColumn id="2" name="公式推算互动量"/>
    <x:tableColumn id="3" name="结构占比"/>
    <x:tableColumn id="4" name="入口归一化信号"/>
    <x:tableColumn id="5" name="高置信来源站数"/>
    <x:tableColumn id="6" name="高增长/新来源站数"/>
    <x:tableColumn id="7" name="中置信支持站数"/>
    <x:tableColumn id="8" name="付款侧变化中位数"/>
    <x:tableColumn id="9" name="分析提示"/>
  </x:tableColumns>
  <x:tableStyleInfo name="TableStyleMedium2" showFirstColumn="0" showLastColumn="0" showRowStripes="1" showColumnStripes="0"/>
</x:table>
</file>

<file path=xl/tables/table3.xml><?xml version="1.0" encoding="utf-8"?>
<x:table xmlns:x="http://schemas.openxmlformats.org/spreadsheetml/2006/main" id="4" name="RepresentativeCases" displayName="RepresentativeCases" ref="A4:O16" headerRowCount="1" totalsRowCount="0" totalsRowShown="0">
  <x:autoFilter ref="A4:O16"/>
  <x:tableColumns count="15">
    <x:tableColumn id="1" name="域名"/>
    <x:tableColumn id="2" name="支付入口"/>
    <x:tableColumn id="3" name="行业"/>
    <x:tableColumn id="4" name="入口排名"/>
    <x:tableColumn id="5" name="来源份额"/>
    <x:tableColumn id="6" name="来源份额环比"/>
    <x:tableColumn id="7" name="推算互动量"/>
    <x:tableColumn id="8" name="站点访问"/>
    <x:tableColumn id="9" name="站点访问环比"/>
    <x:tableColumn id="10" name="互动量/站点访问"/>
    <x:tableColumn id="11" name="方向"/>
    <x:tableColumn id="12" name="案例置信度"/>
    <x:tableColumn id="13" name="为什么值得看"/>
    <x:tableColumn id="14" name="限制"/>
    <x:tableColumn id="15" name="站点说明"/>
  </x:tableColumns>
  <x:tableStyleInfo name="TableStyleMedium2" showFirstColumn="0" showLastColumn="0" showRowStripes="1" showColumnStripes="0"/>
</x:table>
</file>

<file path=xl/tables/table4.xml><?xml version="1.0" encoding="utf-8"?>
<x:table xmlns:x="http://schemas.openxmlformats.org/spreadsheetml/2006/main" id="1" name="SourceDetails" displayName="SourceDetails" ref="A1:Y964" headerRowCount="1" totalsRowCount="0" totalsRowShown="0">
  <x:autoFilter ref="A1:Y964"/>
  <x:tableColumns count="25">
    <x:tableColumn id="1" name="支付入口"/>
    <x:tableColumn id="2" name="入口类型"/>
    <x:tableColumn id="3" name="置信度"/>
    <x:tableColumn id="4" name="数据月份"/>
    <x:tableColumn id="5" name="入口内排名"/>
    <x:tableColumn id="6" name="来源域名"/>
    <x:tableColumn id="7" name="Similarweb 行业"/>
    <x:tableColumn id="8" name="自定义行业"/>
    <x:tableColumn id="9" name="分类依据"/>
    <x:tableColumn id="10" name="全球排名"/>
    <x:tableColumn id="11" name="来源份额"/>
    <x:tableColumn id="12" name="变化类型"/>
    <x:tableColumn id="13" name="来源份额环比"/>
    <x:tableColumn id="14" name="入口总引荐访问"/>
    <x:tableColumn id="15" name="采集时推算互动量"/>
    <x:tableColumn id="16" name="公式推算互动量"/>
    <x:tableColumn id="17" name="噪音"/>
    <x:tableColumn id="18" name="噪音原因"/>
    <x:tableColumn id="19" name="付款侧信号分"/>
    <x:tableColumn id="20" name="交叉验证站点访问"/>
    <x:tableColumn id="21" name="站点访问环比"/>
    <x:tableColumn id="22" name="来源 URL"/>
    <x:tableColumn id="23" name="Similarweb URL"/>
    <x:tableColumn id="24" name="入口归一化份额"/>
    <x:tableColumn id="25" name="方向一致性"/>
  </x:tableColumns>
  <x:tableStyleInfo name="TableStyleMedium2" showFirstColumn="0" showLastColumn="0" showRowStripes="1" showColumnStripes="0"/>
</x:table>
</file>

<file path=xl/tables/table5.xml><?xml version="1.0" encoding="utf-8"?>
<x:table xmlns:x="http://schemas.openxmlformats.org/spreadsheetml/2006/main" id="5" name="NarrativeDirections" displayName="NarrativeDirections" ref="A4:H9" headerRowCount="1" totalsRowCount="0" totalsRowShown="0">
  <x:autoFilter ref="A4:H9"/>
  <x:tableColumns count="8">
    <x:tableColumn id="1" name="优先级"/>
    <x:tableColumn id="2" name="状态"/>
    <x:tableColumn id="3" name="方向"/>
    <x:tableColumn id="4" name="当前判断"/>
    <x:tableColumn id="5" name="证据与优势"/>
    <x:tableColumn id="6" name="主要缺口"/>
    <x:tableColumn id="7" name="下一步"/>
    <x:tableColumn id="8" name="适合形式"/>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63754cb5b7a4f56" /></Relationships>
</file>

<file path=xl/worksheets/_rels/sheet2.xml.rels>&#65279;<?xml version="1.0" encoding="utf-8"?><Relationships xmlns="http://schemas.openxmlformats.org/package/2006/relationships"><Relationship Type="http://schemas.openxmlformats.org/officeDocument/2006/relationships/table" Target="/xl/tables/table1.xml" Id="R80be19c9bb0b444b" /></Relationships>
</file>

<file path=xl/worksheets/_rels/sheet3.xml.rels>&#65279;<?xml version="1.0" encoding="utf-8"?><Relationships xmlns="http://schemas.openxmlformats.org/package/2006/relationships"><Relationship Type="http://schemas.openxmlformats.org/officeDocument/2006/relationships/drawing" Target="/xl/drawings/drawing2.xml" Id="R1a4c7acb271d4c08" /><Relationship Type="http://schemas.openxmlformats.org/officeDocument/2006/relationships/table" Target="/xl/tables/table2.xml" Id="R16f8221b0400413b" /></Relationships>
</file>

<file path=xl/worksheets/_rels/sheet4.xml.rels>&#65279;<?xml version="1.0" encoding="utf-8"?><Relationships xmlns="http://schemas.openxmlformats.org/package/2006/relationships"><Relationship Type="http://schemas.openxmlformats.org/officeDocument/2006/relationships/table" Target="/xl/tables/table3.xml" Id="R2369d19bfaaa416b" /></Relationships>
</file>

<file path=xl/worksheets/_rels/sheet5.xml.rels>&#65279;<?xml version="1.0" encoding="utf-8"?><Relationships xmlns="http://schemas.openxmlformats.org/package/2006/relationships"><Relationship Type="http://schemas.openxmlformats.org/officeDocument/2006/relationships/table" Target="/xl/tables/table4.xml" Id="R9881074364414074" /></Relationships>
</file>

<file path=xl/worksheets/_rels/sheet6.xml.rels>&#65279;<?xml version="1.0" encoding="utf-8"?><Relationships xmlns="http://schemas.openxmlformats.org/package/2006/relationships"><Relationship Type="http://schemas.openxmlformats.org/officeDocument/2006/relationships/table" Target="/xl/tables/table5.xml" Id="Rd1640f35836e4583"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4" hidden="0" customWidth="1"/>
    <x:col min="4" max="4" width="15" hidden="0" customWidth="1"/>
    <x:col min="5" max="5" width="15" hidden="0" customWidth="1"/>
    <x:col min="6" max="6" width="4" hidden="0" customWidth="1"/>
    <x:col min="7" max="7" width="15" hidden="0" customWidth="1"/>
    <x:col min="8" max="8" width="15" hidden="0" customWidth="1"/>
    <x:col min="9" max="9" width="4" hidden="0" customWidth="1"/>
    <x:col min="10" max="10" width="15" hidden="0" customWidth="1"/>
    <x:col min="11" max="11" width="15" hidden="0" customWidth="1"/>
    <x:col min="12" max="12" width="15" hidden="0" customWidth="1"/>
    <x:col min="13" max="13" width="15" hidden="0" customWidth="1"/>
    <x:col min="14" max="14" width="15" hidden="0" customWidth="1"/>
  </x:cols>
  <x:sheetData>
    <x:row r="1" ht="29" customHeight="1">
      <x:c r="A1" s="30" t="str">
        <x:v>Similarweb 支付引荐产业研究｜第一轮结论</x:v>
      </x:c>
      <x:c r="B1" s="30"/>
      <x:c r="C1" s="30"/>
      <x:c r="D1" s="30"/>
      <x:c r="E1" s="30"/>
      <x:c r="F1" s="30"/>
      <x:c r="G1" s="30"/>
      <x:c r="H1" s="30"/>
      <x:c r="I1" s="30"/>
      <x:c r="J1" s="30"/>
      <x:c r="K1" s="30"/>
      <x:c r="L1" s="30"/>
      <x:c r="M1" s="30"/>
      <x:c r="N1" s="30"/>
    </x:row>
    <x:row r="2" ht="29" customHeight="1">
      <x:c r="A2" s="30"/>
      <x:c r="B2" s="30"/>
      <x:c r="C2" s="30"/>
      <x:c r="D2" s="30"/>
      <x:c r="E2" s="30"/>
      <x:c r="F2" s="30"/>
      <x:c r="G2" s="30"/>
      <x:c r="H2" s="30"/>
      <x:c r="I2" s="30"/>
      <x:c r="J2" s="30"/>
      <x:c r="K2" s="30"/>
      <x:c r="L2" s="30"/>
      <x:c r="M2" s="30"/>
      <x:c r="N2" s="30"/>
    </x:row>
    <x:row r="3" ht="25" customHeight="1">
      <x:c r="A3" s="35" t="str">
        <x:v>研究目的：发现行业结构与候选机会，不推断订单或月收入｜数据期：2026 年 7 月｜未消耗 Similarweb credits</x:v>
      </x:c>
      <x:c r="B3" s="35"/>
      <x:c r="C3" s="35"/>
      <x:c r="D3" s="35"/>
      <x:c r="E3" s="35"/>
      <x:c r="F3" s="35"/>
      <x:c r="G3" s="35"/>
      <x:c r="H3" s="35"/>
      <x:c r="I3" s="35"/>
      <x:c r="J3" s="35"/>
      <x:c r="K3" s="35"/>
      <x:c r="L3" s="35"/>
      <x:c r="M3" s="35"/>
      <x:c r="N3" s="35"/>
    </x:row>
    <x:row r="5">
      <x:c r="A5" s="120" t="str">
        <x:v>有数据入口</x:v>
      </x:c>
      <x:c r="B5" s="121"/>
      <x:c r="C5" s="122"/>
      <x:c r="D5" s="120" t="str">
        <x:v>来源记录</x:v>
      </x:c>
      <x:c r="E5" s="121"/>
      <x:c r="F5" s="122"/>
      <x:c r="G5" s="120" t="str">
        <x:v>高置信入口</x:v>
      </x:c>
      <x:c r="H5" s="121"/>
      <x:c r="I5" s="122"/>
      <x:c r="J5" s="120" t="str">
        <x:v>AI 在高置信样本的结构份额</x:v>
      </x:c>
      <x:c r="K5" s="121"/>
      <x:c r="L5" s="121"/>
      <x:c r="M5" s="121"/>
      <x:c r="N5" s="122"/>
    </x:row>
    <x:row r="6">
      <x:c r="A6" s="142" t="n">
        <x:f>COUNTIF('入口概览'!$B$5:$B$18,"有数据")</x:f>
        <x:v>11</x:v>
      </x:c>
      <x:c r="B6" s="143"/>
      <x:c r="C6" s="144"/>
      <x:c r="D6" s="160" t="n">
        <x:f>COUNTA('来源明细'!$A$2:$A$964)</x:f>
        <x:v>963</x:v>
      </x:c>
      <x:c r="E6" s="161"/>
      <x:c r="F6" s="162"/>
      <x:c r="G6" s="142" t="n">
        <x:f>COUNTIFS('入口概览'!$B$5:$B$18,"有数据",'入口概览'!$C$5:$C$18,"高")</x:f>
        <x:v>5</x:v>
      </x:c>
      <x:c r="H6" s="143"/>
      <x:c r="I6" s="144"/>
      <x:c r="J6" s="178" t="n">
        <x:f>('行业统计'!$B$5+'行业统计'!$B$6+'行业统计'!$B$13)/SUM('行业统计'!$B$5:$B$21)</x:f>
        <x:v>0.5748668118762589</x:v>
      </x:c>
      <x:c r="K6" s="179"/>
      <x:c r="L6" s="179"/>
      <x:c r="M6" s="179"/>
      <x:c r="N6" s="180"/>
    </x:row>
    <x:row r="7">
      <x:c r="A7" s="145"/>
      <x:c r="B7" s="146"/>
      <x:c r="C7" s="147"/>
      <x:c r="D7" s="163"/>
      <x:c r="E7" s="164"/>
      <x:c r="F7" s="165"/>
      <x:c r="G7" s="145"/>
      <x:c r="H7" s="146"/>
      <x:c r="I7" s="147"/>
      <x:c r="J7" s="181"/>
      <x:c r="K7" s="182"/>
      <x:c r="L7" s="182"/>
      <x:c r="M7" s="182"/>
      <x:c r="N7" s="183"/>
    </x:row>
    <x:row r="9">
      <x:c r="A9" s="185" t="str">
        <x:v>推荐叙事</x:v>
      </x:c>
      <x:c r="B9" s="185"/>
      <x:c r="C9" s="185"/>
      <x:c r="D9" s="185"/>
      <x:c r="E9" s="185"/>
      <x:c r="F9" s="185"/>
      <x:c r="G9" s="185"/>
      <x:c r="H9" s="185"/>
      <x:c r="I9" s="185"/>
      <x:c r="J9" s="185"/>
      <x:c r="K9" s="185"/>
      <x:c r="L9" s="185"/>
      <x:c r="M9" s="185"/>
      <x:c r="N9" s="185"/>
    </x:row>
    <x:row r="10">
      <x:c r="A10" s="189" t="str">
        <x:v>AI 吃走了支付流量的大头，但独立开发者更值得看被 AI 遮住的专业小工具</x:v>
      </x:c>
      <x:c r="B10" s="189"/>
      <x:c r="C10" s="189"/>
      <x:c r="D10" s="189"/>
      <x:c r="E10" s="189"/>
      <x:c r="F10" s="189"/>
      <x:c r="G10" s="189"/>
      <x:c r="H10" s="189"/>
      <x:c r="I10" s="189"/>
      <x:c r="J10" s="189"/>
      <x:c r="K10" s="189"/>
      <x:c r="L10" s="189"/>
      <x:c r="M10" s="189"/>
      <x:c r="N10" s="189"/>
    </x:row>
    <x:row r="11" ht="28" customHeight="1">
      <x:c r="A11" s="209" t="str">
        <x:v>规模上，AI 内容生成、AI 开发工具占据 Stripe Checkout 可识别产品来源的主要份额；机会适配上，FastSpring 与 PayPro Global 中跨平台桌面/移动专业工具更集中、竞争更可控。最值得继续深挖的不是再做一个通用生成器，而是围绕明确职业任务、设备问题或创作流程的专业工具。</x:v>
      </x:c>
      <x:c r="B11" s="210"/>
      <x:c r="C11" s="210"/>
      <x:c r="D11" s="210"/>
      <x:c r="E11" s="210"/>
      <x:c r="F11" s="210"/>
      <x:c r="G11" s="210"/>
      <x:c r="H11" s="210"/>
      <x:c r="I11" s="210"/>
      <x:c r="J11" s="210"/>
      <x:c r="K11" s="210"/>
      <x:c r="L11" s="210"/>
      <x:c r="M11" s="210"/>
      <x:c r="N11" s="211"/>
    </x:row>
    <x:row r="12" ht="28" customHeight="1">
      <x:c r="A12" s="212"/>
      <x:c r="B12" s="213"/>
      <x:c r="C12" s="213"/>
      <x:c r="D12" s="213"/>
      <x:c r="E12" s="213"/>
      <x:c r="F12" s="213"/>
      <x:c r="G12" s="213"/>
      <x:c r="H12" s="213"/>
      <x:c r="I12" s="213"/>
      <x:c r="J12" s="213"/>
      <x:c r="K12" s="213"/>
      <x:c r="L12" s="213"/>
      <x:c r="M12" s="213"/>
      <x:c r="N12" s="214"/>
    </x:row>
    <x:row r="13" ht="28" customHeight="1">
      <x:c r="A13" s="215"/>
      <x:c r="B13" s="216"/>
      <x:c r="C13" s="216"/>
      <x:c r="D13" s="216"/>
      <x:c r="E13" s="216"/>
      <x:c r="F13" s="216"/>
      <x:c r="G13" s="216"/>
      <x:c r="H13" s="216"/>
      <x:c r="I13" s="216"/>
      <x:c r="J13" s="216"/>
      <x:c r="K13" s="216"/>
      <x:c r="L13" s="216"/>
      <x:c r="M13" s="216"/>
      <x:c r="N13" s="217"/>
    </x:row>
    <x:row r="15">
      <x:c r="A15" s="218" t="str">
        <x:v>关键证据</x:v>
      </x:c>
      <x:c r="B15" s="218"/>
      <x:c r="C15" s="218"/>
      <x:c r="D15" s="218"/>
      <x:c r="E15" s="218"/>
      <x:c r="F15" s="218"/>
      <x:c r="G15" s="218"/>
      <x:c r="H15" s="218"/>
      <x:c r="J15" s="221" t="str">
        <x:v>机会判断</x:v>
      </x:c>
      <x:c r="K15" s="221"/>
      <x:c r="L15" s="221"/>
      <x:c r="M15" s="221"/>
      <x:c r="N15" s="221"/>
    </x:row>
    <x:row r="16" ht="32" customHeight="1">
      <x:c r="A16" s="83" t="str">
        <x:v>• 11 个有数据入口、963 条来源记录；其中 5 个为专用支付/结账入口。</x:v>
      </x:c>
      <x:c r="B16" s="84"/>
      <x:c r="C16" s="84"/>
      <x:c r="D16" s="84"/>
      <x:c r="E16" s="84"/>
      <x:c r="F16" s="84"/>
      <x:c r="G16" s="84"/>
      <x:c r="H16" s="85"/>
      <x:c r="J16" s="236" t="str">
        <x:v>规模层：AI 内容生成、3D、视频、语音和应用构建已经形成强付款侧信号，但竞争、资本和算力门槛也最高。</x:v>
      </x:c>
      <x:c r="K16" s="237"/>
      <x:c r="L16" s="237"/>
      <x:c r="M16" s="237"/>
      <x:c r="N16" s="238"/>
    </x:row>
    <x:row r="17" ht="32" customHeight="1">
      <x:c r="A17" s="94" t="str">
        <x:v>• Stripe Checkout 前 100 条中，剔除支付平台、自引荐和渠道域名后，AI 相关来源占可识别产品流量份额约 62.2%。</x:v>
      </x:c>
      <x:c r="B17" s="95"/>
      <x:c r="C17" s="95"/>
      <x:c r="D17" s="95"/>
      <x:c r="E17" s="95"/>
      <x:c r="F17" s="95"/>
      <x:c r="G17" s="95"/>
      <x:c r="H17" s="96"/>
      <x:c r="J17" s="239"/>
      <x:c r="K17" s="240"/>
      <x:c r="L17" s="240"/>
      <x:c r="M17" s="240"/>
      <x:c r="N17" s="241"/>
    </x:row>
    <x:row r="18" ht="32" customHeight="1">
      <x:c r="A18" s="83" t="str">
        <x:v>• 按专用入口总引荐访问量×来源份额估算，AI 相关条目占高置信样本约 57.5%；该数仅作结构比较，不能解释为订单或收入。</x:v>
      </x:c>
      <x:c r="B18" s="84"/>
      <x:c r="C18" s="84"/>
      <x:c r="D18" s="84"/>
      <x:c r="E18" s="84"/>
      <x:c r="F18" s="84"/>
      <x:c r="G18" s="84"/>
      <x:c r="H18" s="85"/>
      <x:c r="J18" s="236" t="str">
        <x:v>机会层：RoughAnimator、ADB AppControl、Bombich、Poweramp 代表的专业工具，用户任务更明确，适合继续补经营材料。</x:v>
      </x:c>
      <x:c r="K18" s="237"/>
      <x:c r="L18" s="237"/>
      <x:c r="M18" s="237"/>
      <x:c r="N18" s="238"/>
    </x:row>
    <x:row r="19" ht="32" customHeight="1">
      <x:c r="A19" s="94" t="str">
        <x:v>• FastSpring 可识别产品来源中，桌面/移动专业工具占约 69.0%；PayPro Global 中约 35.5%，另有约 36.0% 为开发者工具与互联网基础设施。</x:v>
      </x:c>
      <x:c r="B19" s="95"/>
      <x:c r="C19" s="95"/>
      <x:c r="D19" s="95"/>
      <x:c r="E19" s="95"/>
      <x:c r="F19" s="95"/>
      <x:c r="G19" s="95"/>
      <x:c r="H19" s="96"/>
      <x:c r="J19" s="239"/>
      <x:c r="K19" s="240"/>
      <x:c r="L19" s="240"/>
      <x:c r="M19" s="240"/>
      <x:c r="N19" s="241"/>
    </x:row>
    <x:row r="20" ht="32" customHeight="1">
      <x:c r="A20" s="83" t="str">
        <x:v>• Razorpay Payment Pages 可识别产品来源中，教育/课程/知识产品约占 48.4%，显示区域支付轨道对应不同商业结构。</x:v>
      </x:c>
      <x:c r="B20" s="84"/>
      <x:c r="C20" s="84"/>
      <x:c r="D20" s="84"/>
      <x:c r="E20" s="84"/>
      <x:c r="F20" s="84"/>
      <x:c r="G20" s="84"/>
      <x:c r="H20" s="85"/>
      <x:c r="J20" s="236" t="str">
        <x:v>区域层：Razorpay 上的 AI 影视课程信号强，但更像上线或投放脉冲，需要连续月份和产品交付信息。</x:v>
      </x:c>
      <x:c r="K20" s="237"/>
      <x:c r="L20" s="237"/>
      <x:c r="M20" s="237"/>
      <x:c r="N20" s="238"/>
    </x:row>
    <x:row r="21" ht="32" customHeight="1">
      <x:c r="A21" s="94" t="str">
        <x:v>• 10 个代表站点交叉验证里，8 个付款侧变化与站点访问量同向；但 Toolscale 与 Uare 的推算支付互动量高于站点访问量，说明绝对量不可用于收入估算。</x:v>
      </x:c>
      <x:c r="B21" s="95"/>
      <x:c r="C21" s="95"/>
      <x:c r="D21" s="95"/>
      <x:c r="E21" s="95"/>
      <x:c r="F21" s="95"/>
      <x:c r="G21" s="95"/>
      <x:c r="H21" s="96"/>
      <x:c r="J21" s="239"/>
      <x:c r="K21" s="240"/>
      <x:c r="L21" s="240"/>
      <x:c r="M21" s="240"/>
      <x:c r="N21" s="241"/>
    </x:row>
    <x:row r="24">
      <x:c r="A24" s="6" t="str">
        <x:v>行业（Top 8）</x:v>
      </x:c>
      <x:c r="B24" s="6" t="str">
        <x:v>推算互动量</x:v>
      </x:c>
    </x:row>
    <x:row r="25">
      <x:c r="A25" s="67" t="str">
        <x:f>'行业统计'!A5</x:f>
        <x:v>AI 内容生成与创作</x:v>
      </x:c>
      <x:c r="B25" s="242" t="n">
        <x:f>'行业统计'!B5</x:f>
        <x:v>10818023</x:v>
      </x:c>
    </x:row>
    <x:row r="26">
      <x:c r="A26" s="67" t="str">
        <x:f>'行业统计'!A6</x:f>
        <x:v>AI 开发工具与基础设施</x:v>
      </x:c>
      <x:c r="B26" s="242" t="n">
        <x:f>'行业统计'!B6</x:f>
        <x:v>3590376</x:v>
      </x:c>
    </x:row>
    <x:row r="27">
      <x:c r="A27" s="67" t="str">
        <x:f>'行业统计'!A7</x:f>
        <x:v>游戏、数字商品与虚拟内容</x:v>
      </x:c>
      <x:c r="B27" s="242" t="n">
        <x:f>'行业统计'!B7</x:f>
        <x:v>2002714</x:v>
      </x:c>
    </x:row>
    <x:row r="28">
      <x:c r="A28" s="67" t="str">
        <x:f>'行业统计'!A8</x:f>
        <x:v>营销、电商与商业 SaaS</x:v>
      </x:c>
      <x:c r="B28" s="242" t="n">
        <x:f>'行业统计'!B8</x:f>
        <x:v>1950315</x:v>
      </x:c>
    </x:row>
    <x:row r="29">
      <x:c r="A29" s="67" t="str">
        <x:f>'行业统计'!A9</x:f>
        <x:v>内容媒体、线下与实体消费</x:v>
      </x:c>
      <x:c r="B29" s="242" t="n">
        <x:f>'行业统计'!B9</x:f>
        <x:v>1253995</x:v>
      </x:c>
    </x:row>
    <x:row r="30">
      <x:c r="A30" s="67" t="str">
        <x:f>'行业统计'!A10</x:f>
        <x:v>其他/待核查</x:v>
      </x:c>
      <x:c r="B30" s="242" t="n">
        <x:f>'行业统计'!B10</x:f>
        <x:v>1094447</x:v>
      </x:c>
    </x:row>
    <x:row r="31">
      <x:c r="A31" s="67" t="str">
        <x:f>'行业统计'!A11</x:f>
        <x:v>教育、课程与知识产品</x:v>
      </x:c>
      <x:c r="B31" s="242" t="n">
        <x:f>'行业统计'!B11</x:f>
        <x:v>954684</x:v>
      </x:c>
    </x:row>
    <x:row r="32">
      <x:c r="A32" s="67" t="str">
        <x:f>'行业统计'!A12</x:f>
        <x:v>健康、生活方式与消费服务</x:v>
      </x:c>
      <x:c r="B32" s="242" t="n">
        <x:f>'行业统计'!B12</x:f>
        <x:v>779065</x:v>
      </x:c>
    </x:row>
    <x:row r="42">
      <x:c r="A42" s="101" t="str">
        <x:v>最重要的方法警告</x:v>
      </x:c>
      <x:c r="B42" s="101"/>
      <x:c r="C42" s="101"/>
      <x:c r="D42" s="101"/>
      <x:c r="E42" s="101"/>
      <x:c r="F42" s="101"/>
      <x:c r="G42" s="101"/>
      <x:c r="H42" s="101"/>
      <x:c r="I42" s="101"/>
      <x:c r="J42" s="101"/>
      <x:c r="K42" s="101"/>
      <x:c r="L42" s="101"/>
      <x:c r="M42" s="101"/>
      <x:c r="N42" s="101"/>
    </x:row>
    <x:row r="43" ht="27" customHeight="1">
      <x:c r="A43" s="261" t="str">
        <x:v>Incoming referral visits 不是订单；Change 是来源流量份额环比，不是订单增长。Similarweb 是模型估算，主域会混入文档、登录与营销流量，服务端支付和自动续费又可能被漏掉。本轮只有单月且每个入口最多前 100 条，没有价格、转化率、退款和续费数据。Toolscale 与 Uare 还出现推算互动量高于站点访问量的内部矛盾，因此这套方法只能发现候选，不能证明任何网站月入 1 万美元。</x:v>
      </x:c>
      <x:c r="B43" s="262"/>
      <x:c r="C43" s="262"/>
      <x:c r="D43" s="262"/>
      <x:c r="E43" s="262"/>
      <x:c r="F43" s="262"/>
      <x:c r="G43" s="262"/>
      <x:c r="H43" s="262"/>
      <x:c r="I43" s="262"/>
      <x:c r="J43" s="262"/>
      <x:c r="K43" s="262"/>
      <x:c r="L43" s="262"/>
      <x:c r="M43" s="262"/>
      <x:c r="N43" s="263"/>
    </x:row>
    <x:row r="44" ht="27" customHeight="1">
      <x:c r="A44" s="264"/>
      <x:c r="B44" s="265"/>
      <x:c r="C44" s="265"/>
      <x:c r="D44" s="265"/>
      <x:c r="E44" s="265"/>
      <x:c r="F44" s="265"/>
      <x:c r="G44" s="265"/>
      <x:c r="H44" s="265"/>
      <x:c r="I44" s="265"/>
      <x:c r="J44" s="265"/>
      <x:c r="K44" s="265"/>
      <x:c r="L44" s="265"/>
      <x:c r="M44" s="265"/>
      <x:c r="N44" s="266"/>
    </x:row>
    <x:row r="45" ht="27" customHeight="1">
      <x:c r="A45" s="264"/>
      <x:c r="B45" s="265"/>
      <x:c r="C45" s="265"/>
      <x:c r="D45" s="265"/>
      <x:c r="E45" s="265"/>
      <x:c r="F45" s="265"/>
      <x:c r="G45" s="265"/>
      <x:c r="H45" s="265"/>
      <x:c r="I45" s="265"/>
      <x:c r="J45" s="265"/>
      <x:c r="K45" s="265"/>
      <x:c r="L45" s="265"/>
      <x:c r="M45" s="265"/>
      <x:c r="N45" s="266"/>
    </x:row>
    <x:row r="46" ht="27" customHeight="1">
      <x:c r="A46" s="264"/>
      <x:c r="B46" s="265"/>
      <x:c r="C46" s="265"/>
      <x:c r="D46" s="265"/>
      <x:c r="E46" s="265"/>
      <x:c r="F46" s="265"/>
      <x:c r="G46" s="265"/>
      <x:c r="H46" s="265"/>
      <x:c r="I46" s="265"/>
      <x:c r="J46" s="265"/>
      <x:c r="K46" s="265"/>
      <x:c r="L46" s="265"/>
      <x:c r="M46" s="265"/>
      <x:c r="N46" s="266"/>
    </x:row>
    <x:row r="47" ht="27" customHeight="1">
      <x:c r="A47" s="267"/>
      <x:c r="B47" s="268"/>
      <x:c r="C47" s="268"/>
      <x:c r="D47" s="268"/>
      <x:c r="E47" s="268"/>
      <x:c r="F47" s="268"/>
      <x:c r="G47" s="268"/>
      <x:c r="H47" s="268"/>
      <x:c r="I47" s="268"/>
      <x:c r="J47" s="268"/>
      <x:c r="K47" s="268"/>
      <x:c r="L47" s="268"/>
      <x:c r="M47" s="268"/>
      <x:c r="N47" s="269"/>
    </x:row>
  </x:sheetData>
  <x:mergeCells>
    <x:mergeCell ref="A1:N2"/>
    <x:mergeCell ref="A3:N3"/>
    <x:mergeCell ref="A5:C5"/>
    <x:mergeCell ref="A6:C7"/>
    <x:mergeCell ref="D5:F5"/>
    <x:mergeCell ref="D6:F7"/>
    <x:mergeCell ref="G5:I5"/>
    <x:mergeCell ref="G6:I7"/>
    <x:mergeCell ref="J5:N5"/>
    <x:mergeCell ref="J6:N7"/>
    <x:mergeCell ref="A9:N9"/>
    <x:mergeCell ref="A10:N10"/>
    <x:mergeCell ref="A11:N13"/>
    <x:mergeCell ref="A15:H15"/>
    <x:mergeCell ref="A16:H16"/>
    <x:mergeCell ref="A17:H17"/>
    <x:mergeCell ref="A18:H18"/>
    <x:mergeCell ref="A19:H19"/>
    <x:mergeCell ref="A20:H20"/>
    <x:mergeCell ref="A21:H21"/>
    <x:mergeCell ref="J15:N15"/>
    <x:mergeCell ref="J16:N17"/>
    <x:mergeCell ref="J18:N19"/>
    <x:mergeCell ref="J20:N21"/>
    <x:mergeCell ref="A42:N42"/>
    <x:mergeCell ref="A43:N47"/>
  </x:mergeCells>
  <x:pageMargins left="0.7" right="0.7" top="0.75" bottom="0.75" header="0.3" footer="0.3"/>
  <x:drawing xmlns:r="http://schemas.openxmlformats.org/officeDocument/2006/relationships" r:id="R663754cb5b7a4f56"/>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1" hidden="0" customWidth="1"/>
    <x:col min="3" max="3" width="10" hidden="0" customWidth="1"/>
    <x:col min="4" max="4" width="19" hidden="0" customWidth="1"/>
    <x:col min="5" max="5" width="11" hidden="0" customWidth="1"/>
    <x:col min="6" max="6" width="16" hidden="0" customWidth="1"/>
    <x:col min="7" max="7" width="17" hidden="0" customWidth="1"/>
    <x:col min="8" max="8" width="16" hidden="0" customWidth="1"/>
    <x:col min="9" max="9" width="11" hidden="0" customWidth="1"/>
    <x:col min="10" max="10" width="13" hidden="0" customWidth="1"/>
    <x:col min="11" max="11" width="44" hidden="0" customWidth="1"/>
    <x:col min="12" max="12" width="45" hidden="0" customWidth="1"/>
    <x:col min="13" max="13" width="9" hidden="0" customWidth="1"/>
  </x:cols>
  <x:sheetData>
    <x:row r="1">
      <x:c r="A1" s="30" t="str">
        <x:v>支付入口覆盖与数据质量</x:v>
      </x:c>
      <x:c r="B1" s="30"/>
      <x:c r="C1" s="30"/>
      <x:c r="D1" s="30"/>
      <x:c r="E1" s="30"/>
      <x:c r="F1" s="30"/>
      <x:c r="G1" s="30"/>
      <x:c r="H1" s="30"/>
      <x:c r="I1" s="30"/>
      <x:c r="J1" s="30"/>
      <x:c r="K1" s="30"/>
      <x:c r="L1" s="30"/>
      <x:c r="M1" s="30"/>
    </x:row>
    <x:row r="2">
      <x:c r="A2" s="30"/>
      <x:c r="B2" s="30"/>
      <x:c r="C2" s="30"/>
      <x:c r="D2" s="30"/>
      <x:c r="E2" s="30"/>
      <x:c r="F2" s="30"/>
      <x:c r="G2" s="30"/>
      <x:c r="H2" s="30"/>
      <x:c r="I2" s="30"/>
      <x:c r="J2" s="30"/>
      <x:c r="K2" s="30"/>
      <x:c r="L2" s="30"/>
      <x:c r="M2" s="30"/>
    </x:row>
    <x:row r="3">
      <x:c r="A3" s="35" t="str">
        <x:v>2026 年 7 月｜Worldwide｜All traffic｜Include subdomains｜只读页面采集，未下载、未导出、未调用 API</x:v>
      </x:c>
      <x:c r="B3" s="35"/>
      <x:c r="C3" s="35"/>
      <x:c r="D3" s="35"/>
      <x:c r="E3" s="35"/>
      <x:c r="F3" s="35"/>
      <x:c r="G3" s="35"/>
      <x:c r="H3" s="35"/>
      <x:c r="I3" s="35"/>
      <x:c r="J3" s="35"/>
      <x:c r="K3" s="35"/>
      <x:c r="L3" s="35"/>
      <x:c r="M3" s="35"/>
    </x:row>
    <x:row r="4">
      <x:c r="A4" s="6" t="str">
        <x:v>入口</x:v>
      </x:c>
      <x:c r="B4" s="6" t="str">
        <x:v>状态</x:v>
      </x:c>
      <x:c r="C4" s="6" t="str">
        <x:v>置信度</x:v>
      </x:c>
      <x:c r="D4" s="6" t="str">
        <x:v>入口类型</x:v>
      </x:c>
      <x:c r="E4" s="6" t="str">
        <x:v>月份</x:v>
      </x:c>
      <x:c r="F4" s="6" t="str">
        <x:v>总引荐访问</x:v>
      </x:c>
      <x:c r="G4" s="6" t="str">
        <x:v>引荐占网站总访问</x:v>
      </x:c>
      <x:c r="H4" s="6" t="str">
        <x:v>引荐来源网站数</x:v>
      </x:c>
      <x:c r="I4" s="6" t="str">
        <x:v>采集行数</x:v>
      </x:c>
      <x:c r="J4" s="6" t="str">
        <x:v>样本覆盖率</x:v>
      </x:c>
      <x:c r="K4" s="6" t="str">
        <x:v>口径说明</x:v>
      </x:c>
      <x:c r="L4" s="6" t="str">
        <x:v>Similarweb URL</x:v>
      </x:c>
      <x:c r="M4" s="6" t="str">
        <x:v>credits</x:v>
      </x:c>
    </x:row>
    <x:row r="5" ht="47" customHeight="1">
      <x:c r="A5" s="10" t="str">
        <x:v>buy.stripe.com</x:v>
      </x:c>
      <x:c r="B5" s="10" t="str">
        <x:v>有数据</x:v>
      </x:c>
      <x:c r="C5" s="10" t="str">
        <x:v>高</x:v>
      </x:c>
      <x:c r="D5" s="10" t="str">
        <x:v>专用支付/结账入口</x:v>
      </x:c>
      <x:c r="E5" s="10" t="str">
        <x:v>Jul 2026</x:v>
      </x:c>
      <x:c r="F5" s="12" t="n">
        <x:v>2716000</x:v>
      </x:c>
      <x:c r="G5" s="11" t="n">
        <x:v>0.2918</x:v>
      </x:c>
      <x:c r="H5" s="10" t="n">
        <x:v>940</x:v>
      </x:c>
      <x:c r="I5" s="10" t="n">
        <x:v>100</x:v>
      </x:c>
      <x:c r="J5" s="37" t="n">
        <x:f>IFERROR(I5/H5,0)</x:f>
        <x:v>0.10638297872340426</x:v>
      </x:c>
      <x:c r="K5" s="38" t="str">
        <x:v>专用托管支付/结账子域，较接近购买流程。</x:v>
      </x:c>
      <x:c r="L5" s="38" t="str">
        <x:v>https://pro.similarweb.com/#/digitalsuite/websiteanalysis/referrals/*/999/1m?webSource=Total&amp;selectedTab=incomingTraffic&amp;key=buy.stripe.com</x:v>
      </x:c>
      <x:c r="M5" s="38" t="str">
        <x:v>0</x:v>
      </x:c>
    </x:row>
    <x:row r="6" ht="47" customHeight="1">
      <x:c r="A6" s="10" t="str">
        <x:v>checkout.stripe.com</x:v>
      </x:c>
      <x:c r="B6" s="10" t="str">
        <x:v>有数据</x:v>
      </x:c>
      <x:c r="C6" s="10" t="str">
        <x:v>高</x:v>
      </x:c>
      <x:c r="D6" s="10" t="str">
        <x:v>专用支付/结账入口</x:v>
      </x:c>
      <x:c r="E6" s="10" t="str">
        <x:v>Jul 2026</x:v>
      </x:c>
      <x:c r="F6" s="12" t="n">
        <x:v>42540000</x:v>
      </x:c>
      <x:c r="G6" s="11" t="n">
        <x:v>0.7762</x:v>
      </x:c>
      <x:c r="H6" s="10" t="n">
        <x:v>969</x:v>
      </x:c>
      <x:c r="I6" s="10" t="n">
        <x:v>100</x:v>
      </x:c>
      <x:c r="J6" s="37" t="n">
        <x:f>IFERROR(I6/H6,0)</x:f>
        <x:v>0.10319917440660474</x:v>
      </x:c>
      <x:c r="K6" s="38" t="str">
        <x:v>专用托管支付/结账子域，较接近购买流程。</x:v>
      </x:c>
      <x:c r="L6" s="38" t="str">
        <x:v>https://pro.similarweb.com/#/digitalsuite/websiteanalysis/referrals/*/999/1m?webSource=Total&amp;selectedTab=incomingTraffic&amp;key=checkout.stripe.com</x:v>
      </x:c>
      <x:c r="M6" s="38" t="str">
        <x:v>0</x:v>
      </x:c>
    </x:row>
    <x:row r="7" ht="47" customHeight="1">
      <x:c r="A7" s="10" t="str">
        <x:v>paddle.com</x:v>
      </x:c>
      <x:c r="B7" s="10" t="str">
        <x:v>有数据</x:v>
      </x:c>
      <x:c r="C7" s="10" t="str">
        <x:v>中</x:v>
      </x:c>
      <x:c r="D7" s="10" t="str">
        <x:v>主域混合入口</x:v>
      </x:c>
      <x:c r="E7" s="10" t="str">
        <x:v>Jul 2026</x:v>
      </x:c>
      <x:c r="F7" s="12" t="n">
        <x:v>295624</x:v>
      </x:c>
      <x:c r="G7" s="11" t="n">
        <x:v>0.1157</x:v>
      </x:c>
      <x:c r="H7" s="10" t="n">
        <x:v>325</x:v>
      </x:c>
      <x:c r="I7" s="10" t="n">
        <x:v>100</x:v>
      </x:c>
      <x:c r="J7" s="37" t="n">
        <x:f>IFERROR(I7/H7,0)</x:f>
        <x:v>0.3076923076923077</x:v>
      </x:c>
      <x:c r="K7" s="38" t="str">
        <x:v>支付服务商主域，混有结账、文档、账户、营销或店铺浏览等流量。</x:v>
      </x:c>
      <x:c r="L7" s="38" t="str">
        <x:v>https://pro.similarweb.com/#/digitalsuite/websiteanalysis/referrals/*/999/1m?webSource=Total&amp;selectedTab=incomingTraffic&amp;key=paddle.com</x:v>
      </x:c>
      <x:c r="M7" s="38" t="str">
        <x:v>0</x:v>
      </x:c>
    </x:row>
    <x:row r="8" ht="47" customHeight="1">
      <x:c r="A8" s="10" t="str">
        <x:v>creem.io</x:v>
      </x:c>
      <x:c r="B8" s="10" t="str">
        <x:v>有数据</x:v>
      </x:c>
      <x:c r="C8" s="10" t="str">
        <x:v>中</x:v>
      </x:c>
      <x:c r="D8" s="10" t="str">
        <x:v>主域混合入口</x:v>
      </x:c>
      <x:c r="E8" s="10" t="str">
        <x:v>Jul 2026</x:v>
      </x:c>
      <x:c r="F8" s="12" t="n">
        <x:v>52307</x:v>
      </x:c>
      <x:c r="G8" s="11" t="n">
        <x:v>0.11449999999999999</x:v>
      </x:c>
      <x:c r="H8" s="10" t="n">
        <x:v>42</x:v>
      </x:c>
      <x:c r="I8" s="10" t="n">
        <x:v>42</x:v>
      </x:c>
      <x:c r="J8" s="37" t="n">
        <x:f>IFERROR(I8/H8,0)</x:f>
        <x:v>1</x:v>
      </x:c>
      <x:c r="K8" s="38" t="str">
        <x:v>支付服务商主域，混有结账、文档、账户、营销或店铺浏览等流量。</x:v>
      </x:c>
      <x:c r="L8" s="38" t="str">
        <x:v>https://pro.similarweb.com/#/digitalsuite/websiteanalysis/referrals/*/999/1m?webSource=Total&amp;selectedTab=incomingTraffic&amp;key=creem.io</x:v>
      </x:c>
      <x:c r="M8" s="38" t="str">
        <x:v>0</x:v>
      </x:c>
    </x:row>
    <x:row r="9" ht="47" customHeight="1">
      <x:c r="A9" s="10" t="str">
        <x:v>polar.sh</x:v>
      </x:c>
      <x:c r="B9" s="10" t="str">
        <x:v>有数据</x:v>
      </x:c>
      <x:c r="C9" s="10" t="str">
        <x:v>中</x:v>
      </x:c>
      <x:c r="D9" s="10" t="str">
        <x:v>主域混合入口</x:v>
      </x:c>
      <x:c r="E9" s="10" t="str">
        <x:v>Jul 2026</x:v>
      </x:c>
      <x:c r="F9" s="12" t="n">
        <x:v>157018</x:v>
      </x:c>
      <x:c r="G9" s="11" t="n">
        <x:v>0.1727</x:v>
      </x:c>
      <x:c r="H9" s="10" t="n">
        <x:v>366</x:v>
      </x:c>
      <x:c r="I9" s="10" t="n">
        <x:v>100</x:v>
      </x:c>
      <x:c r="J9" s="37" t="n">
        <x:f>IFERROR(I9/H9,0)</x:f>
        <x:v>0.273224043715847</x:v>
      </x:c>
      <x:c r="K9" s="38" t="str">
        <x:v>支付服务商主域，混有结账、文档、账户、营销或店铺浏览等流量。</x:v>
      </x:c>
      <x:c r="L9" s="38" t="str">
        <x:v>https://pro.similarweb.com/#/digitalsuite/websiteanalysis/referrals/*/999/1m?webSource=Total&amp;selectedTab=incomingTraffic&amp;key=polar.sh</x:v>
      </x:c>
      <x:c r="M9" s="38" t="str">
        <x:v>0</x:v>
      </x:c>
    </x:row>
    <x:row r="10" ht="47" customHeight="1">
      <x:c r="A10" s="10" t="str">
        <x:v>lemonsqueezy.com</x:v>
      </x:c>
      <x:c r="B10" s="10" t="str">
        <x:v>有数据</x:v>
      </x:c>
      <x:c r="C10" s="10" t="str">
        <x:v>中</x:v>
      </x:c>
      <x:c r="D10" s="10" t="str">
        <x:v>主域混合入口</x:v>
      </x:c>
      <x:c r="E10" s="10" t="str">
        <x:v>Jul 2026</x:v>
      </x:c>
      <x:c r="F10" s="12" t="n">
        <x:v>126914</x:v>
      </x:c>
      <x:c r="G10" s="11" t="n">
        <x:v>0.0712</x:v>
      </x:c>
      <x:c r="H10" s="10" t="n">
        <x:v>254</x:v>
      </x:c>
      <x:c r="I10" s="10" t="n">
        <x:v>100</x:v>
      </x:c>
      <x:c r="J10" s="37" t="n">
        <x:f>IFERROR(I10/H10,0)</x:f>
        <x:v>0.3937007874015748</x:v>
      </x:c>
      <x:c r="K10" s="38" t="str">
        <x:v>支付服务商主域，混有结账、文档、账户、营销或店铺浏览等流量。</x:v>
      </x:c>
      <x:c r="L10" s="38" t="str">
        <x:v>https://pro.similarweb.com/#/digitalsuite/websiteanalysis/referrals/*/999/1m?webSource=Total&amp;selectedTab=incomingTraffic&amp;key=lemonsqueezy.com</x:v>
      </x:c>
      <x:c r="M10" s="38" t="str">
        <x:v>0</x:v>
      </x:c>
    </x:row>
    <x:row r="11" ht="47" customHeight="1">
      <x:c r="A11" s="10" t="str">
        <x:v>store.payproglobal.com</x:v>
      </x:c>
      <x:c r="B11" s="10" t="str">
        <x:v>有数据</x:v>
      </x:c>
      <x:c r="C11" s="10" t="str">
        <x:v>高</x:v>
      </x:c>
      <x:c r="D11" s="10" t="str">
        <x:v>专用支付/结账入口</x:v>
      </x:c>
      <x:c r="E11" s="10" t="str">
        <x:v>Jul 2026</x:v>
      </x:c>
      <x:c r="F11" s="12" t="n">
        <x:v>300299</x:v>
      </x:c>
      <x:c r="G11" s="11" t="n">
        <x:v>0.5079</x:v>
      </x:c>
      <x:c r="H11" s="10" t="n">
        <x:v>299</x:v>
      </x:c>
      <x:c r="I11" s="10" t="n">
        <x:v>100</x:v>
      </x:c>
      <x:c r="J11" s="37" t="n">
        <x:f>IFERROR(I11/H11,0)</x:f>
        <x:v>0.33444816053511706</x:v>
      </x:c>
      <x:c r="K11" s="38" t="str">
        <x:v>专用托管支付/结账子域，较接近购买流程。</x:v>
      </x:c>
      <x:c r="L11" s="38" t="str">
        <x:v>https://pro.similarweb.com/#/digitalsuite/websiteanalysis/referrals/*/999/1m?webSource=Total&amp;selectedTab=incomingTraffic&amp;key=store.payproglobal.com</x:v>
      </x:c>
      <x:c r="M11" s="38" t="str">
        <x:v>0</x:v>
      </x:c>
    </x:row>
    <x:row r="12" ht="47" customHeight="1">
      <x:c r="A12" s="10" t="str">
        <x:v>sites.fastspring.com</x:v>
      </x:c>
      <x:c r="B12" s="10" t="str">
        <x:v>有数据</x:v>
      </x:c>
      <x:c r="C12" s="10" t="str">
        <x:v>高</x:v>
      </x:c>
      <x:c r="D12" s="10" t="str">
        <x:v>专用支付/结账入口</x:v>
      </x:c>
      <x:c r="E12" s="10" t="str">
        <x:v>Jul 2026</x:v>
      </x:c>
      <x:c r="F12" s="12" t="n">
        <x:v>107449</x:v>
      </x:c>
      <x:c r="G12" s="11" t="n">
        <x:v>0.4249</x:v>
      </x:c>
      <x:c r="H12" s="10" t="n">
        <x:v>82</x:v>
      </x:c>
      <x:c r="I12" s="10" t="n">
        <x:v>82</x:v>
      </x:c>
      <x:c r="J12" s="37" t="n">
        <x:f>IFERROR(I12/H12,0)</x:f>
        <x:v>1</x:v>
      </x:c>
      <x:c r="K12" s="38" t="str">
        <x:v>专用托管支付/结账子域，较接近购买流程。</x:v>
      </x:c>
      <x:c r="L12" s="38" t="str">
        <x:v>https://pro.similarweb.com/#/digitalsuite/websiteanalysis/referrals/*/999/1m?webSource=Total&amp;selectedTab=incomingTraffic&amp;key=sites.fastspring.com</x:v>
      </x:c>
      <x:c r="M12" s="38" t="str">
        <x:v>0</x:v>
      </x:c>
    </x:row>
    <x:row r="13" ht="47" customHeight="1">
      <x:c r="A13" s="10" t="str">
        <x:v>gumroad.com</x:v>
      </x:c>
      <x:c r="B13" s="10" t="str">
        <x:v>有数据</x:v>
      </x:c>
      <x:c r="C13" s="10" t="str">
        <x:v>中</x:v>
      </x:c>
      <x:c r="D13" s="10" t="str">
        <x:v>主域混合入口</x:v>
      </x:c>
      <x:c r="E13" s="10" t="str">
        <x:v>Jul 2026</x:v>
      </x:c>
      <x:c r="F13" s="12" t="n">
        <x:v>2103000</x:v>
      </x:c>
      <x:c r="G13" s="11" t="n">
        <x:v>0.113</x:v>
      </x:c>
      <x:c r="H13" s="10" t="n">
        <x:v>918</x:v>
      </x:c>
      <x:c r="I13" s="10" t="n">
        <x:v>100</x:v>
      </x:c>
      <x:c r="J13" s="37" t="n">
        <x:f>IFERROR(I13/H13,0)</x:f>
        <x:v>0.10893246187363835</x:v>
      </x:c>
      <x:c r="K13" s="38" t="str">
        <x:v>支付服务商主域，混有结账、文档、账户、营销或店铺浏览等流量。</x:v>
      </x:c>
      <x:c r="L13" s="38" t="str">
        <x:v>https://pro.similarweb.com/#/digitalsuite/websiteanalysis/referrals/*/999/1m?webSource=Total&amp;selectedTab=incomingTraffic&amp;key=gumroad.com</x:v>
      </x:c>
      <x:c r="M13" s="38" t="str">
        <x:v>0</x:v>
      </x:c>
    </x:row>
    <x:row r="14" ht="47" customHeight="1">
      <x:c r="A14" s="10" t="str">
        <x:v>yookassa.ru</x:v>
      </x:c>
      <x:c r="B14" s="10" t="str">
        <x:v>有数据</x:v>
      </x:c>
      <x:c r="C14" s="10" t="str">
        <x:v>中</x:v>
      </x:c>
      <x:c r="D14" s="10" t="str">
        <x:v>主域混合入口</x:v>
      </x:c>
      <x:c r="E14" s="10" t="str">
        <x:v>Jul 2026</x:v>
      </x:c>
      <x:c r="F14" s="12" t="n">
        <x:v>111963</x:v>
      </x:c>
      <x:c r="G14" s="11" t="n">
        <x:v>0.058899999999999994</x:v>
      </x:c>
      <x:c r="H14" s="10" t="n">
        <x:v>39</x:v>
      </x:c>
      <x:c r="I14" s="10" t="n">
        <x:v>39</x:v>
      </x:c>
      <x:c r="J14" s="37" t="n">
        <x:f>IFERROR(I14/H14,0)</x:f>
        <x:v>1</x:v>
      </x:c>
      <x:c r="K14" s="38" t="str">
        <x:v>支付服务商主域，混有结账、文档、账户、营销或店铺浏览等流量。</x:v>
      </x:c>
      <x:c r="L14" s="38" t="str">
        <x:v>https://pro.similarweb.com/#/digitalsuite/websiteanalysis/referrals/*/999/1m?webSource=Total&amp;selectedTab=incomingTraffic&amp;key=yookassa.ru</x:v>
      </x:c>
      <x:c r="M14" s="38" t="str">
        <x:v>0</x:v>
      </x:c>
    </x:row>
    <x:row r="15" ht="47" customHeight="1">
      <x:c r="A15" s="10" t="str">
        <x:v>pages.razorpay.com</x:v>
      </x:c>
      <x:c r="B15" s="10" t="str">
        <x:v>有数据</x:v>
      </x:c>
      <x:c r="C15" s="10" t="str">
        <x:v>高</x:v>
      </x:c>
      <x:c r="D15" s="10" t="str">
        <x:v>专用支付/结账入口</x:v>
      </x:c>
      <x:c r="E15" s="10" t="str">
        <x:v>Jul 2026</x:v>
      </x:c>
      <x:c r="F15" s="12" t="n">
        <x:v>1387000</x:v>
      </x:c>
      <x:c r="G15" s="11" t="n">
        <x:v>0.1966</x:v>
      </x:c>
      <x:c r="H15" s="10" t="n">
        <x:v>951</x:v>
      </x:c>
      <x:c r="I15" s="10" t="n">
        <x:v>100</x:v>
      </x:c>
      <x:c r="J15" s="37" t="n">
        <x:f>IFERROR(I15/H15,0)</x:f>
        <x:v>0.10515247108307045</x:v>
      </x:c>
      <x:c r="K15" s="38" t="str">
        <x:v>专用托管支付/结账子域，较接近购买流程。</x:v>
      </x:c>
      <x:c r="L15" s="38" t="str">
        <x:v>https://pro.similarweb.com/#/digitalsuite/websiteanalysis/referrals/*/999/1m?webSource=Total&amp;selectedTab=incomingTraffic&amp;key=pages.razorpay.com</x:v>
      </x:c>
      <x:c r="M15" s="38" t="str">
        <x:v>0</x:v>
      </x:c>
    </x:row>
    <x:row r="16" ht="47" customHeight="1">
      <x:c r="A16" s="10" t="str">
        <x:v>checkout.paddle.com</x:v>
      </x:c>
      <x:c r="B16" s="10" t="str">
        <x:v>无数据</x:v>
      </x:c>
      <x:c r="C16" s="10" t="str">
        <x:v>—</x:v>
      </x:c>
      <x:c r="D16" s="10" t="str">
        <x:v>尝试后排除</x:v>
      </x:c>
      <x:c r="E16" s="10" t="str">
        <x:v>Jul 2026</x:v>
      </x:c>
      <x:c r="F16" s="12" t="n">
        <x:v>0</x:v>
      </x:c>
      <x:c r="G16" s="11"/>
      <x:c r="H16" s="10" t="n">
        <x:v>0</x:v>
      </x:c>
      <x:c r="I16" s="10" t="n">
        <x:v>0</x:v>
      </x:c>
      <x:c r="J16" s="37" t="n">
        <x:f>IFERROR(I16/H16,0)</x:f>
        <x:v>0</x:v>
      </x:c>
      <x:c r="K16" s="38" t="str">
        <x:v>Similarweb Incoming Referrals 页面无匹配或显示 0 数据。</x:v>
      </x:c>
      <x:c r="L16" s="38" t="str"/>
      <x:c r="M16" s="38" t="str">
        <x:v>0</x:v>
      </x:c>
    </x:row>
    <x:row r="17" ht="47" customHeight="1">
      <x:c r="A17" s="10" t="str">
        <x:v>checkout.creem.io</x:v>
      </x:c>
      <x:c r="B17" s="10" t="str">
        <x:v>无数据</x:v>
      </x:c>
      <x:c r="C17" s="10" t="str">
        <x:v>—</x:v>
      </x:c>
      <x:c r="D17" s="10" t="str">
        <x:v>尝试后排除</x:v>
      </x:c>
      <x:c r="E17" s="10" t="str">
        <x:v>Jul 2026</x:v>
      </x:c>
      <x:c r="F17" s="12" t="n">
        <x:v>0</x:v>
      </x:c>
      <x:c r="G17" s="11"/>
      <x:c r="H17" s="10" t="n">
        <x:v>0</x:v>
      </x:c>
      <x:c r="I17" s="10" t="n">
        <x:v>0</x:v>
      </x:c>
      <x:c r="J17" s="37" t="n">
        <x:f>IFERROR(I17/H17,0)</x:f>
        <x:v>0</x:v>
      </x:c>
      <x:c r="K17" s="38" t="str">
        <x:v>Similarweb Incoming Referrals 页面无匹配或显示 0 数据。</x:v>
      </x:c>
      <x:c r="L17" s="38" t="str"/>
      <x:c r="M17" s="38" t="str">
        <x:v>0</x:v>
      </x:c>
    </x:row>
    <x:row r="18" ht="47" customHeight="1">
      <x:c r="A18" s="10" t="str">
        <x:v>buy.polar.sh</x:v>
      </x:c>
      <x:c r="B18" s="10" t="str">
        <x:v>无数据</x:v>
      </x:c>
      <x:c r="C18" s="10" t="str">
        <x:v>—</x:v>
      </x:c>
      <x:c r="D18" s="10" t="str">
        <x:v>尝试后排除</x:v>
      </x:c>
      <x:c r="E18" s="10" t="str">
        <x:v>Jul 2026</x:v>
      </x:c>
      <x:c r="F18" s="12" t="n">
        <x:v>0</x:v>
      </x:c>
      <x:c r="G18" s="11"/>
      <x:c r="H18" s="10" t="n">
        <x:v>0</x:v>
      </x:c>
      <x:c r="I18" s="10" t="n">
        <x:v>0</x:v>
      </x:c>
      <x:c r="J18" s="37" t="n">
        <x:f>IFERROR(I18/H18,0)</x:f>
        <x:v>0</x:v>
      </x:c>
      <x:c r="K18" s="38" t="str">
        <x:v>Similarweb Incoming Referrals 页面无匹配或显示 0 数据。</x:v>
      </x:c>
      <x:c r="L18" s="38" t="str"/>
      <x:c r="M18" s="38" t="str">
        <x:v>0</x:v>
      </x:c>
    </x:row>
  </x:sheetData>
  <x:mergeCells>
    <x:mergeCell ref="A1:M2"/>
    <x:mergeCell ref="A3:M3"/>
  </x:mergeCells>
  <x:conditionalFormatting sqref="B5:B18">
    <x:cfRule type="containsText" dxfId="0" priority="1" operator="containsText" text="无数据"/>
  </x:conditionalFormatting>
  <x:pageMargins left="0.7" right="0.7" top="0.75" bottom="0.75" header="0.3" footer="0.3"/>
  <x:tableParts count="1">
    <x:tablePart xmlns:r="http://schemas.openxmlformats.org/officeDocument/2006/relationships" r:id="R80be19c9bb0b44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13" hidden="0" customWidth="1"/>
    <x:col min="4" max="4" width="18" hidden="0" customWidth="1"/>
    <x:col min="5" max="5" width="17" hidden="0" customWidth="1"/>
    <x:col min="6" max="6" width="19" hidden="0" customWidth="1"/>
    <x:col min="7" max="7" width="17" hidden="0" customWidth="1"/>
    <x:col min="8" max="8" width="18" hidden="0" customWidth="1"/>
    <x:col min="9" max="9" width="21" hidden="0" customWidth="1"/>
    <x:col min="10" max="10" width="3"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s>
  <x:sheetData>
    <x:row r="1">
      <x:c r="A1" s="30" t="str">
        <x:v>高置信支付入口的行业结构</x:v>
      </x:c>
      <x:c r="B1" s="30"/>
      <x:c r="C1" s="30"/>
      <x:c r="D1" s="30"/>
      <x:c r="E1" s="30"/>
      <x:c r="F1" s="30"/>
      <x:c r="G1" s="30"/>
      <x:c r="H1" s="30"/>
      <x:c r="I1" s="30"/>
      <x:c r="J1" s="30"/>
      <x:c r="K1" s="30"/>
      <x:c r="L1" s="30"/>
      <x:c r="M1" s="30"/>
      <x:c r="N1" s="30"/>
      <x:c r="O1" s="30"/>
      <x:c r="P1" s="30"/>
      <x:c r="Q1" s="30"/>
      <x:c r="R1" s="30"/>
    </x:row>
    <x:row r="2">
      <x:c r="A2" s="30"/>
      <x:c r="B2" s="30"/>
      <x:c r="C2" s="30"/>
      <x:c r="D2" s="30"/>
      <x:c r="E2" s="30"/>
      <x:c r="F2" s="30"/>
      <x:c r="G2" s="30"/>
      <x:c r="H2" s="30"/>
      <x:c r="I2" s="30"/>
      <x:c r="J2" s="30"/>
      <x:c r="K2" s="30"/>
      <x:c r="L2" s="30"/>
      <x:c r="M2" s="30"/>
      <x:c r="N2" s="30"/>
      <x:c r="O2" s="30"/>
      <x:c r="P2" s="30"/>
      <x:c r="Q2" s="30"/>
      <x:c r="R2" s="30"/>
    </x:row>
    <x:row r="3">
      <x:c r="A3" s="35" t="str">
        <x:v>结构比较基于专用支付/结账入口；推算互动量不是订单，更不是收入。行业标签包含人工修正与 Similarweb 行业映射。</x:v>
      </x:c>
      <x:c r="B3" s="35"/>
      <x:c r="C3" s="35"/>
      <x:c r="D3" s="35"/>
      <x:c r="E3" s="35"/>
      <x:c r="F3" s="35"/>
      <x:c r="G3" s="35"/>
      <x:c r="H3" s="35"/>
      <x:c r="I3" s="35"/>
      <x:c r="J3" s="35"/>
      <x:c r="K3" s="35"/>
      <x:c r="L3" s="35"/>
      <x:c r="M3" s="35"/>
      <x:c r="N3" s="35"/>
      <x:c r="O3" s="35"/>
      <x:c r="P3" s="35"/>
      <x:c r="Q3" s="35"/>
      <x:c r="R3" s="35"/>
    </x:row>
    <x:row r="4">
      <x:c r="A4" s="6" t="str">
        <x:v>行业</x:v>
      </x:c>
      <x:c r="B4" s="6" t="str">
        <x:v>公式推算互动量</x:v>
      </x:c>
      <x:c r="C4" s="6" t="str">
        <x:v>结构占比</x:v>
      </x:c>
      <x:c r="D4" s="6" t="str">
        <x:v>入口归一化信号</x:v>
      </x:c>
      <x:c r="E4" s="6" t="str">
        <x:v>高置信来源站数</x:v>
      </x:c>
      <x:c r="F4" s="6" t="str">
        <x:v>高增长/新来源站数</x:v>
      </x:c>
      <x:c r="G4" s="6" t="str">
        <x:v>中置信支持站数</x:v>
      </x:c>
      <x:c r="H4" s="6" t="str">
        <x:v>付款侧变化中位数</x:v>
      </x:c>
      <x:c r="I4" s="6" t="str">
        <x:v>分析提示</x:v>
      </x:c>
    </x:row>
    <x:row r="5">
      <x:c r="A5" s="10" t="str">
        <x:v>AI 内容生成与创作</x:v>
      </x:c>
      <x:c r="B5" s="12" t="n">
        <x:f>SUMIFS('来源明细'!$P$2:$P$964,'来源明细'!$H$2:$H$964,A5,'来源明细'!$C$2:$C$964,"高",'来源明细'!$Q$2:$Q$964,"否")</x:f>
        <x:v>10818023</x:v>
      </x:c>
      <x:c r="C5" s="37" t="n">
        <x:f>IFERROR(B5/SUM($B$5:$B$21),0)</x:f>
        <x:v>0.4097522106611253</x:v>
      </x:c>
      <x:c r="D5" s="37" t="n">
        <x:f>SUMIFS('来源明细'!$X$2:$X$964,'来源明细'!$H$2:$H$964,A5,'来源明细'!$C$2:$C$964,"高",'来源明细'!$Q$2:$Q$964,"否")</x:f>
        <x:v>0.48442102452497526</x:v>
      </x:c>
      <x:c r="E5" s="10" t="n">
        <x:v>24</x:v>
      </x:c>
      <x:c r="F5" s="10" t="n">
        <x:v>13</x:v>
      </x:c>
      <x:c r="G5" s="10" t="n">
        <x:v>3</x:v>
      </x:c>
      <x:c r="H5" s="37" t="n">
        <x:v>-0.00405</x:v>
      </x:c>
      <x:c r="I5" s="38" t="str">
        <x:v>规模信号突出</x:v>
      </x:c>
    </x:row>
    <x:row r="6">
      <x:c r="A6" s="10" t="str">
        <x:v>AI 开发工具与基础设施</x:v>
      </x:c>
      <x:c r="B6" s="12" t="n">
        <x:f>SUMIFS('来源明细'!$P$2:$P$964,'来源明细'!$H$2:$H$964,A6,'来源明细'!$C$2:$C$964,"高",'来源明细'!$Q$2:$Q$964,"否")</x:f>
        <x:v>3590376</x:v>
      </x:c>
      <x:c r="C6" s="37" t="n">
        <x:f>IFERROR(B6/SUM($B$5:$B$21),0)</x:f>
        <x:v>0.13599199253917732</x:v>
      </x:c>
      <x:c r="D6" s="37" t="n">
        <x:f>SUMIFS('来源明细'!$X$2:$X$964,'来源明细'!$H$2:$H$964,A6,'来源明细'!$C$2:$C$964,"高",'来源明细'!$Q$2:$Q$964,"否")</x:f>
        <x:v>0.15251174557282263</x:v>
      </x:c>
      <x:c r="E6" s="10" t="n">
        <x:v>12</x:v>
      </x:c>
      <x:c r="F6" s="10" t="n">
        <x:v>7</x:v>
      </x:c>
      <x:c r="G6" s="10" t="n">
        <x:v>1</x:v>
      </x:c>
      <x:c r="H6" s="37" t="n">
        <x:v>0.02805</x:v>
      </x:c>
      <x:c r="I6" s="38" t="str">
        <x:v>规模信号突出</x:v>
      </x:c>
    </x:row>
    <x:row r="7">
      <x:c r="A7" s="10" t="str">
        <x:v>游戏、数字商品与虚拟内容</x:v>
      </x:c>
      <x:c r="B7" s="12" t="n">
        <x:f>SUMIFS('来源明细'!$P$2:$P$964,'来源明细'!$H$2:$H$964,A7,'来源明细'!$C$2:$C$964,"高",'来源明细'!$Q$2:$Q$964,"否")</x:f>
        <x:v>2002714</x:v>
      </x:c>
      <x:c r="C7" s="37" t="n">
        <x:f>IFERROR(B7/SUM($B$5:$B$21),0)</x:f>
        <x:v>0.0758564193126586</x:v>
      </x:c>
      <x:c r="D7" s="37" t="n">
        <x:f>SUMIFS('来源明细'!$X$2:$X$964,'来源明细'!$H$2:$H$964,A7,'来源明细'!$C$2:$C$964,"高",'来源明细'!$Q$2:$Q$964,"否")</x:f>
        <x:v>0.16833878124071408</x:v>
      </x:c>
      <x:c r="E7" s="10" t="n">
        <x:v>20</x:v>
      </x:c>
      <x:c r="F7" s="10" t="n">
        <x:v>14</x:v>
      </x:c>
      <x:c r="G7" s="10" t="n">
        <x:v>27</x:v>
      </x:c>
      <x:c r="H7" s="37" t="n">
        <x:v>0.23370000000000002</x:v>
      </x:c>
      <x:c r="I7" s="38" t="str">
        <x:v>规模信号突出</x:v>
      </x:c>
    </x:row>
    <x:row r="8">
      <x:c r="A8" s="10" t="str">
        <x:v>营销、电商与商业 SaaS</x:v>
      </x:c>
      <x:c r="B8" s="12" t="n">
        <x:f>SUMIFS('来源明细'!$P$2:$P$964,'来源明细'!$H$2:$H$964,A8,'来源明细'!$C$2:$C$964,"高",'来源明细'!$Q$2:$Q$964,"否")</x:f>
        <x:v>1950315</x:v>
      </x:c>
      <x:c r="C8" s="37" t="n">
        <x:f>IFERROR(B8/SUM($B$5:$B$21),0)</x:f>
        <x:v>0.07387171230228967</x:v>
      </x:c>
      <x:c r="D8" s="37" t="n">
        <x:f>SUMIFS('来源明细'!$X$2:$X$964,'来源明细'!$H$2:$H$964,A8,'来源明细'!$C$2:$C$964,"高",'来源明细'!$Q$2:$Q$964,"否")</x:f>
        <x:v>0.12667447270606783</x:v>
      </x:c>
      <x:c r="E8" s="10" t="n">
        <x:v>11</x:v>
      </x:c>
      <x:c r="F8" s="10" t="n">
        <x:v>9</x:v>
      </x:c>
      <x:c r="G8" s="10" t="n">
        <x:v>2</x:v>
      </x:c>
      <x:c r="H8" s="37" t="n">
        <x:v>0.165</x:v>
      </x:c>
      <x:c r="I8" s="38" t="str">
        <x:v>用于结构对照</x:v>
      </x:c>
    </x:row>
    <x:row r="9">
      <x:c r="A9" s="10" t="str">
        <x:v>内容媒体、线下与实体消费</x:v>
      </x:c>
      <x:c r="B9" s="12" t="n">
        <x:f>SUMIFS('来源明细'!$P$2:$P$964,'来源明细'!$H$2:$H$964,A9,'来源明细'!$C$2:$C$964,"高",'来源明细'!$Q$2:$Q$964,"否")</x:f>
        <x:v>1253995</x:v>
      </x:c>
      <x:c r="C9" s="37" t="n">
        <x:f>IFERROR(B9/SUM($B$5:$B$21),0)</x:f>
        <x:v>0.04749733138929339</x:v>
      </x:c>
      <x:c r="D9" s="37" t="n">
        <x:f>SUMIFS('来源明细'!$X$2:$X$964,'来源明细'!$H$2:$H$964,A9,'来源明细'!$C$2:$C$964,"高",'来源明细'!$Q$2:$Q$964,"否")</x:f>
        <x:v>0.1619727890606368</x:v>
      </x:c>
      <x:c r="E9" s="10" t="n">
        <x:v>21</x:v>
      </x:c>
      <x:c r="F9" s="10" t="n">
        <x:v>15</x:v>
      </x:c>
      <x:c r="G9" s="10" t="n">
        <x:v>9</x:v>
      </x:c>
      <x:c r="H9" s="37" t="n">
        <x:v>0.1888</x:v>
      </x:c>
      <x:c r="I9" s="38" t="str">
        <x:v>用于结构对照</x:v>
      </x:c>
    </x:row>
    <x:row r="10">
      <x:c r="A10" s="10" t="str">
        <x:v>其他/待核查</x:v>
      </x:c>
      <x:c r="B10" s="12" t="n">
        <x:f>SUMIFS('来源明细'!$P$2:$P$964,'来源明细'!$H$2:$H$964,A10,'来源明细'!$C$2:$C$964,"高",'来源明细'!$Q$2:$Q$964,"否")</x:f>
        <x:v>1094447</x:v>
      </x:c>
      <x:c r="C10" s="37" t="n">
        <x:f>IFERROR(B10/SUM($B$5:$B$21),0)</x:f>
        <x:v>0.041454161975939284</x:v>
      </x:c>
      <x:c r="D10" s="37" t="n">
        <x:f>SUMIFS('来源明细'!$X$2:$X$964,'来源明细'!$H$2:$H$964,A10,'来源明细'!$C$2:$C$964,"高",'来源明细'!$Q$2:$Q$964,"否")</x:f>
        <x:v>0.7358005390845914</x:v>
      </x:c>
      <x:c r="E10" s="10" t="n">
        <x:v>125</x:v>
      </x:c>
      <x:c r="F10" s="10" t="n">
        <x:v>95</x:v>
      </x:c>
      <x:c r="G10" s="10" t="n">
        <x:v>187</x:v>
      </x:c>
      <x:c r="H10" s="37" t="n">
        <x:v>0.40369999999999995</x:v>
      </x:c>
      <x:c r="I10" s="38" t="str">
        <x:v>用于结构对照</x:v>
      </x:c>
    </x:row>
    <x:row r="11">
      <x:c r="A11" s="10" t="str">
        <x:v>教育、课程与知识产品</x:v>
      </x:c>
      <x:c r="B11" s="12" t="n">
        <x:f>SUMIFS('来源明细'!$P$2:$P$964,'来源明细'!$H$2:$H$964,A11,'来源明细'!$C$2:$C$964,"高",'来源明细'!$Q$2:$Q$964,"否")</x:f>
        <x:v>954684</x:v>
      </x:c>
      <x:c r="C11" s="37" t="n">
        <x:f>IFERROR(B11/SUM($B$5:$B$21),0)</x:f>
        <x:v>0.03616038526473883</x:v>
      </x:c>
      <x:c r="D11" s="37" t="n">
        <x:f>SUMIFS('来源明细'!$X$2:$X$964,'来源明细'!$H$2:$H$964,A11,'来源明细'!$C$2:$C$964,"高",'来源明细'!$Q$2:$Q$964,"否")</x:f>
        <x:v>0.4360604299014186</x:v>
      </x:c>
      <x:c r="E11" s="10" t="n">
        <x:v>10</x:v>
      </x:c>
      <x:c r="F11" s="10" t="n">
        <x:v>8</x:v>
      </x:c>
      <x:c r="G11" s="10" t="n">
        <x:v>0</x:v>
      </x:c>
      <x:c r="H11" s="37" t="n">
        <x:v>1.1934</x:v>
      </x:c>
      <x:c r="I11" s="38" t="str">
        <x:v>用于结构对照</x:v>
      </x:c>
    </x:row>
    <x:row r="12">
      <x:c r="A12" s="10" t="str">
        <x:v>健康、生活方式与消费服务</x:v>
      </x:c>
      <x:c r="B12" s="12" t="n">
        <x:f>SUMIFS('来源明细'!$P$2:$P$964,'来源明细'!$H$2:$H$964,A12,'来源明细'!$C$2:$C$964,"高",'来源明细'!$Q$2:$Q$964,"否")</x:f>
        <x:v>779065</x:v>
      </x:c>
      <x:c r="C12" s="37" t="n">
        <x:f>IFERROR(B12/SUM($B$5:$B$21),0)</x:f>
        <x:v>0.029508497624631563</x:v>
      </x:c>
      <x:c r="D12" s="37" t="n">
        <x:f>SUMIFS('来源明细'!$X$2:$X$964,'来源明细'!$H$2:$H$964,A12,'来源明细'!$C$2:$C$964,"高",'来源明细'!$Q$2:$Q$964,"否")</x:f>
        <x:v>0.05824648690043226</x:v>
      </x:c>
      <x:c r="E12" s="10" t="n">
        <x:v>9</x:v>
      </x:c>
      <x:c r="F12" s="10" t="n">
        <x:v>7</x:v>
      </x:c>
      <x:c r="G12" s="10" t="n">
        <x:v>5</x:v>
      </x:c>
      <x:c r="H12" s="37" t="n">
        <x:v>0.1346</x:v>
      </x:c>
      <x:c r="I12" s="38" t="str">
        <x:v>用于结构对照</x:v>
      </x:c>
    </x:row>
    <x:row r="13">
      <x:c r="A13" s="10" t="str">
        <x:v>AI 工具与应用（未细分）</x:v>
      </x:c>
      <x:c r="B13" s="12" t="n">
        <x:f>SUMIFS('来源明细'!$P$2:$P$964,'来源明细'!$H$2:$H$964,A13,'来源明细'!$C$2:$C$964,"高",'来源明细'!$Q$2:$Q$964,"否")</x:f>
        <x:v>768877</x:v>
      </x:c>
      <x:c r="C13" s="37" t="n">
        <x:f>IFERROR(B13/SUM($B$5:$B$21),0)</x:f>
        <x:v>0.029122608675956233</x:v>
      </x:c>
      <x:c r="D13" s="37" t="n">
        <x:f>SUMIFS('来源明细'!$X$2:$X$964,'来源明细'!$H$2:$H$964,A13,'来源明细'!$C$2:$C$964,"高",'来源明细'!$Q$2:$Q$964,"否")</x:f>
        <x:v>0.21579755566103756</x:v>
      </x:c>
      <x:c r="E13" s="10" t="n">
        <x:v>10</x:v>
      </x:c>
      <x:c r="F13" s="10" t="n">
        <x:v>5</x:v>
      </x:c>
      <x:c r="G13" s="10" t="n">
        <x:v>26</x:v>
      </x:c>
      <x:c r="H13" s="37" t="n">
        <x:v>-0.0039000000000000003</x:v>
      </x:c>
      <x:c r="I13" s="38" t="str">
        <x:v>用于结构对照</x:v>
      </x:c>
    </x:row>
    <x:row r="14">
      <x:c r="A14" s="10" t="str">
        <x:v>创作、设计与多媒体工具</x:v>
      </x:c>
      <x:c r="B14" s="12" t="n">
        <x:f>SUMIFS('来源明细'!$P$2:$P$964,'来源明细'!$H$2:$H$964,A14,'来源明细'!$C$2:$C$964,"高",'来源明细'!$Q$2:$Q$964,"否")</x:f>
        <x:v>581855</x:v>
      </x:c>
      <x:c r="C14" s="37" t="n">
        <x:f>IFERROR(B14/SUM($B$5:$B$21),0)</x:f>
        <x:v>0.022038811762022423</x:v>
      </x:c>
      <x:c r="D14" s="37" t="n">
        <x:f>SUMIFS('来源明细'!$X$2:$X$964,'来源明细'!$H$2:$H$964,A14,'来源明细'!$C$2:$C$964,"高",'来源明细'!$Q$2:$Q$964,"否")</x:f>
        <x:v>0.2338501079828349</x:v>
      </x:c>
      <x:c r="E14" s="10" t="n">
        <x:v>30</x:v>
      </x:c>
      <x:c r="F14" s="10" t="n">
        <x:v>23</x:v>
      </x:c>
      <x:c r="G14" s="10" t="n">
        <x:v>64</x:v>
      </x:c>
      <x:c r="H14" s="37" t="n">
        <x:v>0.52255</x:v>
      </x:c>
      <x:c r="I14" s="38" t="str">
        <x:v>用于结构对照</x:v>
      </x:c>
    </x:row>
    <x:row r="15">
      <x:c r="A15" s="10" t="str">
        <x:v>通用数字产品与技术服务</x:v>
      </x:c>
      <x:c r="B15" s="12" t="n">
        <x:f>SUMIFS('来源明细'!$P$2:$P$964,'来源明细'!$H$2:$H$964,A15,'来源明细'!$C$2:$C$964,"高",'来源明细'!$Q$2:$Q$964,"否")</x:f>
        <x:v>561918</x:v>
      </x:c>
      <x:c r="C15" s="37" t="n">
        <x:f>IFERROR(B15/SUM($B$5:$B$21),0)</x:f>
        <x:v>0.021283661784623514</x:v>
      </x:c>
      <x:c r="D15" s="37" t="n">
        <x:f>SUMIFS('来源明细'!$X$2:$X$964,'来源明细'!$H$2:$H$964,A15,'来源明细'!$C$2:$C$964,"高",'来源明细'!$Q$2:$Q$964,"否")</x:f>
        <x:v>0.19282693491797342</x:v>
      </x:c>
      <x:c r="E15" s="10" t="n">
        <x:v>27</x:v>
      </x:c>
      <x:c r="F15" s="10" t="n">
        <x:v>20</x:v>
      </x:c>
      <x:c r="G15" s="10" t="n">
        <x:v>37</x:v>
      </x:c>
      <x:c r="H15" s="37" t="n">
        <x:v>0.10550000000000001</x:v>
      </x:c>
      <x:c r="I15" s="38" t="str">
        <x:v>用于结构对照</x:v>
      </x:c>
    </x:row>
    <x:row r="16">
      <x:c r="A16" s="10" t="str">
        <x:v>开发者工具与互联网基础设施</x:v>
      </x:c>
      <x:c r="B16" s="12" t="n">
        <x:f>SUMIFS('来源明细'!$P$2:$P$964,'来源明细'!$H$2:$H$964,A16,'来源明细'!$C$2:$C$964,"高",'来源明细'!$Q$2:$Q$964,"否")</x:f>
        <x:v>516253</x:v>
      </x:c>
      <x:c r="C16" s="37" t="n">
        <x:f>IFERROR(B16/SUM($B$5:$B$21),0)</x:f>
        <x:v>0.01955401721834368</x:v>
      </x:c>
      <x:c r="D16" s="37" t="n">
        <x:f>SUMIFS('来源明细'!$X$2:$X$964,'来源明细'!$H$2:$H$964,A16,'来源明细'!$C$2:$C$964,"高",'来源明细'!$Q$2:$Q$964,"否")</x:f>
        <x:v>0.540716527725575</x:v>
      </x:c>
      <x:c r="E16" s="10" t="n">
        <x:v>82</x:v>
      </x:c>
      <x:c r="F16" s="10" t="n">
        <x:v>57</x:v>
      </x:c>
      <x:c r="G16" s="10" t="n">
        <x:v>41</x:v>
      </x:c>
      <x:c r="H16" s="37" t="n">
        <x:v>0.2659</x:v>
      </x:c>
      <x:c r="I16" s="38" t="str">
        <x:v>用于结构对照</x:v>
      </x:c>
    </x:row>
    <x:row r="17">
      <x:c r="A17" s="10" t="str">
        <x:v>营销、生产力与商业服务</x:v>
      </x:c>
      <x:c r="B17" s="12" t="n">
        <x:f>SUMIFS('来源明细'!$P$2:$P$964,'来源明细'!$H$2:$H$964,A17,'来源明细'!$C$2:$C$964,"高",'来源明细'!$Q$2:$Q$964,"否")</x:f>
        <x:v>499907</x:v>
      </x:c>
      <x:c r="C17" s="37" t="n">
        <x:f>IFERROR(B17/SUM($B$5:$B$21),0)</x:f>
        <x:v>0.018934882868613903</x:v>
      </x:c>
      <x:c r="D17" s="37" t="n">
        <x:f>SUMIFS('来源明细'!$X$2:$X$964,'来源明细'!$H$2:$H$964,A17,'来源明细'!$C$2:$C$964,"高",'来源明细'!$Q$2:$Q$964,"否")</x:f>
        <x:v>0.17299222925671226</x:v>
      </x:c>
      <x:c r="E17" s="10" t="n">
        <x:v>26</x:v>
      </x:c>
      <x:c r="F17" s="10" t="n">
        <x:v>18</x:v>
      </x:c>
      <x:c r="G17" s="10" t="n">
        <x:v>24</x:v>
      </x:c>
      <x:c r="H17" s="37" t="n">
        <x:v>0.24359999999999998</x:v>
      </x:c>
      <x:c r="I17" s="38" t="str">
        <x:v>用于结构对照</x:v>
      </x:c>
    </x:row>
    <x:row r="18">
      <x:c r="A18" s="10" t="str">
        <x:v>创作者资产、模板与设计工具</x:v>
      </x:c>
      <x:c r="B18" s="12" t="n">
        <x:f>SUMIFS('来源明细'!$P$2:$P$964,'来源明细'!$H$2:$H$964,A18,'来源明细'!$C$2:$C$964,"高",'来源明细'!$Q$2:$Q$964,"否")</x:f>
        <x:v>447150</x:v>
      </x:c>
      <x:c r="C18" s="37" t="n">
        <x:f>IFERROR(B18/SUM($B$5:$B$21),0)</x:f>
        <x:v>0.016936615959969967</x:v>
      </x:c>
      <x:c r="D18" s="37" t="n">
        <x:f>SUMIFS('来源明细'!$X$2:$X$964,'来源明细'!$H$2:$H$964,A18,'来源明细'!$C$2:$C$964,"高",'来源明细'!$Q$2:$Q$964,"否")</x:f>
        <x:v>0.08384476655777019</x:v>
      </x:c>
      <x:c r="E18" s="10" t="n">
        <x:v>3</x:v>
      </x:c>
      <x:c r="F18" s="10" t="n">
        <x:v>2</x:v>
      </x:c>
      <x:c r="G18" s="10" t="n">
        <x:v>8</x:v>
      </x:c>
      <x:c r="H18" s="37" t="n">
        <x:v>0.1065</x:v>
      </x:c>
      <x:c r="I18" s="38" t="str">
        <x:v>用于结构对照</x:v>
      </x:c>
    </x:row>
    <x:row r="19">
      <x:c r="A19" s="10" t="str">
        <x:v>桌面/移动端专业工具</x:v>
      </x:c>
      <x:c r="B19" s="12" t="n">
        <x:f>SUMIFS('来源明细'!$P$2:$P$964,'来源明细'!$H$2:$H$964,A19,'来源明细'!$C$2:$C$964,"高",'来源明细'!$Q$2:$Q$964,"否")</x:f>
        <x:v>295691</x:v>
      </x:c>
      <x:c r="C19" s="37" t="n">
        <x:f>IFERROR(B19/SUM($B$5:$B$21),0)</x:f>
        <x:v>0.011199832069371531</x:v>
      </x:c>
      <x:c r="D19" s="37" t="n">
        <x:f>SUMIFS('来源明细'!$X$2:$X$964,'来源明细'!$H$2:$H$964,A19,'来源明细'!$C$2:$C$964,"高",'来源明细'!$Q$2:$Q$964,"否")</x:f>
        <x:v>1.0521951372294345</x:v>
      </x:c>
      <x:c r="E19" s="10" t="n">
        <x:v>14</x:v>
      </x:c>
      <x:c r="F19" s="10" t="n">
        <x:v>10</x:v>
      </x:c>
      <x:c r="G19" s="10" t="n">
        <x:v>2</x:v>
      </x:c>
      <x:c r="H19" s="37" t="n">
        <x:v>0.3772</x:v>
      </x:c>
      <x:c r="I19" s="38" t="str">
        <x:v>机会适配度高</x:v>
      </x:c>
    </x:row>
    <x:row r="20">
      <x:c r="A20" s="10" t="str">
        <x:v>教育、知识与考试服务</x:v>
      </x:c>
      <x:c r="B20" s="12" t="n">
        <x:f>SUMIFS('来源明细'!$P$2:$P$964,'来源明细'!$H$2:$H$964,A20,'来源明细'!$C$2:$C$964,"高",'来源明细'!$Q$2:$Q$964,"否")</x:f>
        <x:v>144466</x:v>
      </x:c>
      <x:c r="C20" s="37" t="n">
        <x:f>IFERROR(B20/SUM($B$5:$B$21),0)</x:f>
        <x:v>0.005471911352505919</x:v>
      </x:c>
      <x:c r="D20" s="37" t="n">
        <x:f>SUMIFS('来源明细'!$X$2:$X$964,'来源明细'!$H$2:$H$964,A20,'来源明细'!$C$2:$C$964,"高",'来源明细'!$Q$2:$Q$964,"否")</x:f>
        <x:v>0.13028856457601284</x:v>
      </x:c>
      <x:c r="E20" s="10" t="n">
        <x:v>20</x:v>
      </x:c>
      <x:c r="F20" s="10" t="n">
        <x:v>13</x:v>
      </x:c>
      <x:c r="G20" s="10" t="n">
        <x:v>4</x:v>
      </x:c>
      <x:c r="H20" s="37" t="n">
        <x:v>0.025099999999999997</x:v>
      </x:c>
      <x:c r="I20" s="38" t="str">
        <x:v>用于结构对照</x:v>
      </x:c>
    </x:row>
    <x:row r="21">
      <x:c r="A21" s="10" t="str">
        <x:v>金融、支付与交易服务</x:v>
      </x:c>
      <x:c r="B21" s="12" t="n">
        <x:f>SUMIFS('来源明细'!$P$2:$P$964,'来源明细'!$H$2:$H$964,A21,'来源明细'!$C$2:$C$964,"高",'来源明细'!$Q$2:$Q$964,"否")</x:f>
        <x:v>141642</x:v>
      </x:c>
      <x:c r="C21" s="37" t="n">
        <x:f>IFERROR(B21/SUM($B$5:$B$21),0)</x:f>
        <x:v>0.005364947238738827</x:v>
      </x:c>
      <x:c r="D21" s="37" t="n">
        <x:f>SUMIFS('来源明细'!$X$2:$X$964,'来源明细'!$H$2:$H$964,A21,'来源明细'!$C$2:$C$964,"高",'来源明细'!$Q$2:$Q$964,"否")</x:f>
        <x:v>0.05346190710099148</x:v>
      </x:c>
      <x:c r="E21" s="10" t="n">
        <x:v>10</x:v>
      </x:c>
      <x:c r="F21" s="10" t="n">
        <x:v>5</x:v>
      </x:c>
      <x:c r="G21" s="10" t="n">
        <x:v>6</x:v>
      </x:c>
      <x:c r="H21" s="37" t="n">
        <x:v>-0.0993</x:v>
      </x:c>
      <x:c r="I21" s="38" t="str">
        <x:v>用于结构对照</x:v>
      </x:c>
    </x:row>
    <x:row r="24">
      <x:c r="A24" s="58" t="str">
        <x:v>解读：AI 的优势主要体现在绝对规模；专业工具的优势主要体现在支付入口内的结构集中度与独立开发者可切入性。入口归一化信号先把每个入口归一为 100%，再跨 5 个高置信入口求和，因此单个行业可能超过 100%；这个指标用于避免 Stripe 体量完全淹没 FastSpring、PayPro Global 和 Razorpay。</x:v>
      </x:c>
      <x:c r="B24" s="59"/>
      <x:c r="C24" s="59"/>
      <x:c r="D24" s="59"/>
      <x:c r="E24" s="59"/>
      <x:c r="F24" s="59"/>
      <x:c r="G24" s="59"/>
      <x:c r="H24" s="59"/>
      <x:c r="I24" s="60"/>
    </x:row>
    <x:row r="25">
      <x:c r="A25" s="61"/>
      <x:c r="B25" s="62"/>
      <x:c r="C25" s="62"/>
      <x:c r="D25" s="62"/>
      <x:c r="E25" s="62"/>
      <x:c r="F25" s="62"/>
      <x:c r="G25" s="62"/>
      <x:c r="H25" s="62"/>
      <x:c r="I25" s="63"/>
    </x:row>
    <x:row r="26">
      <x:c r="A26" s="61"/>
      <x:c r="B26" s="62"/>
      <x:c r="C26" s="62"/>
      <x:c r="D26" s="62"/>
      <x:c r="E26" s="62"/>
      <x:c r="F26" s="62"/>
      <x:c r="G26" s="62"/>
      <x:c r="H26" s="62"/>
      <x:c r="I26" s="63"/>
    </x:row>
    <x:row r="27">
      <x:c r="A27" s="64"/>
      <x:c r="B27" s="65"/>
      <x:c r="C27" s="65"/>
      <x:c r="D27" s="65"/>
      <x:c r="E27" s="65"/>
      <x:c r="F27" s="65"/>
      <x:c r="G27" s="65"/>
      <x:c r="H27" s="65"/>
      <x:c r="I27" s="66"/>
    </x:row>
  </x:sheetData>
  <x:mergeCells>
    <x:mergeCell ref="A1:R2"/>
    <x:mergeCell ref="A3:R3"/>
    <x:mergeCell ref="A24:I27"/>
  </x:mergeCells>
  <x:conditionalFormatting sqref="B5:B21">
    <x:cfRule type="dataBar" priority="1">
      <x:dataBar>
        <x:cfvo type="min"/>
        <x:cfvo type="max"/>
        <x:color rgb="FF2563EB"/>
      </x:dataBar>
    </x:cfRule>
  </x:conditionalFormatting>
  <x:conditionalFormatting sqref="H5:H21">
    <x:cfRule type="cellIs" dxfId="1" priority="2" operator="greaterThan">
      <x:formula>0</x:formula>
    </x:cfRule>
  </x:conditionalFormatting>
  <x:pageMargins left="0.7" right="0.7" top="0.75" bottom="0.75" header="0.3" footer="0.3"/>
  <x:drawing xmlns:r="http://schemas.openxmlformats.org/officeDocument/2006/relationships" r:id="R1a4c7acb271d4c08"/>
  <x:tableParts count="1">
    <x:tablePart xmlns:r="http://schemas.openxmlformats.org/officeDocument/2006/relationships" r:id="R16f8221b0400413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6" hidden="0" customWidth="1"/>
    <x:col min="3" max="3" width="28" hidden="0" customWidth="1"/>
    <x:col min="4" max="4" width="11" hidden="0" customWidth="1"/>
    <x:col min="5" max="5" width="12" hidden="0" customWidth="1"/>
    <x:col min="6" max="6" width="16" hidden="0" customWidth="1"/>
    <x:col min="7" max="7" width="15" hidden="0" customWidth="1"/>
    <x:col min="8" max="8" width="14" hidden="0" customWidth="1"/>
    <x:col min="9" max="9" width="16" hidden="0" customWidth="1"/>
    <x:col min="10" max="10" width="18" hidden="0" customWidth="1"/>
    <x:col min="11" max="11" width="11" hidden="0" customWidth="1"/>
    <x:col min="12" max="12" width="13" hidden="0" customWidth="1"/>
    <x:col min="13" max="13" width="44" hidden="0" customWidth="1"/>
    <x:col min="14" max="14" width="38" hidden="0" customWidth="1"/>
    <x:col min="15" max="15" width="46" hidden="0" customWidth="1"/>
  </x:cols>
  <x:sheetData>
    <x:row r="1">
      <x:c r="A1" s="30" t="str">
        <x:v>代表站点：付款侧信号与站点访问量交叉验证</x:v>
      </x:c>
      <x:c r="B1" s="30"/>
      <x:c r="C1" s="30"/>
      <x:c r="D1" s="30"/>
      <x:c r="E1" s="30"/>
      <x:c r="F1" s="30"/>
      <x:c r="G1" s="30"/>
      <x:c r="H1" s="30"/>
      <x:c r="I1" s="30"/>
      <x:c r="J1" s="30"/>
      <x:c r="K1" s="30"/>
      <x:c r="L1" s="30"/>
      <x:c r="M1" s="30"/>
      <x:c r="N1" s="30"/>
      <x:c r="O1" s="30"/>
    </x:row>
    <x:row r="2">
      <x:c r="A2" s="30"/>
      <x:c r="B2" s="30"/>
      <x:c r="C2" s="30"/>
      <x:c r="D2" s="30"/>
      <x:c r="E2" s="30"/>
      <x:c r="F2" s="30"/>
      <x:c r="G2" s="30"/>
      <x:c r="H2" s="30"/>
      <x:c r="I2" s="30"/>
      <x:c r="J2" s="30"/>
      <x:c r="K2" s="30"/>
      <x:c r="L2" s="30"/>
      <x:c r="M2" s="30"/>
      <x:c r="N2" s="30"/>
      <x:c r="O2" s="30"/>
    </x:row>
    <x:row r="3">
      <x:c r="A3" s="35" t="str">
        <x:v>10 个站点做了访问量交叉验证，8 个方向同向、2 个方向背离；另保留 2 个尚未验证但值得补资料的成熟专业工具。</x:v>
      </x:c>
      <x:c r="B3" s="35"/>
      <x:c r="C3" s="35"/>
      <x:c r="D3" s="35"/>
      <x:c r="E3" s="35"/>
      <x:c r="F3" s="35"/>
      <x:c r="G3" s="35"/>
      <x:c r="H3" s="35"/>
      <x:c r="I3" s="35"/>
      <x:c r="J3" s="35"/>
      <x:c r="K3" s="35"/>
      <x:c r="L3" s="35"/>
      <x:c r="M3" s="35"/>
      <x:c r="N3" s="35"/>
      <x:c r="O3" s="35"/>
    </x:row>
    <x:row r="4">
      <x:c r="A4" s="6" t="str">
        <x:v>域名</x:v>
      </x:c>
      <x:c r="B4" s="6" t="str">
        <x:v>支付入口</x:v>
      </x:c>
      <x:c r="C4" s="6" t="str">
        <x:v>行业</x:v>
      </x:c>
      <x:c r="D4" s="6" t="str">
        <x:v>入口排名</x:v>
      </x:c>
      <x:c r="E4" s="6" t="str">
        <x:v>来源份额</x:v>
      </x:c>
      <x:c r="F4" s="6" t="str">
        <x:v>来源份额环比</x:v>
      </x:c>
      <x:c r="G4" s="6" t="str">
        <x:v>推算互动量</x:v>
      </x:c>
      <x:c r="H4" s="6" t="str">
        <x:v>站点访问</x:v>
      </x:c>
      <x:c r="I4" s="6" t="str">
        <x:v>站点访问环比</x:v>
      </x:c>
      <x:c r="J4" s="6" t="str">
        <x:v>互动量/站点访问</x:v>
      </x:c>
      <x:c r="K4" s="6" t="str">
        <x:v>方向</x:v>
      </x:c>
      <x:c r="L4" s="6" t="str">
        <x:v>案例置信度</x:v>
      </x:c>
      <x:c r="M4" s="6" t="str">
        <x:v>为什么值得看</x:v>
      </x:c>
      <x:c r="N4" s="6" t="str">
        <x:v>限制</x:v>
      </x:c>
      <x:c r="O4" s="6" t="str">
        <x:v>站点说明</x:v>
      </x:c>
    </x:row>
    <x:row r="5" ht="82" customHeight="1">
      <x:c r="A5" s="10" t="str">
        <x:v>higgsfield.ai</x:v>
      </x:c>
      <x:c r="B5" s="10" t="str">
        <x:v>checkout.stripe.com</x:v>
      </x:c>
      <x:c r="C5" s="10" t="str">
        <x:v>AI 内容生成与创作</x:v>
      </x:c>
      <x:c r="D5" s="10" t="n">
        <x:v>1</x:v>
      </x:c>
      <x:c r="E5" s="11" t="n">
        <x:v>0.08220000000000001</x:v>
      </x:c>
      <x:c r="F5" s="11" t="n">
        <x:v>0.6707</x:v>
      </x:c>
      <x:c r="G5" s="12" t="n">
        <x:v>3496788</x:v>
      </x:c>
      <x:c r="H5" s="12" t="n">
        <x:v>31310000</x:v>
      </x:c>
      <x:c r="I5" s="11" t="n">
        <x:v>0.168</x:v>
      </x:c>
      <x:c r="J5" s="11" t="n">
        <x:f>IFERROR(G5/H5,"")</x:f>
        <x:v>0.11168278505269882</x:v>
      </x:c>
      <x:c r="K5" s="10" t="str">
        <x:f>IF(OR(F5="",I5=""),"未交叉",IF(F5*I5&gt;0,"同向",IF(F5*I5&lt;0,"背离","一侧持平")))</x:f>
        <x:v>同向</x:v>
      </x:c>
      <x:c r="L5" s="10" t="str">
        <x:v>高</x:v>
      </x:c>
      <x:c r="M5" s="38" t="str">
        <x:v>AI 视频/图像生成已形成大规模付款侧信号，但属于高竞争赛道；适合作为“赚钱行业”证据，不适合作为低门槛机会。</x:v>
      </x:c>
      <x:c r="N5" s="38" t="str">
        <x:v>大产品与强品牌，不能据此推断独立开发者可复制。</x:v>
      </x:c>
      <x:c r="O5" s="38" t="str">
        <x:v>AI image/video generation; hyperrealistic visuals across styles.</x:v>
      </x:c>
    </x:row>
    <x:row r="6" ht="82" customHeight="1">
      <x:c r="A6" s="10" t="str">
        <x:v>meshy.ai</x:v>
      </x:c>
      <x:c r="B6" s="10" t="str">
        <x:v>checkout.stripe.com</x:v>
      </x:c>
      <x:c r="C6" s="10" t="str">
        <x:v>AI 内容生成与创作</x:v>
      </x:c>
      <x:c r="D6" s="10" t="n">
        <x:v>15</x:v>
      </x:c>
      <x:c r="E6" s="11" t="n">
        <x:v>0.0084</x:v>
      </x:c>
      <x:c r="F6" s="11" t="n">
        <x:v>0.2789</x:v>
      </x:c>
      <x:c r="G6" s="12" t="n">
        <x:v>357336</x:v>
      </x:c>
      <x:c r="H6" s="12" t="n">
        <x:v>11130000</x:v>
      </x:c>
      <x:c r="I6" s="11" t="n">
        <x:v>0.1707</x:v>
      </x:c>
      <x:c r="J6" s="11" t="n">
        <x:f>IFERROR(G6/H6,"")</x:f>
        <x:v>0.03210566037735849</x:v>
      </x:c>
      <x:c r="K6" s="10" t="str">
        <x:f>IF(OR(F6="",I6=""),"未交叉",IF(F6*I6&gt;0,"同向",IF(F6*I6&lt;0,"背离","一侧持平")))</x:f>
        <x:v>同向</x:v>
      </x:c>
      <x:c r="L6" s="10" t="str">
        <x:v>高</x:v>
      </x:c>
      <x:c r="M6" s="38" t="str">
        <x:v>AI 3D 生成属于更垂直的内容工作流，付款侧与站点访问量同时上升。</x:v>
      </x:c>
      <x:c r="N6" s="38" t="str">
        <x:v>仍是融资和算力密集型产品。</x:v>
      </x:c>
      <x:c r="O6" s="38" t="str"/>
    </x:row>
    <x:row r="7" ht="82" customHeight="1">
      <x:c r="A7" s="10" t="str">
        <x:v>app.emergent.sh</x:v>
      </x:c>
      <x:c r="B7" s="10" t="str">
        <x:v>checkout.stripe.com</x:v>
      </x:c>
      <x:c r="C7" s="10" t="str">
        <x:v>AI 开发工具与基础设施</x:v>
      </x:c>
      <x:c r="D7" s="10" t="n">
        <x:v>13</x:v>
      </x:c>
      <x:c r="E7" s="11" t="n">
        <x:v>0.0102</x:v>
      </x:c>
      <x:c r="F7" s="11" t="n">
        <x:v>0.0655</x:v>
      </x:c>
      <x:c r="G7" s="12" t="n">
        <x:v>433908</x:v>
      </x:c>
      <x:c r="H7" s="12" t="n">
        <x:v>8735000</x:v>
      </x:c>
      <x:c r="I7" s="11" t="n">
        <x:v>0.2812</x:v>
      </x:c>
      <x:c r="J7" s="11" t="n">
        <x:f>IFERROR(G7/H7,"")</x:f>
        <x:v>0.049674642243846594</x:v>
      </x:c>
      <x:c r="K7" s="10" t="str">
        <x:f>IF(OR(F7="",I7=""),"未交叉",IF(F7*I7&gt;0,"同向",IF(F7*I7&lt;0,"背离","一侧持平")))</x:f>
        <x:v>同向</x:v>
      </x:c>
      <x:c r="L7" s="10" t="str">
        <x:v>高</x:v>
      </x:c>
      <x:c r="M7" s="38" t="str">
        <x:v>AI 应用生成平台的访问量和付款侧信号同向增长，说明开发工具也在变现。</x:v>
      </x:c>
      <x:c r="N7" s="38" t="str">
        <x:v>应用构建平台竞争激烈，增长不等于利润。</x:v>
      </x:c>
      <x:c r="O7" s="38" t="str">
        <x:v>From idea to app in minutes. AI-powered development platform for creators, entrepreneurs, and developers.</x:v>
      </x:c>
    </x:row>
    <x:row r="8" ht="82" customHeight="1">
      <x:c r="A8" s="10" t="str">
        <x:v>fal.ai</x:v>
      </x:c>
      <x:c r="B8" s="10" t="str">
        <x:v>checkout.stripe.com</x:v>
      </x:c>
      <x:c r="C8" s="10" t="str">
        <x:v>AI 开发工具与基础设施</x:v>
      </x:c>
      <x:c r="D8" s="10" t="n">
        <x:v>14</x:v>
      </x:c>
      <x:c r="E8" s="11" t="n">
        <x:v>0.0097</x:v>
      </x:c>
      <x:c r="F8" s="11" t="n">
        <x:v>0.1527</x:v>
      </x:c>
      <x:c r="G8" s="12" t="n">
        <x:v>412638</x:v>
      </x:c>
      <x:c r="H8" s="12" t="n">
        <x:v>2380000</x:v>
      </x:c>
      <x:c r="I8" s="11" t="n">
        <x:v>-0.015</x:v>
      </x:c>
      <x:c r="J8" s="11" t="n">
        <x:f>IFERROR(G8/H8,"")</x:f>
        <x:v>0.17337731092436975</x:v>
      </x:c>
      <x:c r="K8" s="10" t="str">
        <x:f>IF(OR(F8="",I8=""),"未交叉",IF(F8*I8&gt;0,"同向",IF(F8*I8&lt;0,"背离","一侧持平")))</x:f>
        <x:v>背离</x:v>
      </x:c>
      <x:c r="L8" s="10" t="str">
        <x:v>反例</x:v>
      </x:c>
      <x:c r="M8" s="38" t="str">
        <x:v>AI 推理基础设施的付款侧份额上升，但站点访问量小幅下滑，是渠道结构变化可能干扰判断的第二个反例。</x:v>
      </x:c>
      <x:c r="N8" s="38" t="str">
        <x:v>付款侧与站点访问方向背离，不能列为增长案例。</x:v>
      </x:c>
      <x:c r="O8" s="38" t="str">
        <x:v>We help companies to build and scale their AI products. Learn more about our customer cases.</x:v>
      </x:c>
    </x:row>
    <x:row r="9" ht="82" customHeight="1">
      <x:c r="A9" s="10" t="str">
        <x:v>app.uare.ai</x:v>
      </x:c>
      <x:c r="B9" s="10" t="str">
        <x:v>checkout.stripe.com</x:v>
      </x:c>
      <x:c r="C9" s="10" t="str">
        <x:v>AI 内容生成与创作</x:v>
      </x:c>
      <x:c r="D9" s="10" t="n">
        <x:v>27</x:v>
      </x:c>
      <x:c r="E9" s="11" t="n">
        <x:v>0.0059</x:v>
      </x:c>
      <x:c r="F9" s="11" t="n">
        <x:v>2.4417</x:v>
      </x:c>
      <x:c r="G9" s="12" t="n">
        <x:v>250986</x:v>
      </x:c>
      <x:c r="H9" s="12" t="n">
        <x:v>30756</x:v>
      </x:c>
      <x:c r="I9" s="11" t="n">
        <x:v>2.5221999999999998</x:v>
      </x:c>
      <x:c r="J9" s="11" t="n">
        <x:f>IFERROR(G9/H9,"")</x:f>
        <x:v>8.160554038236441</x:v>
      </x:c>
      <x:c r="K9" s="10" t="str">
        <x:f>IF(OR(F9="",I9=""),"未交叉",IF(F9*I9&gt;0,"同向",IF(F9*I9&lt;0,"背离","一侧持平")))</x:f>
        <x:v>同向</x:v>
      </x:c>
      <x:c r="L9" s="10" t="str">
        <x:v>中</x:v>
      </x:c>
      <x:c r="M9" s="38" t="str">
        <x:v>个人数字分身/个人 AI 的付款侧与站点访问量同步高增，属于可继续追踪的新方向。</x:v>
      </x:c>
      <x:c r="N9" s="38" t="str">
        <x:v>推算的支付入口互动量高于站点访问量，绝对量不可信，只保留方向信号。</x:v>
      </x:c>
      <x:c r="O9" s="38" t="str">
        <x:v>Build and own an Individual AI that looks, sounds, thinks, creates, and works like you do. (uare.ai meta description)</x:v>
      </x:c>
    </x:row>
    <x:row r="10" ht="82" customHeight="1">
      <x:c r="A10" s="10" t="str">
        <x:v>toolscale.io</x:v>
      </x:c>
      <x:c r="B10" s="10" t="str">
        <x:v>buy.stripe.com</x:v>
      </x:c>
      <x:c r="C10" s="10" t="str">
        <x:v>创作者资产、模板与设计工具</x:v>
      </x:c>
      <x:c r="D10" s="10" t="n">
        <x:v>5</x:v>
      </x:c>
      <x:c r="E10" s="11" t="n">
        <x:v>0.0277</x:v>
      </x:c>
      <x:c r="F10" s="11" t="n">
        <x:v>3.4213999999999998</x:v>
      </x:c>
      <x:c r="G10" s="12" t="n">
        <x:v>75233</x:v>
      </x:c>
      <x:c r="H10" s="12" t="n">
        <x:v>10451</x:v>
      </x:c>
      <x:c r="I10" s="11" t="n">
        <x:v>0.3005</x:v>
      </x:c>
      <x:c r="J10" s="11" t="n">
        <x:f>IFERROR(G10/H10,"")</x:f>
        <x:v>7.19864127834657</x:v>
      </x:c>
      <x:c r="K10" s="10" t="str">
        <x:f>IF(OR(F10="",I10=""),"未交叉",IF(F10*I10&gt;0,"同向",IF(F10*I10&lt;0,"背离","一侧持平")))</x:f>
        <x:v>同向</x:v>
      </x:c>
      <x:c r="L10" s="10" t="str">
        <x:v>中</x:v>
      </x:c>
      <x:c r="M10" s="38" t="str">
        <x:v>小流量模板/数字资产站也能在 Stripe Payment Links 中排名靠前，说明一次性数字商品是独立开发者可做的轻模式。</x:v>
      </x:c>
      <x:c r="N10" s="38" t="str">
        <x:v>推算的支付入口互动量明显高于站点访问量，存在模型误差或域名口径错位。</x:v>
      </x:c>
      <x:c r="O10" s="38" t="str">
        <x:v>Presenting Dark X, our top-notch dark mode tech and SaaS Webflow Template. It you want your SaaS website to have a slick dark-mode look and feel, this is your template.</x:v>
      </x:c>
    </x:row>
    <x:row r="11" ht="82" customHeight="1">
      <x:c r="A11" s="10" t="str">
        <x:v>roughanimator.com</x:v>
      </x:c>
      <x:c r="B11" s="10" t="str">
        <x:v>sites.fastspring.com</x:v>
      </x:c>
      <x:c r="C11" s="10" t="str">
        <x:v>桌面/移动端专业工具</x:v>
      </x:c>
      <x:c r="D11" s="10" t="n">
        <x:v>9</x:v>
      </x:c>
      <x:c r="E11" s="11" t="n">
        <x:v>0.027000000000000003</x:v>
      </x:c>
      <x:c r="F11" s="11" t="n">
        <x:v>5.8047</x:v>
      </x:c>
      <x:c r="G11" s="12" t="n">
        <x:v>2901</x:v>
      </x:c>
      <x:c r="H11" s="12" t="n">
        <x:v>46167</x:v>
      </x:c>
      <x:c r="I11" s="11" t="n">
        <x:v>0.4557</x:v>
      </x:c>
      <x:c r="J11" s="11" t="n">
        <x:f>IFERROR(G11/H11,"")</x:f>
        <x:v>0.06283709142894275</x:v>
      </x:c>
      <x:c r="K11" s="10" t="str">
        <x:f>IF(OR(F11="",I11=""),"未交叉",IF(F11*I11&gt;0,"同向",IF(F11*I11&lt;0,"背离","一侧持平")))</x:f>
        <x:v>同向</x:v>
      </x:c>
      <x:c r="L11" s="10" t="str">
        <x:v>高</x:v>
      </x:c>
      <x:c r="M11" s="38" t="str">
        <x:v>跨平台手绘动画工具流量规模不大，但付款侧和站点访问量同时增长，是“专业小工具”最干净的案例。</x:v>
      </x:c>
      <x:c r="N11" s="38" t="str">
        <x:v>只覆盖一个月，尚不能证明长期趋势。</x:v>
      </x:c>
      <x:c r="O11" s="38" t="str">
        <x:v>mobile animation software! fully featured hand drawn animation application runs on ipad, android, mac, and windows. powerful enough for professional animators, simple enough for beginners. everything you need to create traditional hand drawn animation, anywhere you go! rough animator
App store
Google play</x:v>
      </x:c>
    </x:row>
    <x:row r="12" ht="82" customHeight="1">
      <x:c r="A12" s="10" t="str">
        <x:v>adbappcontrol.com</x:v>
      </x:c>
      <x:c r="B12" s="10" t="str">
        <x:v>store.payproglobal.com</x:v>
      </x:c>
      <x:c r="C12" s="10" t="str">
        <x:v>桌面/移动端专业工具</x:v>
      </x:c>
      <x:c r="D12" s="10" t="n">
        <x:v>4</x:v>
      </x:c>
      <x:c r="E12" s="11" t="n">
        <x:v>0.0441</x:v>
      </x:c>
      <x:c r="F12" s="11" t="n">
        <x:v>2.0296000000000003</x:v>
      </x:c>
      <x:c r="G12" s="12" t="n">
        <x:v>13243</x:v>
      </x:c>
      <x:c r="H12" s="12" t="n">
        <x:v>273299</x:v>
      </x:c>
      <x:c r="I12" s="11" t="n">
        <x:v>0.023399999999999997</x:v>
      </x:c>
      <x:c r="J12" s="11" t="n">
        <x:f>IFERROR(G12/H12,"")</x:f>
        <x:v>0.048456086557213895</x:v>
      </x:c>
      <x:c r="K12" s="10" t="str">
        <x:f>IF(OR(F12="",I12=""),"未交叉",IF(F12*I12&gt;0,"同向",IF(F12*I12&lt;0,"背离","一侧持平")))</x:f>
        <x:v>同向</x:v>
      </x:c>
      <x:c r="L12" s="10" t="str">
        <x:v>中</x:v>
      </x:c>
      <x:c r="M12" s="38" t="str">
        <x:v>Android 设备管理/去臃肿工具的支付份额快速上升，说明解决具体设备问题的工具仍有付费需求。</x:v>
      </x:c>
      <x:c r="N12" s="38" t="str">
        <x:v>站点访问仅小幅增长，付款侧涨幅可能含渠道变化。</x:v>
      </x:c>
      <x:c r="O12" s="38" t="str">
        <x:v>official website of the adb appcontrol application. free download. latest release. the ultimate applications manager and debloat tool for android devices.</x:v>
      </x:c>
    </x:row>
    <x:row r="13" ht="82" customHeight="1">
      <x:c r="A13" s="10" t="str">
        <x:v>bombich.com</x:v>
      </x:c>
      <x:c r="B13" s="10" t="str">
        <x:v>sites.fastspring.com</x:v>
      </x:c>
      <x:c r="C13" s="10" t="str">
        <x:v>桌面/移动端专业工具</x:v>
      </x:c>
      <x:c r="D13" s="10" t="n">
        <x:v>3</x:v>
      </x:c>
      <x:c r="E13" s="11" t="n">
        <x:v>0.1476</x:v>
      </x:c>
      <x:c r="F13" s="11" t="n">
        <x:v>0.9797</x:v>
      </x:c>
      <x:c r="G13" s="12" t="n">
        <x:v>15859</x:v>
      </x:c>
      <x:c r="H13" s="12"/>
      <x:c r="I13" s="11"/>
      <x:c r="J13" s="11" t="str">
        <x:f>IFERROR(G13/H13,"")</x:f>
      </x:c>
      <x:c r="K13" s="10" t="str">
        <x:f>IF(OR(F13="",I13=""),"未交叉",IF(F13*I13&gt;0,"同向",IF(F13*I13&lt;0,"背离","一侧持平")))</x:f>
        <x:v>未交叉</x:v>
      </x:c>
      <x:c r="L13" s="10" t="str">
        <x:v>中</x:v>
      </x:c>
      <x:c r="M13" s="38" t="str">
        <x:v>Mac 备份类成熟专业软件在 FastSpring 来源中占比很高，证明老需求仍有强付费意图。</x:v>
      </x:c>
      <x:c r="N13" s="38" t="str">
        <x:v>未做站点访问量交叉验证，且品牌成熟，不是新机会。</x:v>
      </x:c>
      <x:c r="O13" s="38" t="str"/>
    </x:row>
    <x:row r="14" ht="82" customHeight="1">
      <x:c r="A14" s="10" t="str">
        <x:v>powerampapp.com</x:v>
      </x:c>
      <x:c r="B14" s="10" t="str">
        <x:v>store.payproglobal.com</x:v>
      </x:c>
      <x:c r="C14" s="10" t="str">
        <x:v>桌面/移动端专业工具</x:v>
      </x:c>
      <x:c r="D14" s="10" t="n">
        <x:v>3</x:v>
      </x:c>
      <x:c r="E14" s="11" t="n">
        <x:v>0.052199999999999996</x:v>
      </x:c>
      <x:c r="F14" s="11" t="n">
        <x:v>0.8493999999999999</x:v>
      </x:c>
      <x:c r="G14" s="12" t="n">
        <x:v>15676</x:v>
      </x:c>
      <x:c r="H14" s="12"/>
      <x:c r="I14" s="11"/>
      <x:c r="J14" s="11" t="str">
        <x:f>IFERROR(G14/H14,"")</x:f>
      </x:c>
      <x:c r="K14" s="10" t="str">
        <x:f>IF(OR(F14="",I14=""),"未交叉",IF(F14*I14&gt;0,"同向",IF(F14*I14&lt;0,"背离","一侧持平")))</x:f>
        <x:v>未交叉</x:v>
      </x:c>
      <x:c r="L14" s="10" t="str">
        <x:v>中</x:v>
      </x:c>
      <x:c r="M14" s="38" t="str">
        <x:v>移动端音乐播放器在 PayPro Global 付款来源中份额高且上升，支持“本地应用仍能卖钱”。</x:v>
      </x:c>
      <x:c r="N14" s="38" t="str">
        <x:v>未做站点访问量交叉验证。</x:v>
      </x:c>
      <x:c r="O14" s="38" t="str"/>
    </x:row>
    <x:row r="15" ht="82" customHeight="1">
      <x:c r="A15" s="10" t="str">
        <x:v>aifilmmakers.in</x:v>
      </x:c>
      <x:c r="B15" s="10" t="str">
        <x:v>pages.razorpay.com</x:v>
      </x:c>
      <x:c r="C15" s="10" t="str">
        <x:v>教育、课程与知识产品</x:v>
      </x:c>
      <x:c r="D15" s="10" t="n">
        <x:v>1</x:v>
      </x:c>
      <x:c r="E15" s="11" t="n">
        <x:v>0.0907</x:v>
      </x:c>
      <x:c r="F15" s="11" t="n">
        <x:v>50</x:v>
      </x:c>
      <x:c r="G15" s="12" t="n">
        <x:v>125801</x:v>
      </x:c>
      <x:c r="H15" s="12" t="n">
        <x:v>248016</x:v>
      </x:c>
      <x:c r="I15" s="11" t="n">
        <x:v>180.10029999999998</x:v>
      </x:c>
      <x:c r="J15" s="11" t="n">
        <x:f>IFERROR(G15/H15,"")</x:f>
        <x:v>0.5072293722985614</x:v>
      </x:c>
      <x:c r="K15" s="10" t="str">
        <x:f>IF(OR(F15="",I15=""),"未交叉",IF(F15*I15&gt;0,"同向",IF(F15*I15&lt;0,"背离","一侧持平")))</x:f>
        <x:v>同向</x:v>
      </x:c>
      <x:c r="L15" s="10" t="str">
        <x:v>中</x:v>
      </x:c>
      <x:c r="M15" s="38" t="str">
        <x:v>AI 影视教育产品在印度支付页出现同步爆发，说明热点技能课程能快速变现。</x:v>
      </x:c>
      <x:c r="N15" s="38" t="str">
        <x:v>极端增长更像上线/投放脉冲，持续性未知；站点说明页缺失。</x:v>
      </x:c>
      <x:c r="O15" s="38" t="str"/>
    </x:row>
    <x:row r="16" ht="82" customHeight="1">
      <x:c r="A16" s="10" t="str">
        <x:v>supercool.com</x:v>
      </x:c>
      <x:c r="B16" s="10" t="str">
        <x:v>buy.stripe.com</x:v>
      </x:c>
      <x:c r="C16" s="10" t="str">
        <x:v>AI 工具与应用（未细分）</x:v>
      </x:c>
      <x:c r="D16" s="10" t="n">
        <x:v>1</x:v>
      </x:c>
      <x:c r="E16" s="11" t="n">
        <x:v>0.09369999999999999</x:v>
      </x:c>
      <x:c r="F16" s="11" t="n">
        <x:v>1.8441999999999998</x:v>
      </x:c>
      <x:c r="G16" s="12" t="n">
        <x:v>254489</x:v>
      </x:c>
      <x:c r="H16" s="12" t="n">
        <x:v>1016000</x:v>
      </x:c>
      <x:c r="I16" s="11" t="n">
        <x:v>-0.3961</x:v>
      </x:c>
      <x:c r="J16" s="11" t="n">
        <x:f>IFERROR(G16/H16,"")</x:f>
        <x:v>0.25048129921259843</x:v>
      </x:c>
      <x:c r="K16" s="10" t="str">
        <x:f>IF(OR(F16="",I16=""),"未交叉",IF(F16*I16&gt;0,"同向",IF(F16*I16&lt;0,"背离","一侧持平")))</x:f>
        <x:v>背离</x:v>
      </x:c>
      <x:c r="L16" s="10" t="str">
        <x:v>反例</x:v>
      </x:c>
      <x:c r="M16" s="38" t="str">
        <x:v>付款链接份额大涨但站点访问量大跌，是这套方法不能单独当收入证据的典型反例。</x:v>
      </x:c>
      <x:c r="N16" s="38" t="str">
        <x:v>增长方向冲突，不能列为机会项目。</x:v>
      </x:c>
      <x:c r="O16" s="38" t="str">
        <x:v>Unlock the power of AI with SuperCool. Create amazing content, automate tasks, and boost productivity with our advanced AI tools.</x:v>
      </x:c>
    </x:row>
  </x:sheetData>
  <x:mergeCells>
    <x:mergeCell ref="A1:O2"/>
    <x:mergeCell ref="A3:O3"/>
  </x:mergeCells>
  <x:conditionalFormatting sqref="K5:K16">
    <x:cfRule type="containsText" dxfId="2" priority="1" operator="containsText" text="同向"/>
    <x:cfRule type="containsText" dxfId="3" priority="2" operator="containsText" text="背离"/>
  </x:conditionalFormatting>
  <x:pageMargins left="0.7" right="0.7" top="0.75" bottom="0.75" header="0.3" footer="0.3"/>
  <x:tableParts count="1">
    <x:tablePart xmlns:r="http://schemas.openxmlformats.org/officeDocument/2006/relationships" r:id="R2369d19bfaaa416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9" hidden="0" customWidth="1"/>
    <x:col min="3" max="3" width="9" hidden="0" customWidth="1"/>
    <x:col min="4" max="4" width="11" hidden="0" customWidth="1"/>
    <x:col min="5" max="5" width="11" hidden="0" customWidth="1"/>
    <x:col min="6" max="6" width="25" hidden="0" customWidth="1"/>
    <x:col min="7" max="7" width="24" hidden="0" customWidth="1"/>
    <x:col min="8" max="8" width="28" hidden="0" customWidth="1"/>
    <x:col min="9" max="9" width="24" hidden="0" customWidth="1"/>
    <x:col min="10" max="10" width="11" hidden="0" customWidth="1"/>
    <x:col min="11" max="11" width="11" hidden="0" customWidth="1"/>
    <x:col min="12" max="12" width="10" hidden="0" customWidth="1"/>
    <x:col min="13" max="13" width="13" hidden="0" customWidth="1"/>
    <x:col min="14" max="14" width="16" hidden="0" customWidth="1"/>
    <x:col min="15" max="15" width="17" hidden="0" customWidth="1"/>
    <x:col min="16" max="16" width="17" hidden="0" customWidth="1"/>
    <x:col min="17" max="17" width="8" hidden="0" customWidth="1"/>
    <x:col min="18" max="18" width="27" hidden="0" customWidth="1"/>
    <x:col min="19" max="19" width="13" hidden="0" customWidth="1"/>
    <x:col min="20" max="20" width="18" hidden="0" customWidth="1"/>
    <x:col min="21" max="21" width="14" hidden="0" customWidth="1"/>
    <x:col min="22" max="22" width="32" hidden="0" customWidth="1"/>
    <x:col min="23" max="23" width="42" hidden="0" customWidth="1"/>
    <x:col min="24" max="24" width="15" hidden="0" customWidth="1"/>
    <x:col min="25" max="25" width="12" hidden="0" customWidth="1"/>
  </x:cols>
  <x:sheetData>
    <x:row r="1">
      <x:c r="A1" s="9" t="str">
        <x:v>支付入口</x:v>
      </x:c>
      <x:c r="B1" s="9" t="str">
        <x:v>入口类型</x:v>
      </x:c>
      <x:c r="C1" s="9" t="str">
        <x:v>置信度</x:v>
      </x:c>
      <x:c r="D1" s="9" t="str">
        <x:v>数据月份</x:v>
      </x:c>
      <x:c r="E1" s="9" t="str">
        <x:v>入口内排名</x:v>
      </x:c>
      <x:c r="F1" s="9" t="str">
        <x:v>来源域名</x:v>
      </x:c>
      <x:c r="G1" s="9" t="str">
        <x:v>Similarweb 行业</x:v>
      </x:c>
      <x:c r="H1" s="9" t="str">
        <x:v>自定义行业</x:v>
      </x:c>
      <x:c r="I1" s="9" t="str">
        <x:v>分类依据</x:v>
      </x:c>
      <x:c r="J1" s="9" t="str">
        <x:v>全球排名</x:v>
      </x:c>
      <x:c r="K1" s="9" t="str">
        <x:v>来源份额</x:v>
      </x:c>
      <x:c r="L1" s="9" t="str">
        <x:v>变化类型</x:v>
      </x:c>
      <x:c r="M1" s="9" t="str">
        <x:v>来源份额环比</x:v>
      </x:c>
      <x:c r="N1" s="9" t="str">
        <x:v>入口总引荐访问</x:v>
      </x:c>
      <x:c r="O1" s="9" t="str">
        <x:v>采集时推算互动量</x:v>
      </x:c>
      <x:c r="P1" s="9" t="str">
        <x:v>公式推算互动量</x:v>
      </x:c>
      <x:c r="Q1" s="9" t="str">
        <x:v>噪音</x:v>
      </x:c>
      <x:c r="R1" s="9" t="str">
        <x:v>噪音原因</x:v>
      </x:c>
      <x:c r="S1" s="9" t="str">
        <x:v>付款侧信号分</x:v>
      </x:c>
      <x:c r="T1" s="9" t="str">
        <x:v>交叉验证站点访问</x:v>
      </x:c>
      <x:c r="U1" s="9" t="str">
        <x:v>站点访问环比</x:v>
      </x:c>
      <x:c r="V1" s="9" t="str">
        <x:v>来源 URL</x:v>
      </x:c>
      <x:c r="W1" s="9" t="str">
        <x:v>Similarweb URL</x:v>
      </x:c>
      <x:c r="X1" s="9" t="str">
        <x:v>入口归一化份额</x:v>
      </x:c>
      <x:c r="Y1" s="9" t="str">
        <x:v>方向一致性</x:v>
      </x:c>
    </x:row>
    <x:row r="2">
      <x:c r="A2" s="13" t="str">
        <x:v>buy.stripe.com</x:v>
      </x:c>
      <x:c r="B2" s="14" t="str">
        <x:v>专用支付/结账入口</x:v>
      </x:c>
      <x:c r="C2" s="14" t="str">
        <x:v>高</x:v>
      </x:c>
      <x:c r="D2" s="14" t="str">
        <x:v>Jul 2026</x:v>
      </x:c>
      <x:c r="E2" s="14" t="n">
        <x:v>1</x:v>
      </x:c>
      <x:c r="F2" s="14" t="str">
        <x:v>supercool.com</x:v>
      </x:c>
      <x:c r="G2" s="14" t="str">
        <x:v>Graphics Multimedia and Web Design</x:v>
      </x:c>
      <x:c r="H2" s="14" t="str">
        <x:v>AI 工具与应用（未细分）</x:v>
      </x:c>
      <x:c r="I2" s="14" t="str">
        <x:v>域名人工/交叉验证修正</x:v>
      </x:c>
      <x:c r="J2" s="14" t="n">
        <x:v>66163</x:v>
      </x:c>
      <x:c r="K2" s="15" t="n">
        <x:v>0.09369999999999999</x:v>
      </x:c>
      <x:c r="L2" s="14" t="str">
        <x:v>上升</x:v>
      </x:c>
      <x:c r="M2" s="15" t="n">
        <x:v>1.8441999999999998</x:v>
      </x:c>
      <x:c r="N2" s="16" t="n">
        <x:v>2716000</x:v>
      </x:c>
      <x:c r="O2" s="16" t="n">
        <x:v>254489</x:v>
      </x:c>
      <x:c r="P2" s="16" t="n">
        <x:f>ROUND(N2*K2,0)</x:f>
        <x:v>254489</x:v>
      </x:c>
      <x:c r="Q2" s="14" t="str">
        <x:v>否</x:v>
      </x:c>
      <x:c r="R2" s="14" t="str"/>
      <x:c r="S2" s="14" t="n">
        <x:f>IF(Q2="是",0,MIN(10,2+IF(C2="高",2,1)+IF(K2&gt;=3%,3,IF(K2&gt;=1%,2,1))+IF(L2="新出现",2,IF(M2&gt;=100%,3,IF(M2&gt;0,2,0)))))</x:f>
        <x:v>10</x:v>
      </x:c>
      <x:c r="T2" s="16" t="n">
        <x:v>1016000</x:v>
      </x:c>
      <x:c r="U2" s="15" t="n">
        <x:v>-0.3961</x:v>
      </x:c>
      <x:c r="V2" s="14" t="str">
        <x:v>http://supercool.com/</x:v>
      </x:c>
      <x:c r="W2" s="14" t="str">
        <x:v>https://pro.similarweb.com/#/digitalsuite/websiteanalysis/referrals/*/999/1m?webSource=Total&amp;selectedTab=incomingTraffic&amp;key=buy.stripe.com</x:v>
      </x:c>
      <x:c r="X2" s="15" t="n">
        <x:f>IF(Q2="是",0,IFERROR(P2/SUMIFS($P$2:$P$964,$A$2:$A$964,A2,$Q$2:$Q$964,"否"),0))</x:f>
        <x:v>0.15938066193743866</x:v>
      </x:c>
      <x:c r="Y2" s="17" t="str">
        <x:f>IF(OR(M2="",U2=""),"未交叉",IF(M2*U2&gt;0,"同向",IF(M2*U2&lt;0,"背离","一侧持平")))</x:f>
        <x:v>背离</x:v>
      </x:c>
    </x:row>
    <x:row r="3">
      <x:c r="A3" s="18" t="str">
        <x:v>buy.stripe.com</x:v>
      </x:c>
      <x:c r="B3" s="19" t="str">
        <x:v>专用支付/结账入口</x:v>
      </x:c>
      <x:c r="C3" s="19" t="str">
        <x:v>高</x:v>
      </x:c>
      <x:c r="D3" s="19" t="str">
        <x:v>Jul 2026</x:v>
      </x:c>
      <x:c r="E3" s="19" t="n">
        <x:v>2</x:v>
      </x:c>
      <x:c r="F3" s="19" t="str">
        <x:v>stripe.com</x:v>
      </x:c>
      <x:c r="G3" s="19" t="str">
        <x:v>Finance</x:v>
      </x:c>
      <x:c r="H3" s="19" t="str">
        <x:v>金融、支付与交易服务</x:v>
      </x:c>
      <x:c r="I3" s="19" t="str">
        <x:v>Similarweb 行业映射</x:v>
      </x:c>
      <x:c r="J3" s="19" t="n">
        <x:v>319</x:v>
      </x:c>
      <x:c r="K3" s="20" t="n">
        <x:v>0.0353</x:v>
      </x:c>
      <x:c r="L3" s="19" t="str">
        <x:v>下降</x:v>
      </x:c>
      <x:c r="M3" s="20" t="n">
        <x:v>-0.0291</x:v>
      </x:c>
      <x:c r="N3" s="21" t="n">
        <x:v>2716000</x:v>
      </x:c>
      <x:c r="O3" s="21" t="n">
        <x:v>95875</x:v>
      </x:c>
      <x:c r="P3" s="21" t="n">
        <x:f>ROUND(N3*K3,0)</x:f>
        <x:v>95875</x:v>
      </x:c>
      <x:c r="Q3" s="19" t="str">
        <x:v>是</x:v>
      </x:c>
      <x:c r="R3" s="19" t="str">
        <x:v>支付平台、自引荐或流量中介</x:v>
      </x:c>
      <x:c r="S3" s="19" t="n">
        <x:f>IF(Q3="是",0,MIN(10,2+IF(C3="高",2,1)+IF(K3&gt;=3%,3,IF(K3&gt;=1%,2,1))+IF(L3="新出现",2,IF(M3&gt;=100%,3,IF(M3&gt;0,2,0)))))</x:f>
        <x:v>0</x:v>
      </x:c>
      <x:c r="T3" s="21"/>
      <x:c r="U3" s="20"/>
      <x:c r="V3" s="19" t="str">
        <x:v>http://stripe.com/</x:v>
      </x:c>
      <x:c r="W3" s="19" t="str">
        <x:v>https://pro.similarweb.com/#/digitalsuite/websiteanalysis/referrals/*/999/1m?webSource=Total&amp;selectedTab=incomingTraffic&amp;key=buy.stripe.com</x:v>
      </x:c>
      <x:c r="X3" s="20" t="n">
        <x:f>IF(Q3="是",0,IFERROR(P3/SUMIFS($P$2:$P$964,$A$2:$A$964,A3,$Q$2:$Q$964,"否"),0))</x:f>
        <x:v>0</x:v>
      </x:c>
      <x:c r="Y3" s="22" t="str">
        <x:f>IF(OR(M3="",U3=""),"未交叉",IF(M3*U3&gt;0,"同向",IF(M3*U3&lt;0,"背离","一侧持平")))</x:f>
        <x:v>未交叉</x:v>
      </x:c>
    </x:row>
    <x:row r="4">
      <x:c r="A4" s="18" t="str">
        <x:v>buy.stripe.com</x:v>
      </x:c>
      <x:c r="B4" s="19" t="str">
        <x:v>专用支付/结账入口</x:v>
      </x:c>
      <x:c r="C4" s="19" t="str">
        <x:v>高</x:v>
      </x:c>
      <x:c r="D4" s="19" t="str">
        <x:v>Jul 2026</x:v>
      </x:c>
      <x:c r="E4" s="19" t="n">
        <x:v>3</x:v>
      </x:c>
      <x:c r="F4" s="19" t="str">
        <x:v>Referral</x:v>
      </x:c>
      <x:c r="G4" s="19" t="str">
        <x:v>Unknown</x:v>
      </x:c>
      <x:c r="H4" s="19" t="str">
        <x:v>其他/待核查</x:v>
      </x:c>
      <x:c r="I4" s="19" t="str">
        <x:v>Similarweb 未分类</x:v>
      </x:c>
      <x:c r="J4" s="19"/>
      <x:c r="K4" s="20" t="n">
        <x:v>0.0339</x:v>
      </x:c>
      <x:c r="L4" s="19" t="str">
        <x:v>下降</x:v>
      </x:c>
      <x:c r="M4" s="20" t="n">
        <x:v>-0.12539999999999998</x:v>
      </x:c>
      <x:c r="N4" s="21" t="n">
        <x:v>2716000</x:v>
      </x:c>
      <x:c r="O4" s="21" t="n">
        <x:v>92072</x:v>
      </x:c>
      <x:c r="P4" s="21" t="n">
        <x:f>ROUND(N4*K4,0)</x:f>
        <x:v>92072</x:v>
      </x:c>
      <x:c r="Q4" s="19" t="str">
        <x:v>是</x:v>
      </x:c>
      <x:c r="R4" s="19" t="str">
        <x:v>无效/聚合标签</x:v>
      </x:c>
      <x:c r="S4" s="19" t="n">
        <x:f>IF(Q4="是",0,MIN(10,2+IF(C4="高",2,1)+IF(K4&gt;=3%,3,IF(K4&gt;=1%,2,1))+IF(L4="新出现",2,IF(M4&gt;=100%,3,IF(M4&gt;0,2,0)))))</x:f>
        <x:v>0</x:v>
      </x:c>
      <x:c r="T4" s="21"/>
      <x:c r="U4" s="20"/>
      <x:c r="V4" s="19" t="str">
        <x:v>http://referral/</x:v>
      </x:c>
      <x:c r="W4" s="19" t="str">
        <x:v>https://pro.similarweb.com/#/digitalsuite/websiteanalysis/referrals/*/999/1m?webSource=Total&amp;selectedTab=incomingTraffic&amp;key=buy.stripe.com</x:v>
      </x:c>
      <x:c r="X4" s="20" t="n">
        <x:f>IF(Q4="是",0,IFERROR(P4/SUMIFS($P$2:$P$964,$A$2:$A$964,A4,$Q$2:$Q$964,"否"),0))</x:f>
        <x:v>0</x:v>
      </x:c>
      <x:c r="Y4" s="22" t="str">
        <x:f>IF(OR(M4="",U4=""),"未交叉",IF(M4*U4&gt;0,"同向",IF(M4*U4&lt;0,"背离","一侧持平")))</x:f>
        <x:v>未交叉</x:v>
      </x:c>
    </x:row>
    <x:row r="5">
      <x:c r="A5" s="18" t="str">
        <x:v>buy.stripe.com</x:v>
      </x:c>
      <x:c r="B5" s="19" t="str">
        <x:v>专用支付/结账入口</x:v>
      </x:c>
      <x:c r="C5" s="19" t="str">
        <x:v>高</x:v>
      </x:c>
      <x:c r="D5" s="19" t="str">
        <x:v>Jul 2026</x:v>
      </x:c>
      <x:c r="E5" s="19" t="n">
        <x:v>4</x:v>
      </x:c>
      <x:c r="F5" s="19" t="str">
        <x:v>savefrom.net</x:v>
      </x:c>
      <x:c r="G5" s="19" t="str">
        <x:v>File Sharing and Hosting</x:v>
      </x:c>
      <x:c r="H5" s="19" t="str">
        <x:v>开发者工具与互联网基础设施</x:v>
      </x:c>
      <x:c r="I5" s="19" t="str">
        <x:v>Similarweb 行业映射</x:v>
      </x:c>
      <x:c r="J5" s="19" t="n">
        <x:v>424</x:v>
      </x:c>
      <x:c r="K5" s="20" t="n">
        <x:v>0.0308</x:v>
      </x:c>
      <x:c r="L5" s="19" t="str">
        <x:v>上升</x:v>
      </x:c>
      <x:c r="M5" s="20" t="n">
        <x:v>0.20190000000000002</x:v>
      </x:c>
      <x:c r="N5" s="21" t="n">
        <x:v>2716000</x:v>
      </x:c>
      <x:c r="O5" s="21" t="n">
        <x:v>83653</x:v>
      </x:c>
      <x:c r="P5" s="21" t="n">
        <x:f>ROUND(N5*K5,0)</x:f>
        <x:v>83653</x:v>
      </x:c>
      <x:c r="Q5" s="19" t="str">
        <x:v>否</x:v>
      </x:c>
      <x:c r="R5" s="19" t="str"/>
      <x:c r="S5" s="19" t="n">
        <x:f>IF(Q5="是",0,MIN(10,2+IF(C5="高",2,1)+IF(K5&gt;=3%,3,IF(K5&gt;=1%,2,1))+IF(L5="新出现",2,IF(M5&gt;=100%,3,IF(M5&gt;0,2,0)))))</x:f>
        <x:v>9</x:v>
      </x:c>
      <x:c r="T5" s="21"/>
      <x:c r="U5" s="20"/>
      <x:c r="V5" s="19" t="str">
        <x:v>http://savefrom.net/</x:v>
      </x:c>
      <x:c r="W5" s="19" t="str">
        <x:v>https://pro.similarweb.com/#/digitalsuite/websiteanalysis/referrals/*/999/1m?webSource=Total&amp;selectedTab=incomingTraffic&amp;key=buy.stripe.com</x:v>
      </x:c>
      <x:c r="X5" s="20" t="n">
        <x:f>IF(Q5="是",0,IFERROR(P5/SUMIFS($P$2:$P$964,$A$2:$A$964,A5,$Q$2:$Q$964,"否"),0))</x:f>
        <x:v>0.05238996779056288</x:v>
      </x:c>
      <x:c r="Y5" s="22" t="str">
        <x:f>IF(OR(M5="",U5=""),"未交叉",IF(M5*U5&gt;0,"同向",IF(M5*U5&lt;0,"背离","一侧持平")))</x:f>
        <x:v>未交叉</x:v>
      </x:c>
    </x:row>
    <x:row r="6">
      <x:c r="A6" s="18" t="str">
        <x:v>buy.stripe.com</x:v>
      </x:c>
      <x:c r="B6" s="19" t="str">
        <x:v>专用支付/结账入口</x:v>
      </x:c>
      <x:c r="C6" s="19" t="str">
        <x:v>高</x:v>
      </x:c>
      <x:c r="D6" s="19" t="str">
        <x:v>Jul 2026</x:v>
      </x:c>
      <x:c r="E6" s="19" t="n">
        <x:v>5</x:v>
      </x:c>
      <x:c r="F6" s="19" t="str">
        <x:v>toolscale.io</x:v>
      </x:c>
      <x:c r="G6" s="19" t="str">
        <x:v>Unknown</x:v>
      </x:c>
      <x:c r="H6" s="19" t="str">
        <x:v>创作者资产、模板与设计工具</x:v>
      </x:c>
      <x:c r="I6" s="19" t="str">
        <x:v>域名人工识别</x:v>
      </x:c>
      <x:c r="J6" s="19" t="n">
        <x:v>1958615</x:v>
      </x:c>
      <x:c r="K6" s="20" t="n">
        <x:v>0.0277</x:v>
      </x:c>
      <x:c r="L6" s="19" t="str">
        <x:v>上升</x:v>
      </x:c>
      <x:c r="M6" s="20" t="n">
        <x:v>3.4213999999999998</x:v>
      </x:c>
      <x:c r="N6" s="21" t="n">
        <x:v>2716000</x:v>
      </x:c>
      <x:c r="O6" s="21" t="n">
        <x:v>75233</x:v>
      </x:c>
      <x:c r="P6" s="21" t="n">
        <x:f>ROUND(N6*K6,0)</x:f>
        <x:v>75233</x:v>
      </x:c>
      <x:c r="Q6" s="19" t="str">
        <x:v>否</x:v>
      </x:c>
      <x:c r="R6" s="19" t="str"/>
      <x:c r="S6" s="19" t="n">
        <x:f>IF(Q6="是",0,MIN(10,2+IF(C6="高",2,1)+IF(K6&gt;=3%,3,IF(K6&gt;=1%,2,1))+IF(L6="新出现",2,IF(M6&gt;=100%,3,IF(M6&gt;0,2,0)))))</x:f>
        <x:v>9</x:v>
      </x:c>
      <x:c r="T6" s="21" t="n">
        <x:v>10451</x:v>
      </x:c>
      <x:c r="U6" s="20" t="n">
        <x:v>0.3005</x:v>
      </x:c>
      <x:c r="V6" s="19" t="str">
        <x:v>http://toolscale.io/</x:v>
      </x:c>
      <x:c r="W6" s="19" t="str">
        <x:v>https://pro.similarweb.com/#/digitalsuite/websiteanalysis/referrals/*/999/1m?webSource=Total&amp;selectedTab=incomingTraffic&amp;key=buy.stripe.com</x:v>
      </x:c>
      <x:c r="X6" s="20" t="n">
        <x:f>IF(Q6="是",0,IFERROR(P6/SUMIFS($P$2:$P$964,$A$2:$A$964,A6,$Q$2:$Q$964,"否"),0))</x:f>
        <x:v>0.04711671364789568</x:v>
      </x:c>
      <x:c r="Y6" s="22" t="str">
        <x:f>IF(OR(M6="",U6=""),"未交叉",IF(M6*U6&gt;0,"同向",IF(M6*U6&lt;0,"背离","一侧持平")))</x:f>
        <x:v>同向</x:v>
      </x:c>
    </x:row>
    <x:row r="7">
      <x:c r="A7" s="18" t="str">
        <x:v>buy.stripe.com</x:v>
      </x:c>
      <x:c r="B7" s="19" t="str">
        <x:v>专用支付/结账入口</x:v>
      </x:c>
      <x:c r="C7" s="19" t="str">
        <x:v>高</x:v>
      </x:c>
      <x:c r="D7" s="19" t="str">
        <x:v>Jul 2026</x:v>
      </x:c>
      <x:c r="E7" s="19" t="n">
        <x:v>6</x:v>
      </x:c>
      <x:c r="F7" s="19" t="str">
        <x:v>pomoq-dev.github.io</x:v>
      </x:c>
      <x:c r="G7" s="19" t="str">
        <x:v>Search Engines</x:v>
      </x:c>
      <x:c r="H7" s="19" t="str">
        <x:v>营销、生产力与商业服务</x:v>
      </x:c>
      <x:c r="I7" s="19" t="str">
        <x:v>Similarweb 行业映射</x:v>
      </x:c>
      <x:c r="J7" s="19" t="n">
        <x:v>1978824</x:v>
      </x:c>
      <x:c r="K7" s="20" t="n">
        <x:v>0.0213</x:v>
      </x:c>
      <x:c r="L7" s="19" t="str">
        <x:v>上升</x:v>
      </x:c>
      <x:c r="M7" s="20" t="n">
        <x:v>0.066</x:v>
      </x:c>
      <x:c r="N7" s="21" t="n">
        <x:v>2716000</x:v>
      </x:c>
      <x:c r="O7" s="21" t="n">
        <x:v>57851</x:v>
      </x:c>
      <x:c r="P7" s="21" t="n">
        <x:f>ROUND(N7*K7,0)</x:f>
        <x:v>57851</x:v>
      </x:c>
      <x:c r="Q7" s="19" t="str">
        <x:v>否</x:v>
      </x:c>
      <x:c r="R7" s="19" t="str"/>
      <x:c r="S7" s="19" t="n">
        <x:f>IF(Q7="是",0,MIN(10,2+IF(C7="高",2,1)+IF(K7&gt;=3%,3,IF(K7&gt;=1%,2,1))+IF(L7="新出现",2,IF(M7&gt;=100%,3,IF(M7&gt;0,2,0)))))</x:f>
        <x:v>8</x:v>
      </x:c>
      <x:c r="T7" s="21"/>
      <x:c r="U7" s="20"/>
      <x:c r="V7" s="19" t="str">
        <x:v>http://pomoq-dev.github.io/</x:v>
      </x:c>
      <x:c r="W7" s="19" t="str">
        <x:v>https://pro.similarweb.com/#/digitalsuite/websiteanalysis/referrals/*/999/1m?webSource=Total&amp;selectedTab=incomingTraffic&amp;key=buy.stripe.com</x:v>
      </x:c>
      <x:c r="X7" s="20" t="n">
        <x:f>IF(Q7="是",0,IFERROR(P7/SUMIFS($P$2:$P$964,$A$2:$A$964,A7,$Q$2:$Q$964,"否"),0))</x:f>
        <x:v>0.0362307631125226</x:v>
      </x:c>
      <x:c r="Y7" s="22" t="str">
        <x:f>IF(OR(M7="",U7=""),"未交叉",IF(M7*U7&gt;0,"同向",IF(M7*U7&lt;0,"背离","一侧持平")))</x:f>
        <x:v>未交叉</x:v>
      </x:c>
    </x:row>
    <x:row r="8">
      <x:c r="A8" s="18" t="str">
        <x:v>buy.stripe.com</x:v>
      </x:c>
      <x:c r="B8" s="19" t="str">
        <x:v>专用支付/结账入口</x:v>
      </x:c>
      <x:c r="C8" s="19" t="str">
        <x:v>高</x:v>
      </x:c>
      <x:c r="D8" s="19" t="str">
        <x:v>Jul 2026</x:v>
      </x:c>
      <x:c r="E8" s="19" t="n">
        <x:v>7</x:v>
      </x:c>
      <x:c r="F8" s="19" t="str">
        <x:v>2captcha.com</x:v>
      </x:c>
      <x:c r="G8" s="19" t="str">
        <x:v>Computers Electronics and Technology</x:v>
      </x:c>
      <x:c r="H8" s="19" t="str">
        <x:v>通用数字产品与技术服务</x:v>
      </x:c>
      <x:c r="I8" s="19" t="str">
        <x:v>Similarweb 行业映射</x:v>
      </x:c>
      <x:c r="J8" s="19" t="n">
        <x:v>43691</x:v>
      </x:c>
      <x:c r="K8" s="20" t="n">
        <x:v>0.020099999999999996</x:v>
      </x:c>
      <x:c r="L8" s="19" t="str">
        <x:v>上升</x:v>
      </x:c>
      <x:c r="M8" s="20" t="n">
        <x:v>0.046900000000000004</x:v>
      </x:c>
      <x:c r="N8" s="21" t="n">
        <x:v>2716000</x:v>
      </x:c>
      <x:c r="O8" s="21" t="n">
        <x:v>54592</x:v>
      </x:c>
      <x:c r="P8" s="21" t="n">
        <x:f>ROUND(N8*K8,0)</x:f>
        <x:v>54592</x:v>
      </x:c>
      <x:c r="Q8" s="19" t="str">
        <x:v>否</x:v>
      </x:c>
      <x:c r="R8" s="19" t="str"/>
      <x:c r="S8" s="19" t="n">
        <x:f>IF(Q8="是",0,MIN(10,2+IF(C8="高",2,1)+IF(K8&gt;=3%,3,IF(K8&gt;=1%,2,1))+IF(L8="新出现",2,IF(M8&gt;=100%,3,IF(M8&gt;0,2,0)))))</x:f>
        <x:v>8</x:v>
      </x:c>
      <x:c r="T8" s="21"/>
      <x:c r="U8" s="20"/>
      <x:c r="V8" s="19" t="str">
        <x:v>http://2captcha.com/</x:v>
      </x:c>
      <x:c r="W8" s="19" t="str">
        <x:v>https://pro.similarweb.com/#/digitalsuite/websiteanalysis/referrals/*/999/1m?webSource=Total&amp;selectedTab=incomingTraffic&amp;key=buy.stripe.com</x:v>
      </x:c>
      <x:c r="X8" s="20" t="n">
        <x:f>IF(Q8="是",0,IFERROR(P8/SUMIFS($P$2:$P$964,$A$2:$A$964,A8,$Q$2:$Q$964,"否"),0))</x:f>
        <x:v>0.03418972567179191</x:v>
      </x:c>
      <x:c r="Y8" s="22" t="str">
        <x:f>IF(OR(M8="",U8=""),"未交叉",IF(M8*U8&gt;0,"同向",IF(M8*U8&lt;0,"背离","一侧持平")))</x:f>
        <x:v>未交叉</x:v>
      </x:c>
    </x:row>
    <x:row r="9">
      <x:c r="A9" s="18" t="str">
        <x:v>buy.stripe.com</x:v>
      </x:c>
      <x:c r="B9" s="19" t="str">
        <x:v>专用支付/结账入口</x:v>
      </x:c>
      <x:c r="C9" s="19" t="str">
        <x:v>高</x:v>
      </x:c>
      <x:c r="D9" s="19" t="str">
        <x:v>Jul 2026</x:v>
      </x:c>
      <x:c r="E9" s="19" t="n">
        <x:v>8</x:v>
      </x:c>
      <x:c r="F9" s="19" t="str">
        <x:v>link.me</x:v>
      </x:c>
      <x:c r="G9" s="19" t="str">
        <x:v>Computers Electronics and Technology</x:v>
      </x:c>
      <x:c r="H9" s="19" t="str">
        <x:v>通用数字产品与技术服务</x:v>
      </x:c>
      <x:c r="I9" s="19" t="str">
        <x:v>Similarweb 行业映射</x:v>
      </x:c>
      <x:c r="J9" s="19" t="n">
        <x:v>578</x:v>
      </x:c>
      <x:c r="K9" s="20" t="n">
        <x:v>0.0192</x:v>
      </x:c>
      <x:c r="L9" s="19" t="str">
        <x:v>上升</x:v>
      </x:c>
      <x:c r="M9" s="20" t="n">
        <x:v>2.1466</x:v>
      </x:c>
      <x:c r="N9" s="21" t="n">
        <x:v>2716000</x:v>
      </x:c>
      <x:c r="O9" s="21" t="n">
        <x:v>52147</x:v>
      </x:c>
      <x:c r="P9" s="21" t="n">
        <x:f>ROUND(N9*K9,0)</x:f>
        <x:v>52147</x:v>
      </x:c>
      <x:c r="Q9" s="19" t="str">
        <x:v>是</x:v>
      </x:c>
      <x:c r="R9" s="19" t="str">
        <x:v>支付平台、自引荐或流量中介</x:v>
      </x:c>
      <x:c r="S9" s="19" t="n">
        <x:f>IF(Q9="是",0,MIN(10,2+IF(C9="高",2,1)+IF(K9&gt;=3%,3,IF(K9&gt;=1%,2,1))+IF(L9="新出现",2,IF(M9&gt;=100%,3,IF(M9&gt;0,2,0)))))</x:f>
        <x:v>0</x:v>
      </x:c>
      <x:c r="T9" s="21"/>
      <x:c r="U9" s="20"/>
      <x:c r="V9" s="19" t="str">
        <x:v>http://link.me/</x:v>
      </x:c>
      <x:c r="W9" s="19" t="str">
        <x:v>https://pro.similarweb.com/#/digitalsuite/websiteanalysis/referrals/*/999/1m?webSource=Total&amp;selectedTab=incomingTraffic&amp;key=buy.stripe.com</x:v>
      </x:c>
      <x:c r="X9" s="20" t="n">
        <x:f>IF(Q9="是",0,IFERROR(P9/SUMIFS($P$2:$P$964,$A$2:$A$964,A9,$Q$2:$Q$964,"否"),0))</x:f>
        <x:v>0</x:v>
      </x:c>
      <x:c r="Y9" s="22" t="str">
        <x:f>IF(OR(M9="",U9=""),"未交叉",IF(M9*U9&gt;0,"同向",IF(M9*U9&lt;0,"背离","一侧持平")))</x:f>
        <x:v>未交叉</x:v>
      </x:c>
    </x:row>
    <x:row r="10">
      <x:c r="A10" s="18" t="str">
        <x:v>buy.stripe.com</x:v>
      </x:c>
      <x:c r="B10" s="19" t="str">
        <x:v>专用支付/结账入口</x:v>
      </x:c>
      <x:c r="C10" s="19" t="str">
        <x:v>高</x:v>
      </x:c>
      <x:c r="D10" s="19" t="str">
        <x:v>Jul 2026</x:v>
      </x:c>
      <x:c r="E10" s="19" t="n">
        <x:v>9</x:v>
      </x:c>
      <x:c r="F10" s="19" t="str">
        <x:v>canva.com</x:v>
      </x:c>
      <x:c r="G10" s="19" t="str">
        <x:v>Graphics Multimedia and Web Design</x:v>
      </x:c>
      <x:c r="H10" s="19" t="str">
        <x:v>创作、设计与多媒体工具</x:v>
      </x:c>
      <x:c r="I10" s="19" t="str">
        <x:v>Similarweb 行业映射</x:v>
      </x:c>
      <x:c r="J10" s="19" t="n">
        <x:v>35</x:v>
      </x:c>
      <x:c r="K10" s="20" t="n">
        <x:v>0.0173</x:v>
      </x:c>
      <x:c r="L10" s="19" t="str">
        <x:v>上升</x:v>
      </x:c>
      <x:c r="M10" s="20" t="n">
        <x:v>0.005600000000000001</x:v>
      </x:c>
      <x:c r="N10" s="21" t="n">
        <x:v>2716000</x:v>
      </x:c>
      <x:c r="O10" s="21" t="n">
        <x:v>46987</x:v>
      </x:c>
      <x:c r="P10" s="21" t="n">
        <x:f>ROUND(N10*K10,0)</x:f>
        <x:v>46987</x:v>
      </x:c>
      <x:c r="Q10" s="19" t="str">
        <x:v>否</x:v>
      </x:c>
      <x:c r="R10" s="19" t="str"/>
      <x:c r="S10" s="19" t="n">
        <x:f>IF(Q10="是",0,MIN(10,2+IF(C10="高",2,1)+IF(K10&gt;=3%,3,IF(K10&gt;=1%,2,1))+IF(L10="新出现",2,IF(M10&gt;=100%,3,IF(M10&gt;0,2,0)))))</x:f>
        <x:v>8</x:v>
      </x:c>
      <x:c r="T10" s="21"/>
      <x:c r="U10" s="20"/>
      <x:c r="V10" s="19" t="str">
        <x:v>http://canva.com/</x:v>
      </x:c>
      <x:c r="W10" s="19" t="str">
        <x:v>https://pro.similarweb.com/#/digitalsuite/websiteanalysis/referrals/*/999/1m?webSource=Total&amp;selectedTab=incomingTraffic&amp;key=buy.stripe.com</x:v>
      </x:c>
      <x:c r="X10" s="20" t="n">
        <x:f>IF(Q10="是",0,IFERROR(P10/SUMIFS($P$2:$P$964,$A$2:$A$964,A10,$Q$2:$Q$964,"否"),0))</x:f>
        <x:v>0.029426887458610905</x:v>
      </x:c>
      <x:c r="Y10" s="22" t="str">
        <x:f>IF(OR(M10="",U10=""),"未交叉",IF(M10*U10&gt;0,"同向",IF(M10*U10&lt;0,"背离","一侧持平")))</x:f>
        <x:v>未交叉</x:v>
      </x:c>
    </x:row>
    <x:row r="11">
      <x:c r="A11" s="18" t="str">
        <x:v>buy.stripe.com</x:v>
      </x:c>
      <x:c r="B11" s="19" t="str">
        <x:v>专用支付/结账入口</x:v>
      </x:c>
      <x:c r="C11" s="19" t="str">
        <x:v>高</x:v>
      </x:c>
      <x:c r="D11" s="19" t="str">
        <x:v>Jul 2026</x:v>
      </x:c>
      <x:c r="E11" s="19" t="n">
        <x:v>10</x:v>
      </x:c>
      <x:c r="F11" s="19" t="str">
        <x:v>thelifeaudit.co</x:v>
      </x:c>
      <x:c r="G11" s="19" t="str">
        <x:v>Unknown</x:v>
      </x:c>
      <x:c r="H11" s="19" t="str">
        <x:v>教育、课程与知识产品</x:v>
      </x:c>
      <x:c r="I11" s="19" t="str">
        <x:v>域名人工识别</x:v>
      </x:c>
      <x:c r="J11" s="19" t="n">
        <x:v>1252541</x:v>
      </x:c>
      <x:c r="K11" s="20" t="n">
        <x:v>0.015300000000000001</x:v>
      </x:c>
      <x:c r="L11" s="19" t="str">
        <x:v>上升</x:v>
      </x:c>
      <x:c r="M11" s="20" t="n">
        <x:v>11.6645</x:v>
      </x:c>
      <x:c r="N11" s="21" t="n">
        <x:v>2716000</x:v>
      </x:c>
      <x:c r="O11" s="21" t="n">
        <x:v>41555</x:v>
      </x:c>
      <x:c r="P11" s="21" t="n">
        <x:f>ROUND(N11*K11,0)</x:f>
        <x:v>41555</x:v>
      </x:c>
      <x:c r="Q11" s="19" t="str">
        <x:v>否</x:v>
      </x:c>
      <x:c r="R11" s="19" t="str"/>
      <x:c r="S11" s="19" t="n">
        <x:f>IF(Q11="是",0,MIN(10,2+IF(C11="高",2,1)+IF(K11&gt;=3%,3,IF(K11&gt;=1%,2,1))+IF(L11="新出现",2,IF(M11&gt;=100%,3,IF(M11&gt;0,2,0)))))</x:f>
        <x:v>9</x:v>
      </x:c>
      <x:c r="T11" s="21"/>
      <x:c r="U11" s="20"/>
      <x:c r="V11" s="19" t="str">
        <x:v>http://thelifeaudit.co/</x:v>
      </x:c>
      <x:c r="W11" s="19" t="str">
        <x:v>https://pro.similarweb.com/#/digitalsuite/websiteanalysis/referrals/*/999/1m?webSource=Total&amp;selectedTab=incomingTraffic&amp;key=buy.stripe.com</x:v>
      </x:c>
      <x:c r="X11" s="20" t="n">
        <x:f>IF(Q11="是",0,IFERROR(P11/SUMIFS($P$2:$P$964,$A$2:$A$964,A11,$Q$2:$Q$964,"否"),0))</x:f>
        <x:v>0.026024949631655057</x:v>
      </x:c>
      <x:c r="Y11" s="22" t="str">
        <x:f>IF(OR(M11="",U11=""),"未交叉",IF(M11*U11&gt;0,"同向",IF(M11*U11&lt;0,"背离","一侧持平")))</x:f>
        <x:v>未交叉</x:v>
      </x:c>
    </x:row>
    <x:row r="12">
      <x:c r="A12" s="18" t="str">
        <x:v>buy.stripe.com</x:v>
      </x:c>
      <x:c r="B12" s="19" t="str">
        <x:v>专用支付/结账入口</x:v>
      </x:c>
      <x:c r="C12" s="19" t="str">
        <x:v>高</x:v>
      </x:c>
      <x:c r="D12" s="19" t="str">
        <x:v>Jul 2026</x:v>
      </x:c>
      <x:c r="E12" s="19" t="n">
        <x:v>11</x:v>
      </x:c>
      <x:c r="F12" s="19" t="str">
        <x:v>mm420bot.com</x:v>
      </x:c>
      <x:c r="G12" s="19" t="str">
        <x:v>Unknown</x:v>
      </x:c>
      <x:c r="H12" s="19" t="str">
        <x:v>其他/待核查</x:v>
      </x:c>
      <x:c r="I12" s="19" t="str">
        <x:v>Similarweb 未分类</x:v>
      </x:c>
      <x:c r="J12" s="19" t="n">
        <x:v>1276674</x:v>
      </x:c>
      <x:c r="K12" s="20" t="n">
        <x:v>0.0146</x:v>
      </x:c>
      <x:c r="L12" s="19" t="str">
        <x:v>上升</x:v>
      </x:c>
      <x:c r="M12" s="20" t="n">
        <x:v>0.9257</x:v>
      </x:c>
      <x:c r="N12" s="21" t="n">
        <x:v>2716000</x:v>
      </x:c>
      <x:c r="O12" s="21" t="n">
        <x:v>39654</x:v>
      </x:c>
      <x:c r="P12" s="21" t="n">
        <x:f>ROUND(N12*K12,0)</x:f>
        <x:v>39654</x:v>
      </x:c>
      <x:c r="Q12" s="19" t="str">
        <x:v>否</x:v>
      </x:c>
      <x:c r="R12" s="19" t="str"/>
      <x:c r="S12" s="19" t="n">
        <x:f>IF(Q12="是",0,MIN(10,2+IF(C12="高",2,1)+IF(K12&gt;=3%,3,IF(K12&gt;=1%,2,1))+IF(L12="新出现",2,IF(M12&gt;=100%,3,IF(M12&gt;0,2,0)))))</x:f>
        <x:v>8</x:v>
      </x:c>
      <x:c r="T12" s="21"/>
      <x:c r="U12" s="20"/>
      <x:c r="V12" s="19" t="str">
        <x:v>http://mm420bot.com/</x:v>
      </x:c>
      <x:c r="W12" s="19" t="str">
        <x:v>https://pro.similarweb.com/#/digitalsuite/websiteanalysis/referrals/*/999/1m?webSource=Total&amp;selectedTab=incomingTraffic&amp;key=buy.stripe.com</x:v>
      </x:c>
      <x:c r="X12" s="20" t="n">
        <x:f>IF(Q12="是",0,IFERROR(P12/SUMIFS($P$2:$P$964,$A$2:$A$964,A12,$Q$2:$Q$964,"否"),0))</x:f>
        <x:v>0.024834396647663327</x:v>
      </x:c>
      <x:c r="Y12" s="22" t="str">
        <x:f>IF(OR(M12="",U12=""),"未交叉",IF(M12*U12&gt;0,"同向",IF(M12*U12&lt;0,"背离","一侧持平")))</x:f>
        <x:v>未交叉</x:v>
      </x:c>
    </x:row>
    <x:row r="13">
      <x:c r="A13" s="18" t="str">
        <x:v>buy.stripe.com</x:v>
      </x:c>
      <x:c r="B13" s="19" t="str">
        <x:v>专用支付/结账入口</x:v>
      </x:c>
      <x:c r="C13" s="19" t="str">
        <x:v>高</x:v>
      </x:c>
      <x:c r="D13" s="19" t="str">
        <x:v>Jul 2026</x:v>
      </x:c>
      <x:c r="E13" s="19" t="n">
        <x:v>12</x:v>
      </x:c>
      <x:c r="F13" s="19" t="str">
        <x:v>uthaimeen.com</x:v>
      </x:c>
      <x:c r="G13" s="19" t="str">
        <x:v>Faith and Beliefs</x:v>
      </x:c>
      <x:c r="H13" s="19" t="str">
        <x:v>教育、知识与考试服务</x:v>
      </x:c>
      <x:c r="I13" s="19" t="str">
        <x:v>Similarweb 行业映射</x:v>
      </x:c>
      <x:c r="J13" s="19" t="n">
        <x:v>182606</x:v>
      </x:c>
      <x:c r="K13" s="20" t="n">
        <x:v>0.0143</x:v>
      </x:c>
      <x:c r="L13" s="19" t="str">
        <x:v>新出现</x:v>
      </x:c>
      <x:c r="M13" s="20"/>
      <x:c r="N13" s="21" t="n">
        <x:v>2716000</x:v>
      </x:c>
      <x:c r="O13" s="21" t="n">
        <x:v>38839</x:v>
      </x:c>
      <x:c r="P13" s="21" t="n">
        <x:f>ROUND(N13*K13,0)</x:f>
        <x:v>38839</x:v>
      </x:c>
      <x:c r="Q13" s="19" t="str">
        <x:v>否</x:v>
      </x:c>
      <x:c r="R13" s="19" t="str"/>
      <x:c r="S13" s="19" t="n">
        <x:f>IF(Q13="是",0,MIN(10,2+IF(C13="高",2,1)+IF(K13&gt;=3%,3,IF(K13&gt;=1%,2,1))+IF(L13="新出现",2,IF(M13&gt;=100%,3,IF(M13&gt;0,2,0)))))</x:f>
        <x:v>8</x:v>
      </x:c>
      <x:c r="T13" s="21"/>
      <x:c r="U13" s="20"/>
      <x:c r="V13" s="19" t="str">
        <x:v>http://uthaimeen.com/</x:v>
      </x:c>
      <x:c r="W13" s="19" t="str">
        <x:v>https://pro.similarweb.com/#/digitalsuite/websiteanalysis/referrals/*/999/1m?webSource=Total&amp;selectedTab=incomingTraffic&amp;key=buy.stripe.com</x:v>
      </x:c>
      <x:c r="X13" s="20" t="n">
        <x:f>IF(Q13="是",0,IFERROR(P13/SUMIFS($P$2:$P$964,$A$2:$A$964,A13,$Q$2:$Q$964,"否"),0))</x:f>
        <x:v>0.02432398071817713</x:v>
      </x:c>
      <x:c r="Y13" s="22" t="str">
        <x:f>IF(OR(M13="",U13=""),"未交叉",IF(M13*U13&gt;0,"同向",IF(M13*U13&lt;0,"背离","一侧持平")))</x:f>
        <x:v>未交叉</x:v>
      </x:c>
    </x:row>
    <x:row r="14">
      <x:c r="A14" s="18" t="str">
        <x:v>buy.stripe.com</x:v>
      </x:c>
      <x:c r="B14" s="19" t="str">
        <x:v>专用支付/结账入口</x:v>
      </x:c>
      <x:c r="C14" s="19" t="str">
        <x:v>高</x:v>
      </x:c>
      <x:c r="D14" s="19" t="str">
        <x:v>Jul 2026</x:v>
      </x:c>
      <x:c r="E14" s="19" t="n">
        <x:v>13</x:v>
      </x:c>
      <x:c r="F14" s="19" t="str">
        <x:v>bit.ly</x:v>
      </x:c>
      <x:c r="G14" s="19" t="str">
        <x:v>Unknown</x:v>
      </x:c>
      <x:c r="H14" s="19" t="str">
        <x:v>其他/待核查</x:v>
      </x:c>
      <x:c r="I14" s="19" t="str">
        <x:v>Similarweb 未分类</x:v>
      </x:c>
      <x:c r="J14" s="19"/>
      <x:c r="K14" s="20" t="n">
        <x:v>0.0137</x:v>
      </x:c>
      <x:c r="L14" s="19" t="str">
        <x:v>上升</x:v>
      </x:c>
      <x:c r="M14" s="20" t="n">
        <x:v>2.307</x:v>
      </x:c>
      <x:c r="N14" s="21" t="n">
        <x:v>2716000</x:v>
      </x:c>
      <x:c r="O14" s="21" t="n">
        <x:v>37209</x:v>
      </x:c>
      <x:c r="P14" s="21" t="n">
        <x:f>ROUND(N14*K14,0)</x:f>
        <x:v>37209</x:v>
      </x:c>
      <x:c r="Q14" s="19" t="str">
        <x:v>是</x:v>
      </x:c>
      <x:c r="R14" s="19" t="str">
        <x:v>支付平台、自引荐或流量中介</x:v>
      </x:c>
      <x:c r="S14" s="19" t="n">
        <x:f>IF(Q14="是",0,MIN(10,2+IF(C14="高",2,1)+IF(K14&gt;=3%,3,IF(K14&gt;=1%,2,1))+IF(L14="新出现",2,IF(M14&gt;=100%,3,IF(M14&gt;0,2,0)))))</x:f>
        <x:v>0</x:v>
      </x:c>
      <x:c r="T14" s="21"/>
      <x:c r="U14" s="20"/>
      <x:c r="V14" s="19" t="str">
        <x:v>http://bit.ly/</x:v>
      </x:c>
      <x:c r="W14" s="19" t="str">
        <x:v>https://pro.similarweb.com/#/digitalsuite/websiteanalysis/referrals/*/999/1m?webSource=Total&amp;selectedTab=incomingTraffic&amp;key=buy.stripe.com</x:v>
      </x:c>
      <x:c r="X14" s="20" t="n">
        <x:f>IF(Q14="是",0,IFERROR(P14/SUMIFS($P$2:$P$964,$A$2:$A$964,A14,$Q$2:$Q$964,"否"),0))</x:f>
        <x:v>0</x:v>
      </x:c>
      <x:c r="Y14" s="22" t="str">
        <x:f>IF(OR(M14="",U14=""),"未交叉",IF(M14*U14&gt;0,"同向",IF(M14*U14&lt;0,"背离","一侧持平")))</x:f>
        <x:v>未交叉</x:v>
      </x:c>
    </x:row>
    <x:row r="15">
      <x:c r="A15" s="18" t="str">
        <x:v>buy.stripe.com</x:v>
      </x:c>
      <x:c r="B15" s="19" t="str">
        <x:v>专用支付/结账入口</x:v>
      </x:c>
      <x:c r="C15" s="19" t="str">
        <x:v>高</x:v>
      </x:c>
      <x:c r="D15" s="19" t="str">
        <x:v>Jul 2026</x:v>
      </x:c>
      <x:c r="E15" s="19" t="n">
        <x:v>14</x:v>
      </x:c>
      <x:c r="F15" s="19" t="str">
        <x:v>lovespelldesign.com</x:v>
      </x:c>
      <x:c r="G15" s="19" t="str">
        <x:v>Weddings</x:v>
      </x:c>
      <x:c r="H15" s="19" t="str">
        <x:v>创作者资产、模板与设计工具</x:v>
      </x:c>
      <x:c r="I15" s="19" t="str">
        <x:v>域名人工识别</x:v>
      </x:c>
      <x:c r="J15" s="19" t="n">
        <x:v>2427703</x:v>
      </x:c>
      <x:c r="K15" s="20" t="n">
        <x:v>0.0132</x:v>
      </x:c>
      <x:c r="L15" s="19" t="str">
        <x:v>下降</x:v>
      </x:c>
      <x:c r="M15" s="20" t="n">
        <x:v>-0.1323</x:v>
      </x:c>
      <x:c r="N15" s="21" t="n">
        <x:v>2716000</x:v>
      </x:c>
      <x:c r="O15" s="21" t="n">
        <x:v>35851</x:v>
      </x:c>
      <x:c r="P15" s="21" t="n">
        <x:f>ROUND(N15*K15,0)</x:f>
        <x:v>35851</x:v>
      </x:c>
      <x:c r="Q15" s="19" t="str">
        <x:v>否</x:v>
      </x:c>
      <x:c r="R15" s="19" t="str"/>
      <x:c r="S15" s="19" t="n">
        <x:f>IF(Q15="是",0,MIN(10,2+IF(C15="高",2,1)+IF(K15&gt;=3%,3,IF(K15&gt;=1%,2,1))+IF(L15="新出现",2,IF(M15&gt;=100%,3,IF(M15&gt;0,2,0)))))</x:f>
        <x:v>6</x:v>
      </x:c>
      <x:c r="T15" s="21"/>
      <x:c r="U15" s="20"/>
      <x:c r="V15" s="19" t="str">
        <x:v>http://lovespelldesign.com/</x:v>
      </x:c>
      <x:c r="W15" s="19" t="str">
        <x:v>https://pro.similarweb.com/#/digitalsuite/websiteanalysis/referrals/*/999/1m?webSource=Total&amp;selectedTab=incomingTraffic&amp;key=buy.stripe.com</x:v>
      </x:c>
      <x:c r="X15" s="20" t="n">
        <x:f>IF(Q15="是",0,IFERROR(P15/SUMIFS($P$2:$P$964,$A$2:$A$964,A15,$Q$2:$Q$964,"否"),0))</x:f>
        <x:v>0.02245266440246578</x:v>
      </x:c>
      <x:c r="Y15" s="22" t="str">
        <x:f>IF(OR(M15="",U15=""),"未交叉",IF(M15*U15&gt;0,"同向",IF(M15*U15&lt;0,"背离","一侧持平")))</x:f>
        <x:v>未交叉</x:v>
      </x:c>
    </x:row>
    <x:row r="16">
      <x:c r="A16" s="18" t="str">
        <x:v>buy.stripe.com</x:v>
      </x:c>
      <x:c r="B16" s="19" t="str">
        <x:v>专用支付/结账入口</x:v>
      </x:c>
      <x:c r="C16" s="19" t="str">
        <x:v>高</x:v>
      </x:c>
      <x:c r="D16" s="19" t="str">
        <x:v>Jul 2026</x:v>
      </x:c>
      <x:c r="E16" s="19" t="n">
        <x:v>15</x:v>
      </x:c>
      <x:c r="F16" s="19" t="str">
        <x:v>nintendoproject.com</x:v>
      </x:c>
      <x:c r="G16" s="19" t="str">
        <x:v>Video Games Consoles and Accessories</x:v>
      </x:c>
      <x:c r="H16" s="19" t="str">
        <x:v>游戏、数字商品与虚拟内容</x:v>
      </x:c>
      <x:c r="I16" s="19" t="str">
        <x:v>Similarweb 行业映射</x:v>
      </x:c>
      <x:c r="J16" s="19" t="n">
        <x:v>125416</x:v>
      </x:c>
      <x:c r="K16" s="20" t="n">
        <x:v>0.011399999999999999</x:v>
      </x:c>
      <x:c r="L16" s="19" t="str">
        <x:v>上升</x:v>
      </x:c>
      <x:c r="M16" s="20" t="n">
        <x:v>1.4462000000000002</x:v>
      </x:c>
      <x:c r="N16" s="21" t="n">
        <x:v>2716000</x:v>
      </x:c>
      <x:c r="O16" s="21" t="n">
        <x:v>30962</x:v>
      </x:c>
      <x:c r="P16" s="21" t="n">
        <x:f>ROUND(N16*K16,0)</x:f>
        <x:v>30962</x:v>
      </x:c>
      <x:c r="Q16" s="19" t="str">
        <x:v>否</x:v>
      </x:c>
      <x:c r="R16" s="19" t="str"/>
      <x:c r="S16" s="19" t="n">
        <x:f>IF(Q16="是",0,MIN(10,2+IF(C16="高",2,1)+IF(K16&gt;=3%,3,IF(K16&gt;=1%,2,1))+IF(L16="新出现",2,IF(M16&gt;=100%,3,IF(M16&gt;0,2,0)))))</x:f>
        <x:v>9</x:v>
      </x:c>
      <x:c r="T16" s="21"/>
      <x:c r="U16" s="20"/>
      <x:c r="V16" s="19" t="str">
        <x:v>http://nintendoproject.com/</x:v>
      </x:c>
      <x:c r="W16" s="19" t="str">
        <x:v>https://pro.similarweb.com/#/digitalsuite/websiteanalysis/referrals/*/999/1m?webSource=Total&amp;selectedTab=incomingTraffic&amp;key=buy.stripe.com</x:v>
      </x:c>
      <x:c r="X16" s="20" t="n">
        <x:f>IF(Q16="是",0,IFERROR(P16/SUMIFS($P$2:$P$964,$A$2:$A$964,A16,$Q$2:$Q$964,"否"),0))</x:f>
        <x:v>0.019390795102762697</x:v>
      </x:c>
      <x:c r="Y16" s="22" t="str">
        <x:f>IF(OR(M16="",U16=""),"未交叉",IF(M16*U16&gt;0,"同向",IF(M16*U16&lt;0,"背离","一侧持平")))</x:f>
        <x:v>未交叉</x:v>
      </x:c>
    </x:row>
    <x:row r="17">
      <x:c r="A17" s="18" t="str">
        <x:v>buy.stripe.com</x:v>
      </x:c>
      <x:c r="B17" s="19" t="str">
        <x:v>专用支付/结账入口</x:v>
      </x:c>
      <x:c r="C17" s="19" t="str">
        <x:v>高</x:v>
      </x:c>
      <x:c r="D17" s="19" t="str">
        <x:v>Jul 2026</x:v>
      </x:c>
      <x:c r="E17" s="19" t="n">
        <x:v>16</x:v>
      </x:c>
      <x:c r="F17" s="19" t="str">
        <x:v>dumbphones.org</x:v>
      </x:c>
      <x:c r="G17" s="19" t="str">
        <x:v>Groceries</x:v>
      </x:c>
      <x:c r="H17" s="19" t="str">
        <x:v>内容媒体、线下与实体消费</x:v>
      </x:c>
      <x:c r="I17" s="19" t="str">
        <x:v>Similarweb 行业映射</x:v>
      </x:c>
      <x:c r="J17" s="19" t="n">
        <x:v>166485</x:v>
      </x:c>
      <x:c r="K17" s="20" t="n">
        <x:v>0.0104</x:v>
      </x:c>
      <x:c r="L17" s="19" t="str">
        <x:v>新出现</x:v>
      </x:c>
      <x:c r="M17" s="20"/>
      <x:c r="N17" s="21" t="n">
        <x:v>2716000</x:v>
      </x:c>
      <x:c r="O17" s="21" t="n">
        <x:v>28246</x:v>
      </x:c>
      <x:c r="P17" s="21" t="n">
        <x:f>ROUND(N17*K17,0)</x:f>
        <x:v>28246</x:v>
      </x:c>
      <x:c r="Q17" s="19" t="str">
        <x:v>否</x:v>
      </x:c>
      <x:c r="R17" s="19" t="str"/>
      <x:c r="S17" s="19" t="n">
        <x:f>IF(Q17="是",0,MIN(10,2+IF(C17="高",2,1)+IF(K17&gt;=3%,3,IF(K17&gt;=1%,2,1))+IF(L17="新出现",2,IF(M17&gt;=100%,3,IF(M17&gt;0,2,0)))))</x:f>
        <x:v>8</x:v>
      </x:c>
      <x:c r="T17" s="21"/>
      <x:c r="U17" s="20"/>
      <x:c r="V17" s="19" t="str">
        <x:v>http://dumbphones.org/</x:v>
      </x:c>
      <x:c r="W17" s="19" t="str">
        <x:v>https://pro.similarweb.com/#/digitalsuite/websiteanalysis/referrals/*/999/1m?webSource=Total&amp;selectedTab=incomingTraffic&amp;key=buy.stripe.com</x:v>
      </x:c>
      <x:c r="X17" s="20" t="n">
        <x:f>IF(Q17="是",0,IFERROR(P17/SUMIFS($P$2:$P$964,$A$2:$A$964,A17,$Q$2:$Q$964,"否"),0))</x:f>
        <x:v>0.017689826189284774</x:v>
      </x:c>
      <x:c r="Y17" s="22" t="str">
        <x:f>IF(OR(M17="",U17=""),"未交叉",IF(M17*U17&gt;0,"同向",IF(M17*U17&lt;0,"背离","一侧持平")))</x:f>
        <x:v>未交叉</x:v>
      </x:c>
    </x:row>
    <x:row r="18">
      <x:c r="A18" s="18" t="str">
        <x:v>buy.stripe.com</x:v>
      </x:c>
      <x:c r="B18" s="19" t="str">
        <x:v>专用支付/结账入口</x:v>
      </x:c>
      <x:c r="C18" s="19" t="str">
        <x:v>高</x:v>
      </x:c>
      <x:c r="D18" s="19" t="str">
        <x:v>Jul 2026</x:v>
      </x:c>
      <x:c r="E18" s="19" t="n">
        <x:v>17</x:v>
      </x:c>
      <x:c r="F18" s="19" t="str">
        <x:v>getstanley.ai</x:v>
      </x:c>
      <x:c r="G18" s="19" t="str">
        <x:v>Graphics Multimedia and Web Design</x:v>
      </x:c>
      <x:c r="H18" s="19" t="str">
        <x:v>AI 工具与应用（未细分）</x:v>
      </x:c>
      <x:c r="I18" s="19" t="str">
        <x:v>域名人工/交叉验证修正</x:v>
      </x:c>
      <x:c r="J18" s="19" t="n">
        <x:v>137740</x:v>
      </x:c>
      <x:c r="K18" s="20" t="n">
        <x:v>0.0101</x:v>
      </x:c>
      <x:c r="L18" s="19" t="str">
        <x:v>上升</x:v>
      </x:c>
      <x:c r="M18" s="20" t="n">
        <x:v>19.0782</x:v>
      </x:c>
      <x:c r="N18" s="21" t="n">
        <x:v>2716000</x:v>
      </x:c>
      <x:c r="O18" s="21" t="n">
        <x:v>27432</x:v>
      </x:c>
      <x:c r="P18" s="21" t="n">
        <x:f>ROUND(N18*K18,0)</x:f>
        <x:v>27432</x:v>
      </x:c>
      <x:c r="Q18" s="19" t="str">
        <x:v>否</x:v>
      </x:c>
      <x:c r="R18" s="19" t="str"/>
      <x:c r="S18" s="19" t="n">
        <x:f>IF(Q18="是",0,MIN(10,2+IF(C18="高",2,1)+IF(K18&gt;=3%,3,IF(K18&gt;=1%,2,1))+IF(L18="新出现",2,IF(M18&gt;=100%,3,IF(M18&gt;0,2,0)))))</x:f>
        <x:v>9</x:v>
      </x:c>
      <x:c r="T18" s="21"/>
      <x:c r="U18" s="20"/>
      <x:c r="V18" s="19" t="str">
        <x:v>http://getstanley.ai/</x:v>
      </x:c>
      <x:c r="W18" s="19" t="str">
        <x:v>https://pro.similarweb.com/#/digitalsuite/websiteanalysis/referrals/*/999/1m?webSource=Total&amp;selectedTab=incomingTraffic&amp;key=buy.stripe.com</x:v>
      </x:c>
      <x:c r="X18" s="20" t="n">
        <x:f>IF(Q18="是",0,IFERROR(P18/SUMIFS($P$2:$P$964,$A$2:$A$964,A18,$Q$2:$Q$964,"否"),0))</x:f>
        <x:v>0.01718003653701267</x:v>
      </x:c>
      <x:c r="Y18" s="22" t="str">
        <x:f>IF(OR(M18="",U18=""),"未交叉",IF(M18*U18&gt;0,"同向",IF(M18*U18&lt;0,"背离","一侧持平")))</x:f>
        <x:v>未交叉</x:v>
      </x:c>
    </x:row>
    <x:row r="19">
      <x:c r="A19" s="18" t="str">
        <x:v>buy.stripe.com</x:v>
      </x:c>
      <x:c r="B19" s="19" t="str">
        <x:v>专用支付/结账入口</x:v>
      </x:c>
      <x:c r="C19" s="19" t="str">
        <x:v>高</x:v>
      </x:c>
      <x:c r="D19" s="19" t="str">
        <x:v>Jul 2026</x:v>
      </x:c>
      <x:c r="E19" s="19" t="n">
        <x:v>18</x:v>
      </x:c>
      <x:c r="F19" s="19" t="str">
        <x:v>myshopify.com</x:v>
      </x:c>
      <x:c r="G19" s="19" t="str">
        <x:v>Business Services</x:v>
      </x:c>
      <x:c r="H19" s="19" t="str">
        <x:v>营销、生产力与商业服务</x:v>
      </x:c>
      <x:c r="I19" s="19" t="str">
        <x:v>Similarweb 行业映射</x:v>
      </x:c>
      <x:c r="J19" s="19" t="n">
        <x:v>973</x:v>
      </x:c>
      <x:c r="K19" s="20" t="n">
        <x:v>0.0097</x:v>
      </x:c>
      <x:c r="L19" s="19" t="str">
        <x:v>新出现</x:v>
      </x:c>
      <x:c r="M19" s="20"/>
      <x:c r="N19" s="21" t="n">
        <x:v>2716000</x:v>
      </x:c>
      <x:c r="O19" s="21" t="n">
        <x:v>26345</x:v>
      </x:c>
      <x:c r="P19" s="21" t="n">
        <x:f>ROUND(N19*K19,0)</x:f>
        <x:v>26345</x:v>
      </x:c>
      <x:c r="Q19" s="19" t="str">
        <x:v>是</x:v>
      </x:c>
      <x:c r="R19" s="19" t="str">
        <x:v>支付平台、自引荐或流量中介</x:v>
      </x:c>
      <x:c r="S19" s="19" t="n">
        <x:f>IF(Q19="是",0,MIN(10,2+IF(C19="高",2,1)+IF(K19&gt;=3%,3,IF(K19&gt;=1%,2,1))+IF(L19="新出现",2,IF(M19&gt;=100%,3,IF(M19&gt;0,2,0)))))</x:f>
        <x:v>0</x:v>
      </x:c>
      <x:c r="T19" s="21"/>
      <x:c r="U19" s="20"/>
      <x:c r="V19" s="19" t="str">
        <x:v>http://myshopify.com/</x:v>
      </x:c>
      <x:c r="W19" s="19" t="str">
        <x:v>https://pro.similarweb.com/#/digitalsuite/websiteanalysis/referrals/*/999/1m?webSource=Total&amp;selectedTab=incomingTraffic&amp;key=buy.stripe.com</x:v>
      </x:c>
      <x:c r="X19" s="20" t="n">
        <x:f>IF(Q19="是",0,IFERROR(P19/SUMIFS($P$2:$P$964,$A$2:$A$964,A19,$Q$2:$Q$964,"否"),0))</x:f>
        <x:v>0</x:v>
      </x:c>
      <x:c r="Y19" s="22" t="str">
        <x:f>IF(OR(M19="",U19=""),"未交叉",IF(M19*U19&gt;0,"同向",IF(M19*U19&lt;0,"背离","一侧持平")))</x:f>
        <x:v>未交叉</x:v>
      </x:c>
    </x:row>
    <x:row r="20">
      <x:c r="A20" s="18" t="str">
        <x:v>buy.stripe.com</x:v>
      </x:c>
      <x:c r="B20" s="19" t="str">
        <x:v>专用支付/结账入口</x:v>
      </x:c>
      <x:c r="C20" s="19" t="str">
        <x:v>高</x:v>
      </x:c>
      <x:c r="D20" s="19" t="str">
        <x:v>Jul 2026</x:v>
      </x:c>
      <x:c r="E20" s="19" t="n">
        <x:v>19</x:v>
      </x:c>
      <x:c r="F20" s="19" t="str">
        <x:v>topai.tools</x:v>
      </x:c>
      <x:c r="G20" s="19" t="str">
        <x:v>Computers Electronics and Technology</x:v>
      </x:c>
      <x:c r="H20" s="19" t="str">
        <x:v>通用数字产品与技术服务</x:v>
      </x:c>
      <x:c r="I20" s="19" t="str">
        <x:v>Similarweb 行业映射</x:v>
      </x:c>
      <x:c r="J20" s="19" t="n">
        <x:v>78857</x:v>
      </x:c>
      <x:c r="K20" s="20" t="n">
        <x:v>0.0087</x:v>
      </x:c>
      <x:c r="L20" s="19" t="str">
        <x:v>上升</x:v>
      </x:c>
      <x:c r="M20" s="20" t="n">
        <x:v>0.2278</x:v>
      </x:c>
      <x:c r="N20" s="21" t="n">
        <x:v>2716000</x:v>
      </x:c>
      <x:c r="O20" s="21" t="n">
        <x:v>23629</x:v>
      </x:c>
      <x:c r="P20" s="21" t="n">
        <x:f>ROUND(N20*K20,0)</x:f>
        <x:v>23629</x:v>
      </x:c>
      <x:c r="Q20" s="19" t="str">
        <x:v>否</x:v>
      </x:c>
      <x:c r="R20" s="19" t="str"/>
      <x:c r="S20" s="19" t="n">
        <x:f>IF(Q20="是",0,MIN(10,2+IF(C20="高",2,1)+IF(K20&gt;=3%,3,IF(K20&gt;=1%,2,1))+IF(L20="新出现",2,IF(M20&gt;=100%,3,IF(M20&gt;0,2,0)))))</x:f>
        <x:v>7</x:v>
      </x:c>
      <x:c r="T20" s="21"/>
      <x:c r="U20" s="20"/>
      <x:c r="V20" s="19" t="str">
        <x:v>http://topai.tools/</x:v>
      </x:c>
      <x:c r="W20" s="19" t="str">
        <x:v>https://pro.similarweb.com/#/digitalsuite/websiteanalysis/referrals/*/999/1m?webSource=Total&amp;selectedTab=incomingTraffic&amp;key=buy.stripe.com</x:v>
      </x:c>
      <x:c r="X20" s="20" t="n">
        <x:f>IF(Q20="是",0,IFERROR(P20/SUMIFS($P$2:$P$964,$A$2:$A$964,A20,$Q$2:$Q$964,"否"),0))</x:f>
        <x:v>0.01479830429181512</x:v>
      </x:c>
      <x:c r="Y20" s="22" t="str">
        <x:f>IF(OR(M20="",U20=""),"未交叉",IF(M20*U20&gt;0,"同向",IF(M20*U20&lt;0,"背离","一侧持平")))</x:f>
        <x:v>未交叉</x:v>
      </x:c>
    </x:row>
    <x:row r="21">
      <x:c r="A21" s="18" t="str">
        <x:v>buy.stripe.com</x:v>
      </x:c>
      <x:c r="B21" s="19" t="str">
        <x:v>专用支付/结账入口</x:v>
      </x:c>
      <x:c r="C21" s="19" t="str">
        <x:v>高</x:v>
      </x:c>
      <x:c r="D21" s="19" t="str">
        <x:v>Jul 2026</x:v>
      </x:c>
      <x:c r="E21" s="19" t="n">
        <x:v>20</x:v>
      </x:c>
      <x:c r="F21" s="19" t="str">
        <x:v>fast.famous.ai</x:v>
      </x:c>
      <x:c r="G21" s="19" t="str">
        <x:v>Unknown</x:v>
      </x:c>
      <x:c r="H21" s="19" t="str">
        <x:v>AI 内容生成与创作</x:v>
      </x:c>
      <x:c r="I21" s="19" t="str">
        <x:v>域名人工/关键词识别</x:v>
      </x:c>
      <x:c r="J21" s="19"/>
      <x:c r="K21" s="20" t="n">
        <x:v>0.0085</x:v>
      </x:c>
      <x:c r="L21" s="19" t="str">
        <x:v>新出现</x:v>
      </x:c>
      <x:c r="M21" s="20"/>
      <x:c r="N21" s="21" t="n">
        <x:v>2716000</x:v>
      </x:c>
      <x:c r="O21" s="21" t="n">
        <x:v>23086</x:v>
      </x:c>
      <x:c r="P21" s="21" t="n">
        <x:f>ROUND(N21*K21,0)</x:f>
        <x:v>23086</x:v>
      </x:c>
      <x:c r="Q21" s="19" t="str">
        <x:v>否</x:v>
      </x:c>
      <x:c r="R21" s="19" t="str"/>
      <x:c r="S21" s="19" t="n">
        <x:f>IF(Q21="是",0,MIN(10,2+IF(C21="高",2,1)+IF(K21&gt;=3%,3,IF(K21&gt;=1%,2,1))+IF(L21="新出现",2,IF(M21&gt;=100%,3,IF(M21&gt;0,2,0)))))</x:f>
        <x:v>7</x:v>
      </x:c>
      <x:c r="T21" s="21"/>
      <x:c r="U21" s="20"/>
      <x:c r="V21" s="19" t="str">
        <x:v>http://fast.famous.ai/</x:v>
      </x:c>
      <x:c r="W21" s="19" t="str">
        <x:v>https://pro.similarweb.com/#/digitalsuite/websiteanalysis/referrals/*/999/1m?webSource=Total&amp;selectedTab=incomingTraffic&amp;key=buy.stripe.com</x:v>
      </x:c>
      <x:c r="X21" s="20" t="n">
        <x:f>IF(Q21="是",0,IFERROR(P21/SUMIFS($P$2:$P$964,$A$2:$A$964,A21,$Q$2:$Q$964,"否"),0))</x:f>
        <x:v>0.014458235764562354</x:v>
      </x:c>
      <x:c r="Y21" s="22" t="str">
        <x:f>IF(OR(M21="",U21=""),"未交叉",IF(M21*U21&gt;0,"同向",IF(M21*U21&lt;0,"背离","一侧持平")))</x:f>
        <x:v>未交叉</x:v>
      </x:c>
    </x:row>
    <x:row r="22">
      <x:c r="A22" s="18" t="str">
        <x:v>buy.stripe.com</x:v>
      </x:c>
      <x:c r="B22" s="19" t="str">
        <x:v>专用支付/结账入口</x:v>
      </x:c>
      <x:c r="C22" s="19" t="str">
        <x:v>高</x:v>
      </x:c>
      <x:c r="D22" s="19" t="str">
        <x:v>Jul 2026</x:v>
      </x:c>
      <x:c r="E22" s="19" t="n">
        <x:v>21</x:v>
      </x:c>
      <x:c r="F22" s="19" t="str">
        <x:v>detechapp.com</x:v>
      </x:c>
      <x:c r="G22" s="19" t="str">
        <x:v>Unknown</x:v>
      </x:c>
      <x:c r="H22" s="19" t="str">
        <x:v>其他/待核查</x:v>
      </x:c>
      <x:c r="I22" s="19" t="str">
        <x:v>Similarweb 未分类</x:v>
      </x:c>
      <x:c r="J22" s="19" t="n">
        <x:v>2179287</x:v>
      </x:c>
      <x:c r="K22" s="20" t="n">
        <x:v>0.008100000000000001</x:v>
      </x:c>
      <x:c r="L22" s="19" t="str">
        <x:v>新出现</x:v>
      </x:c>
      <x:c r="M22" s="20"/>
      <x:c r="N22" s="21" t="n">
        <x:v>2716000</x:v>
      </x:c>
      <x:c r="O22" s="21" t="n">
        <x:v>22000</x:v>
      </x:c>
      <x:c r="P22" s="21" t="n">
        <x:f>ROUND(N22*K22,0)</x:f>
        <x:v>22000</x:v>
      </x:c>
      <x:c r="Q22" s="19" t="str">
        <x:v>否</x:v>
      </x:c>
      <x:c r="R22" s="19" t="str"/>
      <x:c r="S22" s="19" t="n">
        <x:f>IF(Q22="是",0,MIN(10,2+IF(C22="高",2,1)+IF(K22&gt;=3%,3,IF(K22&gt;=1%,2,1))+IF(L22="新出现",2,IF(M22&gt;=100%,3,IF(M22&gt;0,2,0)))))</x:f>
        <x:v>7</x:v>
      </x:c>
      <x:c r="T22" s="21"/>
      <x:c r="U22" s="20"/>
      <x:c r="V22" s="19" t="str">
        <x:v>http://detechapp.com/</x:v>
      </x:c>
      <x:c r="W22" s="19" t="str">
        <x:v>https://pro.similarweb.com/#/digitalsuite/websiteanalysis/referrals/*/999/1m?webSource=Total&amp;selectedTab=incomingTraffic&amp;key=buy.stripe.com</x:v>
      </x:c>
      <x:c r="X22" s="20" t="n">
        <x:f>IF(Q22="是",0,IFERROR(P22/SUMIFS($P$2:$P$964,$A$2:$A$964,A22,$Q$2:$Q$964,"否"),0))</x:f>
        <x:v>0.013778098710056821</x:v>
      </x:c>
      <x:c r="Y22" s="22" t="str">
        <x:f>IF(OR(M22="",U22=""),"未交叉",IF(M22*U22&gt;0,"同向",IF(M22*U22&lt;0,"背离","一侧持平")))</x:f>
        <x:v>未交叉</x:v>
      </x:c>
    </x:row>
    <x:row r="23">
      <x:c r="A23" s="18" t="str">
        <x:v>buy.stripe.com</x:v>
      </x:c>
      <x:c r="B23" s="19" t="str">
        <x:v>专用支付/结账入口</x:v>
      </x:c>
      <x:c r="C23" s="19" t="str">
        <x:v>高</x:v>
      </x:c>
      <x:c r="D23" s="19" t="str">
        <x:v>Jul 2026</x:v>
      </x:c>
      <x:c r="E23" s="19" t="n">
        <x:v>22</x:v>
      </x:c>
      <x:c r="F23" s="19" t="str">
        <x:v>peerlist.io</x:v>
      </x:c>
      <x:c r="G23" s="19" t="str">
        <x:v>Graphics Multimedia and Web Design</x:v>
      </x:c>
      <x:c r="H23" s="19" t="str">
        <x:v>创作、设计与多媒体工具</x:v>
      </x:c>
      <x:c r="I23" s="19" t="str">
        <x:v>Similarweb 行业映射</x:v>
      </x:c>
      <x:c r="J23" s="19" t="n">
        <x:v>90892</x:v>
      </x:c>
      <x:c r="K23" s="20" t="n">
        <x:v>0.0076</x:v>
      </x:c>
      <x:c r="L23" s="19" t="str">
        <x:v>上升</x:v>
      </x:c>
      <x:c r="M23" s="20" t="n">
        <x:v>16.3961</x:v>
      </x:c>
      <x:c r="N23" s="21" t="n">
        <x:v>2716000</x:v>
      </x:c>
      <x:c r="O23" s="21" t="n">
        <x:v>20642</x:v>
      </x:c>
      <x:c r="P23" s="21" t="n">
        <x:f>ROUND(N23*K23,0)</x:f>
        <x:v>20642</x:v>
      </x:c>
      <x:c r="Q23" s="19" t="str">
        <x:v>否</x:v>
      </x:c>
      <x:c r="R23" s="19" t="str"/>
      <x:c r="S23" s="19" t="n">
        <x:f>IF(Q23="是",0,MIN(10,2+IF(C23="高",2,1)+IF(K23&gt;=3%,3,IF(K23&gt;=1%,2,1))+IF(L23="新出现",2,IF(M23&gt;=100%,3,IF(M23&gt;0,2,0)))))</x:f>
        <x:v>8</x:v>
      </x:c>
      <x:c r="T23" s="21"/>
      <x:c r="U23" s="20"/>
      <x:c r="V23" s="19" t="str">
        <x:v>http://peerlist.io/</x:v>
      </x:c>
      <x:c r="W23" s="19" t="str">
        <x:v>https://pro.similarweb.com/#/digitalsuite/websiteanalysis/referrals/*/999/1m?webSource=Total&amp;selectedTab=incomingTraffic&amp;key=buy.stripe.com</x:v>
      </x:c>
      <x:c r="X23" s="20" t="n">
        <x:f>IF(Q23="是",0,IFERROR(P23/SUMIFS($P$2:$P$964,$A$2:$A$964,A23,$Q$2:$Q$964,"否"),0))</x:f>
        <x:v>0.01292761425331786</x:v>
      </x:c>
      <x:c r="Y23" s="22" t="str">
        <x:f>IF(OR(M23="",U23=""),"未交叉",IF(M23*U23&gt;0,"同向",IF(M23*U23&lt;0,"背离","一侧持平")))</x:f>
        <x:v>未交叉</x:v>
      </x:c>
    </x:row>
    <x:row r="24">
      <x:c r="A24" s="18" t="str">
        <x:v>buy.stripe.com</x:v>
      </x:c>
      <x:c r="B24" s="19" t="str">
        <x:v>专用支付/结账入口</x:v>
      </x:c>
      <x:c r="C24" s="19" t="str">
        <x:v>高</x:v>
      </x:c>
      <x:c r="D24" s="19" t="str">
        <x:v>Jul 2026</x:v>
      </x:c>
      <x:c r="E24" s="19" t="n">
        <x:v>23</x:v>
      </x:c>
      <x:c r="F24" s="19" t="str">
        <x:v>photoai.com</x:v>
      </x:c>
      <x:c r="G24" s="19" t="str">
        <x:v>Web Hosting and Domain Names</x:v>
      </x:c>
      <x:c r="H24" s="19" t="str">
        <x:v>AI 内容生成与创作</x:v>
      </x:c>
      <x:c r="I24" s="19" t="str">
        <x:v>域名人工/交叉验证修正</x:v>
      </x:c>
      <x:c r="J24" s="19" t="n">
        <x:v>225375</x:v>
      </x:c>
      <x:c r="K24" s="20" t="n">
        <x:v>0.0072</x:v>
      </x:c>
      <x:c r="L24" s="19" t="str">
        <x:v>上升</x:v>
      </x:c>
      <x:c r="M24" s="20" t="n">
        <x:v>7.8186</x:v>
      </x:c>
      <x:c r="N24" s="21" t="n">
        <x:v>2716000</x:v>
      </x:c>
      <x:c r="O24" s="21" t="n">
        <x:v>19555</x:v>
      </x:c>
      <x:c r="P24" s="21" t="n">
        <x:f>ROUND(N24*K24,0)</x:f>
        <x:v>19555</x:v>
      </x:c>
      <x:c r="Q24" s="19" t="str">
        <x:v>否</x:v>
      </x:c>
      <x:c r="R24" s="19" t="str"/>
      <x:c r="S24" s="19" t="n">
        <x:f>IF(Q24="是",0,MIN(10,2+IF(C24="高",2,1)+IF(K24&gt;=3%,3,IF(K24&gt;=1%,2,1))+IF(L24="新出现",2,IF(M24&gt;=100%,3,IF(M24&gt;0,2,0)))))</x:f>
        <x:v>8</x:v>
      </x:c>
      <x:c r="T24" s="21"/>
      <x:c r="U24" s="20"/>
      <x:c r="V24" s="19" t="str">
        <x:v>http://photoai.com/</x:v>
      </x:c>
      <x:c r="W24" s="19" t="str">
        <x:v>https://pro.similarweb.com/#/digitalsuite/websiteanalysis/referrals/*/999/1m?webSource=Total&amp;selectedTab=incomingTraffic&amp;key=buy.stripe.com</x:v>
      </x:c>
      <x:c r="X24" s="20" t="n">
        <x:f>IF(Q24="是",0,IFERROR(P24/SUMIFS($P$2:$P$964,$A$2:$A$964,A24,$Q$2:$Q$964,"否"),0))</x:f>
        <x:v>0.012246850921598234</x:v>
      </x:c>
      <x:c r="Y24" s="22" t="str">
        <x:f>IF(OR(M24="",U24=""),"未交叉",IF(M24*U24&gt;0,"同向",IF(M24*U24&lt;0,"背离","一侧持平")))</x:f>
        <x:v>未交叉</x:v>
      </x:c>
    </x:row>
    <x:row r="25">
      <x:c r="A25" s="18" t="str">
        <x:v>buy.stripe.com</x:v>
      </x:c>
      <x:c r="B25" s="19" t="str">
        <x:v>专用支付/结账入口</x:v>
      </x:c>
      <x:c r="C25" s="19" t="str">
        <x:v>高</x:v>
      </x:c>
      <x:c r="D25" s="19" t="str">
        <x:v>Jul 2026</x:v>
      </x:c>
      <x:c r="E25" s="19" t="n">
        <x:v>24</x:v>
      </x:c>
      <x:c r="F25" s="19" t="str">
        <x:v>ramennearyou.com</x:v>
      </x:c>
      <x:c r="G25" s="19" t="str">
        <x:v>Unknown</x:v>
      </x:c>
      <x:c r="H25" s="19" t="str">
        <x:v>其他/待核查</x:v>
      </x:c>
      <x:c r="I25" s="19" t="str">
        <x:v>Similarweb 未分类</x:v>
      </x:c>
      <x:c r="J25" s="19" t="n">
        <x:v>2917719</x:v>
      </x:c>
      <x:c r="K25" s="20" t="n">
        <x:v>0.0069</x:v>
      </x:c>
      <x:c r="L25" s="19" t="str">
        <x:v>上升</x:v>
      </x:c>
      <x:c r="M25" s="20" t="n">
        <x:v>7.807</x:v>
      </x:c>
      <x:c r="N25" s="21" t="n">
        <x:v>2716000</x:v>
      </x:c>
      <x:c r="O25" s="21" t="n">
        <x:v>18740</x:v>
      </x:c>
      <x:c r="P25" s="21" t="n">
        <x:f>ROUND(N25*K25,0)</x:f>
        <x:v>18740</x:v>
      </x:c>
      <x:c r="Q25" s="19" t="str">
        <x:v>否</x:v>
      </x:c>
      <x:c r="R25" s="19" t="str"/>
      <x:c r="S25" s="19" t="n">
        <x:f>IF(Q25="是",0,MIN(10,2+IF(C25="高",2,1)+IF(K25&gt;=3%,3,IF(K25&gt;=1%,2,1))+IF(L25="新出现",2,IF(M25&gt;=100%,3,IF(M25&gt;0,2,0)))))</x:f>
        <x:v>8</x:v>
      </x:c>
      <x:c r="T25" s="21"/>
      <x:c r="U25" s="20"/>
      <x:c r="V25" s="19" t="str">
        <x:v>http://ramennearyou.com/</x:v>
      </x:c>
      <x:c r="W25" s="19" t="str">
        <x:v>https://pro.similarweb.com/#/digitalsuite/websiteanalysis/referrals/*/999/1m?webSource=Total&amp;selectedTab=incomingTraffic&amp;key=buy.stripe.com</x:v>
      </x:c>
      <x:c r="X25" s="20" t="n">
        <x:f>IF(Q25="是",0,IFERROR(P25/SUMIFS($P$2:$P$964,$A$2:$A$964,A25,$Q$2:$Q$964,"否"),0))</x:f>
        <x:v>0.011736434992112039</x:v>
      </x:c>
      <x:c r="Y25" s="22" t="str">
        <x:f>IF(OR(M25="",U25=""),"未交叉",IF(M25*U25&gt;0,"同向",IF(M25*U25&lt;0,"背离","一侧持平")))</x:f>
        <x:v>未交叉</x:v>
      </x:c>
    </x:row>
    <x:row r="26">
      <x:c r="A26" s="18" t="str">
        <x:v>buy.stripe.com</x:v>
      </x:c>
      <x:c r="B26" s="19" t="str">
        <x:v>专用支付/结账入口</x:v>
      </x:c>
      <x:c r="C26" s="19" t="str">
        <x:v>高</x:v>
      </x:c>
      <x:c r="D26" s="19" t="str">
        <x:v>Jul 2026</x:v>
      </x:c>
      <x:c r="E26" s="19" t="n">
        <x:v>25</x:v>
      </x:c>
      <x:c r="F26" s="19" t="str">
        <x:v>airealm.com</x:v>
      </x:c>
      <x:c r="G26" s="19" t="str">
        <x:v>Roleplaying Games</x:v>
      </x:c>
      <x:c r="H26" s="19" t="str">
        <x:v>游戏、数字商品与虚拟内容</x:v>
      </x:c>
      <x:c r="I26" s="19" t="str">
        <x:v>Similarweb 行业映射</x:v>
      </x:c>
      <x:c r="J26" s="19" t="n">
        <x:v>60272</x:v>
      </x:c>
      <x:c r="K26" s="20" t="n">
        <x:v>0.0068000000000000005</x:v>
      </x:c>
      <x:c r="L26" s="19" t="str">
        <x:v>上升</x:v>
      </x:c>
      <x:c r="M26" s="20" t="n">
        <x:v>3.1231</x:v>
      </x:c>
      <x:c r="N26" s="21" t="n">
        <x:v>2716000</x:v>
      </x:c>
      <x:c r="O26" s="21" t="n">
        <x:v>18469</x:v>
      </x:c>
      <x:c r="P26" s="21" t="n">
        <x:f>ROUND(N26*K26,0)</x:f>
        <x:v>18469</x:v>
      </x:c>
      <x:c r="Q26" s="19" t="str">
        <x:v>否</x:v>
      </x:c>
      <x:c r="R26" s="19" t="str"/>
      <x:c r="S26" s="19" t="n">
        <x:f>IF(Q26="是",0,MIN(10,2+IF(C26="高",2,1)+IF(K26&gt;=3%,3,IF(K26&gt;=1%,2,1))+IF(L26="新出现",2,IF(M26&gt;=100%,3,IF(M26&gt;0,2,0)))))</x:f>
        <x:v>8</x:v>
      </x:c>
      <x:c r="T26" s="21"/>
      <x:c r="U26" s="20"/>
      <x:c r="V26" s="19" t="str">
        <x:v>http://airealm.com/</x:v>
      </x:c>
      <x:c r="W26" s="19" t="str">
        <x:v>https://pro.similarweb.com/#/digitalsuite/websiteanalysis/referrals/*/999/1m?webSource=Total&amp;selectedTab=incomingTraffic&amp;key=buy.stripe.com</x:v>
      </x:c>
      <x:c r="X26" s="20" t="n">
        <x:f>IF(Q26="是",0,IFERROR(P26/SUMIFS($P$2:$P$964,$A$2:$A$964,A26,$Q$2:$Q$964,"否"),0))</x:f>
        <x:v>0.011566713867092702</x:v>
      </x:c>
      <x:c r="Y26" s="22" t="str">
        <x:f>IF(OR(M26="",U26=""),"未交叉",IF(M26*U26&gt;0,"同向",IF(M26*U26&lt;0,"背离","一侧持平")))</x:f>
        <x:v>未交叉</x:v>
      </x:c>
    </x:row>
    <x:row r="27">
      <x:c r="A27" s="18" t="str">
        <x:v>buy.stripe.com</x:v>
      </x:c>
      <x:c r="B27" s="19" t="str">
        <x:v>专用支付/结账入口</x:v>
      </x:c>
      <x:c r="C27" s="19" t="str">
        <x:v>高</x:v>
      </x:c>
      <x:c r="D27" s="19" t="str">
        <x:v>Jul 2026</x:v>
      </x:c>
      <x:c r="E27" s="19" t="n">
        <x:v>26</x:v>
      </x:c>
      <x:c r="F27" s="19" t="str">
        <x:v>futuretax.ca</x:v>
      </x:c>
      <x:c r="G27" s="19" t="str">
        <x:v>Finance</x:v>
      </x:c>
      <x:c r="H27" s="19" t="str">
        <x:v>金融、支付与交易服务</x:v>
      </x:c>
      <x:c r="I27" s="19" t="str">
        <x:v>Similarweb 行业映射</x:v>
      </x:c>
      <x:c r="J27" s="19" t="n">
        <x:v>707450</x:v>
      </x:c>
      <x:c r="K27" s="20" t="n">
        <x:v>0.0068000000000000005</x:v>
      </x:c>
      <x:c r="L27" s="19" t="str">
        <x:v>下降</x:v>
      </x:c>
      <x:c r="M27" s="20" t="n">
        <x:v>-0.0993</x:v>
      </x:c>
      <x:c r="N27" s="21" t="n">
        <x:v>2716000</x:v>
      </x:c>
      <x:c r="O27" s="21" t="n">
        <x:v>18469</x:v>
      </x:c>
      <x:c r="P27" s="21" t="n">
        <x:f>ROUND(N27*K27,0)</x:f>
        <x:v>18469</x:v>
      </x:c>
      <x:c r="Q27" s="19" t="str">
        <x:v>否</x:v>
      </x:c>
      <x:c r="R27" s="19" t="str"/>
      <x:c r="S27" s="19" t="n">
        <x:f>IF(Q27="是",0,MIN(10,2+IF(C27="高",2,1)+IF(K27&gt;=3%,3,IF(K27&gt;=1%,2,1))+IF(L27="新出现",2,IF(M27&gt;=100%,3,IF(M27&gt;0,2,0)))))</x:f>
        <x:v>5</x:v>
      </x:c>
      <x:c r="T27" s="21"/>
      <x:c r="U27" s="20"/>
      <x:c r="V27" s="19" t="str">
        <x:v>http://futuretax.ca/</x:v>
      </x:c>
      <x:c r="W27" s="19" t="str">
        <x:v>https://pro.similarweb.com/#/digitalsuite/websiteanalysis/referrals/*/999/1m?webSource=Total&amp;selectedTab=incomingTraffic&amp;key=buy.stripe.com</x:v>
      </x:c>
      <x:c r="X27" s="20" t="n">
        <x:f>IF(Q27="是",0,IFERROR(P27/SUMIFS($P$2:$P$964,$A$2:$A$964,A27,$Q$2:$Q$964,"否"),0))</x:f>
        <x:v>0.011566713867092702</x:v>
      </x:c>
      <x:c r="Y27" s="22" t="str">
        <x:f>IF(OR(M27="",U27=""),"未交叉",IF(M27*U27&gt;0,"同向",IF(M27*U27&lt;0,"背离","一侧持平")))</x:f>
        <x:v>未交叉</x:v>
      </x:c>
    </x:row>
    <x:row r="28">
      <x:c r="A28" s="18" t="str">
        <x:v>buy.stripe.com</x:v>
      </x:c>
      <x:c r="B28" s="19" t="str">
        <x:v>专用支付/结账入口</x:v>
      </x:c>
      <x:c r="C28" s="19" t="str">
        <x:v>高</x:v>
      </x:c>
      <x:c r="D28" s="19" t="str">
        <x:v>Jul 2026</x:v>
      </x:c>
      <x:c r="E28" s="19" t="n">
        <x:v>27</x:v>
      </x:c>
      <x:c r="F28" s="19" t="str">
        <x:v>klifgen.app</x:v>
      </x:c>
      <x:c r="G28" s="19" t="str">
        <x:v>Social Networks and Online Communities</x:v>
      </x:c>
      <x:c r="H28" s="19" t="str">
        <x:v>其他/待核查</x:v>
      </x:c>
      <x:c r="I28" s="19" t="str">
        <x:v>保守归类</x:v>
      </x:c>
      <x:c r="J28" s="19" t="n">
        <x:v>87190</x:v>
      </x:c>
      <x:c r="K28" s="20" t="n">
        <x:v>0.0066</x:v>
      </x:c>
      <x:c r="L28" s="19" t="str">
        <x:v>下降</x:v>
      </x:c>
      <x:c r="M28" s="20" t="n">
        <x:v>-0.10490000000000001</x:v>
      </x:c>
      <x:c r="N28" s="21" t="n">
        <x:v>2716000</x:v>
      </x:c>
      <x:c r="O28" s="21" t="n">
        <x:v>17926</x:v>
      </x:c>
      <x:c r="P28" s="21" t="n">
        <x:f>ROUND(N28*K28,0)</x:f>
        <x:v>17926</x:v>
      </x:c>
      <x:c r="Q28" s="19" t="str">
        <x:v>否</x:v>
      </x:c>
      <x:c r="R28" s="19" t="str"/>
      <x:c r="S28" s="19" t="n">
        <x:f>IF(Q28="是",0,MIN(10,2+IF(C28="高",2,1)+IF(K28&gt;=3%,3,IF(K28&gt;=1%,2,1))+IF(L28="新出现",2,IF(M28&gt;=100%,3,IF(M28&gt;0,2,0)))))</x:f>
        <x:v>5</x:v>
      </x:c>
      <x:c r="T28" s="21"/>
      <x:c r="U28" s="20"/>
      <x:c r="V28" s="19" t="str">
        <x:v>http://klifgen.app/</x:v>
      </x:c>
      <x:c r="W28" s="19" t="str">
        <x:v>https://pro.similarweb.com/#/digitalsuite/websiteanalysis/referrals/*/999/1m?webSource=Total&amp;selectedTab=incomingTraffic&amp;key=buy.stripe.com</x:v>
      </x:c>
      <x:c r="X28" s="20" t="n">
        <x:f>IF(Q28="是",0,IFERROR(P28/SUMIFS($P$2:$P$964,$A$2:$A$964,A28,$Q$2:$Q$964,"否"),0))</x:f>
        <x:v>0.011226645339839936</x:v>
      </x:c>
      <x:c r="Y28" s="22" t="str">
        <x:f>IF(OR(M28="",U28=""),"未交叉",IF(M28*U28&gt;0,"同向",IF(M28*U28&lt;0,"背离","一侧持平")))</x:f>
        <x:v>未交叉</x:v>
      </x:c>
    </x:row>
    <x:row r="29">
      <x:c r="A29" s="18" t="str">
        <x:v>buy.stripe.com</x:v>
      </x:c>
      <x:c r="B29" s="19" t="str">
        <x:v>专用支付/结账入口</x:v>
      </x:c>
      <x:c r="C29" s="19" t="str">
        <x:v>高</x:v>
      </x:c>
      <x:c r="D29" s="19" t="str">
        <x:v>Jul 2026</x:v>
      </x:c>
      <x:c r="E29" s="19" t="n">
        <x:v>28</x:v>
      </x:c>
      <x:c r="F29" s="19" t="str">
        <x:v>agenticui.net</x:v>
      </x:c>
      <x:c r="G29" s="19" t="str">
        <x:v>Unknown</x:v>
      </x:c>
      <x:c r="H29" s="19" t="str">
        <x:v>其他/待核查</x:v>
      </x:c>
      <x:c r="I29" s="19" t="str">
        <x:v>Similarweb 未分类</x:v>
      </x:c>
      <x:c r="J29" s="19" t="n">
        <x:v>1428137</x:v>
      </x:c>
      <x:c r="K29" s="20" t="n">
        <x:v>0.0064</x:v>
      </x:c>
      <x:c r="L29" s="19" t="str">
        <x:v>新出现</x:v>
      </x:c>
      <x:c r="M29" s="20"/>
      <x:c r="N29" s="21" t="n">
        <x:v>2716000</x:v>
      </x:c>
      <x:c r="O29" s="21" t="n">
        <x:v>17382</x:v>
      </x:c>
      <x:c r="P29" s="21" t="n">
        <x:f>ROUND(N29*K29,0)</x:f>
        <x:v>17382</x:v>
      </x:c>
      <x:c r="Q29" s="19" t="str">
        <x:v>否</x:v>
      </x:c>
      <x:c r="R29" s="19" t="str"/>
      <x:c r="S29" s="19" t="n">
        <x:f>IF(Q29="是",0,MIN(10,2+IF(C29="高",2,1)+IF(K29&gt;=3%,3,IF(K29&gt;=1%,2,1))+IF(L29="新出现",2,IF(M29&gt;=100%,3,IF(M29&gt;0,2,0)))))</x:f>
        <x:v>7</x:v>
      </x:c>
      <x:c r="T29" s="21"/>
      <x:c r="U29" s="20"/>
      <x:c r="V29" s="19" t="str">
        <x:v>http://agenticui.net/</x:v>
      </x:c>
      <x:c r="W29" s="19" t="str">
        <x:v>https://pro.similarweb.com/#/digitalsuite/websiteanalysis/referrals/*/999/1m?webSource=Total&amp;selectedTab=incomingTraffic&amp;key=buy.stripe.com</x:v>
      </x:c>
      <x:c r="X29" s="20" t="n">
        <x:f>IF(Q29="是",0,IFERROR(P29/SUMIFS($P$2:$P$964,$A$2:$A$964,A29,$Q$2:$Q$964,"否"),0))</x:f>
        <x:v>0.010885950535373076</x:v>
      </x:c>
      <x:c r="Y29" s="22" t="str">
        <x:f>IF(OR(M29="",U29=""),"未交叉",IF(M29*U29&gt;0,"同向",IF(M29*U29&lt;0,"背离","一侧持平")))</x:f>
        <x:v>未交叉</x:v>
      </x:c>
    </x:row>
    <x:row r="30">
      <x:c r="A30" s="18" t="str">
        <x:v>buy.stripe.com</x:v>
      </x:c>
      <x:c r="B30" s="19" t="str">
        <x:v>专用支付/结账入口</x:v>
      </x:c>
      <x:c r="C30" s="19" t="str">
        <x:v>高</x:v>
      </x:c>
      <x:c r="D30" s="19" t="str">
        <x:v>Jul 2026</x:v>
      </x:c>
      <x:c r="E30" s="19" t="n">
        <x:v>29</x:v>
      </x:c>
      <x:c r="F30" s="19" t="str">
        <x:v>manuelavincent.com</x:v>
      </x:c>
      <x:c r="G30" s="19" t="str">
        <x:v>Unknown</x:v>
      </x:c>
      <x:c r="H30" s="19" t="str">
        <x:v>其他/待核查</x:v>
      </x:c>
      <x:c r="I30" s="19" t="str">
        <x:v>Similarweb 未分类</x:v>
      </x:c>
      <x:c r="J30" s="19" t="n">
        <x:v>4470641</x:v>
      </x:c>
      <x:c r="K30" s="20" t="n">
        <x:v>0.0063</x:v>
      </x:c>
      <x:c r="L30" s="19" t="str">
        <x:v>上升</x:v>
      </x:c>
      <x:c r="M30" s="20" t="n">
        <x:v>0.5281</x:v>
      </x:c>
      <x:c r="N30" s="21" t="n">
        <x:v>2716000</x:v>
      </x:c>
      <x:c r="O30" s="21" t="n">
        <x:v>17111</x:v>
      </x:c>
      <x:c r="P30" s="21" t="n">
        <x:f>ROUND(N30*K30,0)</x:f>
        <x:v>17111</x:v>
      </x:c>
      <x:c r="Q30" s="19" t="str">
        <x:v>否</x:v>
      </x:c>
      <x:c r="R30" s="19" t="str"/>
      <x:c r="S30" s="19" t="n">
        <x:f>IF(Q30="是",0,MIN(10,2+IF(C30="高",2,1)+IF(K30&gt;=3%,3,IF(K30&gt;=1%,2,1))+IF(L30="新出现",2,IF(M30&gt;=100%,3,IF(M30&gt;0,2,0)))))</x:f>
        <x:v>7</x:v>
      </x:c>
      <x:c r="T30" s="21"/>
      <x:c r="U30" s="20"/>
      <x:c r="V30" s="19" t="str">
        <x:v>http://manuelavincent.com/</x:v>
      </x:c>
      <x:c r="W30" s="19" t="str">
        <x:v>https://pro.similarweb.com/#/digitalsuite/websiteanalysis/referrals/*/999/1m?webSource=Total&amp;selectedTab=incomingTraffic&amp;key=buy.stripe.com</x:v>
      </x:c>
      <x:c r="X30" s="20" t="n">
        <x:f>IF(Q30="是",0,IFERROR(P30/SUMIFS($P$2:$P$964,$A$2:$A$964,A30,$Q$2:$Q$964,"否"),0))</x:f>
        <x:v>0.01071622941035374</x:v>
      </x:c>
      <x:c r="Y30" s="22" t="str">
        <x:f>IF(OR(M30="",U30=""),"未交叉",IF(M30*U30&gt;0,"同向",IF(M30*U30&lt;0,"背离","一侧持平")))</x:f>
        <x:v>未交叉</x:v>
      </x:c>
    </x:row>
    <x:row r="31">
      <x:c r="A31" s="18" t="str">
        <x:v>buy.stripe.com</x:v>
      </x:c>
      <x:c r="B31" s="19" t="str">
        <x:v>专用支付/结账入口</x:v>
      </x:c>
      <x:c r="C31" s="19" t="str">
        <x:v>高</x:v>
      </x:c>
      <x:c r="D31" s="19" t="str">
        <x:v>Jul 2026</x:v>
      </x:c>
      <x:c r="E31" s="19" t="n">
        <x:v>30</x:v>
      </x:c>
      <x:c r="F31" s="19" t="str">
        <x:v>carsponsors.com</x:v>
      </x:c>
      <x:c r="G31" s="19" t="str">
        <x:v>Vehicles</x:v>
      </x:c>
      <x:c r="H31" s="19" t="str">
        <x:v>其他/待核查</x:v>
      </x:c>
      <x:c r="I31" s="19" t="str">
        <x:v>保守归类</x:v>
      </x:c>
      <x:c r="J31" s="19" t="n">
        <x:v>883950</x:v>
      </x:c>
      <x:c r="K31" s="20" t="n">
        <x:v>0.0062</x:v>
      </x:c>
      <x:c r="L31" s="19" t="str">
        <x:v>新出现</x:v>
      </x:c>
      <x:c r="M31" s="20"/>
      <x:c r="N31" s="21" t="n">
        <x:v>2716000</x:v>
      </x:c>
      <x:c r="O31" s="21" t="n">
        <x:v>16839</x:v>
      </x:c>
      <x:c r="P31" s="21" t="n">
        <x:f>ROUND(N31*K31,0)</x:f>
        <x:v>16839</x:v>
      </x:c>
      <x:c r="Q31" s="19" t="str">
        <x:v>否</x:v>
      </x:c>
      <x:c r="R31" s="19" t="str"/>
      <x:c r="S31" s="19" t="n">
        <x:f>IF(Q31="是",0,MIN(10,2+IF(C31="高",2,1)+IF(K31&gt;=3%,3,IF(K31&gt;=1%,2,1))+IF(L31="新出现",2,IF(M31&gt;=100%,3,IF(M31&gt;0,2,0)))))</x:f>
        <x:v>7</x:v>
      </x:c>
      <x:c r="T31" s="21"/>
      <x:c r="U31" s="20"/>
      <x:c r="V31" s="19" t="str">
        <x:v>http://carsponsors.com/</x:v>
      </x:c>
      <x:c r="W31" s="19" t="str">
        <x:v>https://pro.similarweb.com/#/digitalsuite/websiteanalysis/referrals/*/999/1m?webSource=Total&amp;selectedTab=incomingTraffic&amp;key=buy.stripe.com</x:v>
      </x:c>
      <x:c r="X31" s="20" t="n">
        <x:f>IF(Q31="是",0,IFERROR(P31/SUMIFS($P$2:$P$964,$A$2:$A$964,A31,$Q$2:$Q$964,"否"),0))</x:f>
        <x:v>0.010545882008120311</x:v>
      </x:c>
      <x:c r="Y31" s="22" t="str">
        <x:f>IF(OR(M31="",U31=""),"未交叉",IF(M31*U31&gt;0,"同向",IF(M31*U31&lt;0,"背离","一侧持平")))</x:f>
        <x:v>未交叉</x:v>
      </x:c>
    </x:row>
    <x:row r="32">
      <x:c r="A32" s="18" t="str">
        <x:v>buy.stripe.com</x:v>
      </x:c>
      <x:c r="B32" s="19" t="str">
        <x:v>专用支付/结账入口</x:v>
      </x:c>
      <x:c r="C32" s="19" t="str">
        <x:v>高</x:v>
      </x:c>
      <x:c r="D32" s="19" t="str">
        <x:v>Jul 2026</x:v>
      </x:c>
      <x:c r="E32" s="19" t="n">
        <x:v>31</x:v>
      </x:c>
      <x:c r="F32" s="19" t="str">
        <x:v>linktr.ee</x:v>
      </x:c>
      <x:c r="G32" s="19" t="str">
        <x:v>Online Marketing</x:v>
      </x:c>
      <x:c r="H32" s="19" t="str">
        <x:v>营销、生产力与商业服务</x:v>
      </x:c>
      <x:c r="I32" s="19" t="str">
        <x:v>Similarweb 行业映射</x:v>
      </x:c>
      <x:c r="J32" s="19" t="n">
        <x:v>257</x:v>
      </x:c>
      <x:c r="K32" s="20" t="n">
        <x:v>0.0059</x:v>
      </x:c>
      <x:c r="L32" s="19" t="str">
        <x:v>下降</x:v>
      </x:c>
      <x:c r="M32" s="20" t="n">
        <x:v>-0.3845</x:v>
      </x:c>
      <x:c r="N32" s="21" t="n">
        <x:v>2716000</x:v>
      </x:c>
      <x:c r="O32" s="21" t="n">
        <x:v>16024</x:v>
      </x:c>
      <x:c r="P32" s="21" t="n">
        <x:f>ROUND(N32*K32,0)</x:f>
        <x:v>16024</x:v>
      </x:c>
      <x:c r="Q32" s="19" t="str">
        <x:v>否</x:v>
      </x:c>
      <x:c r="R32" s="19" t="str"/>
      <x:c r="S32" s="19" t="n">
        <x:f>IF(Q32="是",0,MIN(10,2+IF(C32="高",2,1)+IF(K32&gt;=3%,3,IF(K32&gt;=1%,2,1))+IF(L32="新出现",2,IF(M32&gt;=100%,3,IF(M32&gt;0,2,0)))))</x:f>
        <x:v>5</x:v>
      </x:c>
      <x:c r="T32" s="21"/>
      <x:c r="U32" s="20"/>
      <x:c r="V32" s="19" t="str">
        <x:v>http://linktr.ee/</x:v>
      </x:c>
      <x:c r="W32" s="19" t="str">
        <x:v>https://pro.similarweb.com/#/digitalsuite/websiteanalysis/referrals/*/999/1m?webSource=Total&amp;selectedTab=incomingTraffic&amp;key=buy.stripe.com</x:v>
      </x:c>
      <x:c r="X32" s="20" t="n">
        <x:f>IF(Q32="是",0,IFERROR(P32/SUMIFS($P$2:$P$964,$A$2:$A$964,A32,$Q$2:$Q$964,"否"),0))</x:f>
        <x:v>0.010035466078634115</x:v>
      </x:c>
      <x:c r="Y32" s="22" t="str">
        <x:f>IF(OR(M32="",U32=""),"未交叉",IF(M32*U32&gt;0,"同向",IF(M32*U32&lt;0,"背离","一侧持平")))</x:f>
        <x:v>未交叉</x:v>
      </x:c>
    </x:row>
    <x:row r="33">
      <x:c r="A33" s="18" t="str">
        <x:v>buy.stripe.com</x:v>
      </x:c>
      <x:c r="B33" s="19" t="str">
        <x:v>专用支付/结账入口</x:v>
      </x:c>
      <x:c r="C33" s="19" t="str">
        <x:v>高</x:v>
      </x:c>
      <x:c r="D33" s="19" t="str">
        <x:v>Jul 2026</x:v>
      </x:c>
      <x:c r="E33" s="19" t="n">
        <x:v>32</x:v>
      </x:c>
      <x:c r="F33" s="19" t="str">
        <x:v>30pence.co.uk</x:v>
      </x:c>
      <x:c r="G33" s="19" t="str">
        <x:v>Unknown</x:v>
      </x:c>
      <x:c r="H33" s="19" t="str">
        <x:v>其他/待核查</x:v>
      </x:c>
      <x:c r="I33" s="19" t="str">
        <x:v>Similarweb 未分类</x:v>
      </x:c>
      <x:c r="J33" s="19" t="n">
        <x:v>1193294</x:v>
      </x:c>
      <x:c r="K33" s="20" t="n">
        <x:v>0.0059</x:v>
      </x:c>
      <x:c r="L33" s="19" t="str">
        <x:v>上升</x:v>
      </x:c>
      <x:c r="M33" s="20" t="n">
        <x:v>0.7918999999999999</x:v>
      </x:c>
      <x:c r="N33" s="21" t="n">
        <x:v>2716000</x:v>
      </x:c>
      <x:c r="O33" s="21" t="n">
        <x:v>16024</x:v>
      </x:c>
      <x:c r="P33" s="21" t="n">
        <x:f>ROUND(N33*K33,0)</x:f>
        <x:v>16024</x:v>
      </x:c>
      <x:c r="Q33" s="19" t="str">
        <x:v>否</x:v>
      </x:c>
      <x:c r="R33" s="19" t="str"/>
      <x:c r="S33" s="19" t="n">
        <x:f>IF(Q33="是",0,MIN(10,2+IF(C33="高",2,1)+IF(K33&gt;=3%,3,IF(K33&gt;=1%,2,1))+IF(L33="新出现",2,IF(M33&gt;=100%,3,IF(M33&gt;0,2,0)))))</x:f>
        <x:v>7</x:v>
      </x:c>
      <x:c r="T33" s="21"/>
      <x:c r="U33" s="20"/>
      <x:c r="V33" s="19" t="str">
        <x:v>http://30pence.co.uk/</x:v>
      </x:c>
      <x:c r="W33" s="19" t="str">
        <x:v>https://pro.similarweb.com/#/digitalsuite/websiteanalysis/referrals/*/999/1m?webSource=Total&amp;selectedTab=incomingTraffic&amp;key=buy.stripe.com</x:v>
      </x:c>
      <x:c r="X33" s="20" t="n">
        <x:f>IF(Q33="是",0,IFERROR(P33/SUMIFS($P$2:$P$964,$A$2:$A$964,A33,$Q$2:$Q$964,"否"),0))</x:f>
        <x:v>0.010035466078634115</x:v>
      </x:c>
      <x:c r="Y33" s="22" t="str">
        <x:f>IF(OR(M33="",U33=""),"未交叉",IF(M33*U33&gt;0,"同向",IF(M33*U33&lt;0,"背离","一侧持平")))</x:f>
        <x:v>未交叉</x:v>
      </x:c>
    </x:row>
    <x:row r="34">
      <x:c r="A34" s="18" t="str">
        <x:v>buy.stripe.com</x:v>
      </x:c>
      <x:c r="B34" s="19" t="str">
        <x:v>专用支付/结账入口</x:v>
      </x:c>
      <x:c r="C34" s="19" t="str">
        <x:v>高</x:v>
      </x:c>
      <x:c r="D34" s="19" t="str">
        <x:v>Jul 2026</x:v>
      </x:c>
      <x:c r="E34" s="19" t="n">
        <x:v>33</x:v>
      </x:c>
      <x:c r="F34" s="19" t="str">
        <x:v>gothamloop.com</x:v>
      </x:c>
      <x:c r="G34" s="19" t="str">
        <x:v>Human Resources</x:v>
      </x:c>
      <x:c r="H34" s="19" t="str">
        <x:v>营销、生产力与商业服务</x:v>
      </x:c>
      <x:c r="I34" s="19" t="str">
        <x:v>Similarweb 行业映射</x:v>
      </x:c>
      <x:c r="J34" s="19" t="n">
        <x:v>464992</x:v>
      </x:c>
      <x:c r="K34" s="20" t="n">
        <x:v>0.0058</x:v>
      </x:c>
      <x:c r="L34" s="19" t="str">
        <x:v>上升</x:v>
      </x:c>
      <x:c r="M34" s="20" t="n">
        <x:v>2.9789</x:v>
      </x:c>
      <x:c r="N34" s="21" t="n">
        <x:v>2716000</x:v>
      </x:c>
      <x:c r="O34" s="21" t="n">
        <x:v>15753</x:v>
      </x:c>
      <x:c r="P34" s="21" t="n">
        <x:f>ROUND(N34*K34,0)</x:f>
        <x:v>15753</x:v>
      </x:c>
      <x:c r="Q34" s="19" t="str">
        <x:v>否</x:v>
      </x:c>
      <x:c r="R34" s="19" t="str"/>
      <x:c r="S34" s="19" t="n">
        <x:f>IF(Q34="是",0,MIN(10,2+IF(C34="高",2,1)+IF(K34&gt;=3%,3,IF(K34&gt;=1%,2,1))+IF(L34="新出现",2,IF(M34&gt;=100%,3,IF(M34&gt;0,2,0)))))</x:f>
        <x:v>8</x:v>
      </x:c>
      <x:c r="T34" s="21"/>
      <x:c r="U34" s="20"/>
      <x:c r="V34" s="19" t="str">
        <x:v>http://gothamloop.com/</x:v>
      </x:c>
      <x:c r="W34" s="19" t="str">
        <x:v>https://pro.similarweb.com/#/digitalsuite/websiteanalysis/referrals/*/999/1m?webSource=Total&amp;selectedTab=incomingTraffic&amp;key=buy.stripe.com</x:v>
      </x:c>
      <x:c r="X34" s="20" t="n">
        <x:f>IF(Q34="是",0,IFERROR(P34/SUMIFS($P$2:$P$964,$A$2:$A$964,A34,$Q$2:$Q$964,"否"),0))</x:f>
        <x:v>0.009865744953614778</x:v>
      </x:c>
      <x:c r="Y34" s="22" t="str">
        <x:f>IF(OR(M34="",U34=""),"未交叉",IF(M34*U34&gt;0,"同向",IF(M34*U34&lt;0,"背离","一侧持平")))</x:f>
        <x:v>未交叉</x:v>
      </x:c>
    </x:row>
    <x:row r="35">
      <x:c r="A35" s="18" t="str">
        <x:v>buy.stripe.com</x:v>
      </x:c>
      <x:c r="B35" s="19" t="str">
        <x:v>专用支付/结账入口</x:v>
      </x:c>
      <x:c r="C35" s="19" t="str">
        <x:v>高</x:v>
      </x:c>
      <x:c r="D35" s="19" t="str">
        <x:v>Jul 2026</x:v>
      </x:c>
      <x:c r="E35" s="19" t="n">
        <x:v>34</x:v>
      </x:c>
      <x:c r="F35" s="19" t="str">
        <x:v>github.com</x:v>
      </x:c>
      <x:c r="G35" s="19" t="str">
        <x:v>Programming and Developer Software</x:v>
      </x:c>
      <x:c r="H35" s="19" t="str">
        <x:v>开发者工具与互联网基础设施</x:v>
      </x:c>
      <x:c r="I35" s="19" t="str">
        <x:v>Similarweb 行业映射</x:v>
      </x:c>
      <x:c r="J35" s="19" t="n">
        <x:v>49</x:v>
      </x:c>
      <x:c r="K35" s="20" t="n">
        <x:v>0.0055000000000000005</x:v>
      </x:c>
      <x:c r="L35" s="19" t="str">
        <x:v>上升</x:v>
      </x:c>
      <x:c r="M35" s="20" t="n">
        <x:v>0.8188</x:v>
      </x:c>
      <x:c r="N35" s="21" t="n">
        <x:v>2716000</x:v>
      </x:c>
      <x:c r="O35" s="21" t="n">
        <x:v>14938</x:v>
      </x:c>
      <x:c r="P35" s="21" t="n">
        <x:f>ROUND(N35*K35,0)</x:f>
        <x:v>14938</x:v>
      </x:c>
      <x:c r="Q35" s="19" t="str">
        <x:v>否</x:v>
      </x:c>
      <x:c r="R35" s="19" t="str"/>
      <x:c r="S35" s="19" t="n">
        <x:f>IF(Q35="是",0,MIN(10,2+IF(C35="高",2,1)+IF(K35&gt;=3%,3,IF(K35&gt;=1%,2,1))+IF(L35="新出现",2,IF(M35&gt;=100%,3,IF(M35&gt;0,2,0)))))</x:f>
        <x:v>7</x:v>
      </x:c>
      <x:c r="T35" s="21"/>
      <x:c r="U35" s="20"/>
      <x:c r="V35" s="19" t="str">
        <x:v>http://github.com/</x:v>
      </x:c>
      <x:c r="W35" s="19" t="str">
        <x:v>https://pro.similarweb.com/#/digitalsuite/websiteanalysis/referrals/*/999/1m?webSource=Total&amp;selectedTab=incomingTraffic&amp;key=buy.stripe.com</x:v>
      </x:c>
      <x:c r="X35" s="20" t="n">
        <x:f>IF(Q35="是",0,IFERROR(P35/SUMIFS($P$2:$P$964,$A$2:$A$964,A35,$Q$2:$Q$964,"否"),0))</x:f>
        <x:v>0.009355329024128582</x:v>
      </x:c>
      <x:c r="Y35" s="22" t="str">
        <x:f>IF(OR(M35="",U35=""),"未交叉",IF(M35*U35&gt;0,"同向",IF(M35*U35&lt;0,"背离","一侧持平")))</x:f>
        <x:v>未交叉</x:v>
      </x:c>
    </x:row>
    <x:row r="36">
      <x:c r="A36" s="18" t="str">
        <x:v>buy.stripe.com</x:v>
      </x:c>
      <x:c r="B36" s="19" t="str">
        <x:v>专用支付/结账入口</x:v>
      </x:c>
      <x:c r="C36" s="19" t="str">
        <x:v>高</x:v>
      </x:c>
      <x:c r="D36" s="19" t="str">
        <x:v>Jul 2026</x:v>
      </x:c>
      <x:c r="E36" s="19" t="n">
        <x:v>35</x:v>
      </x:c>
      <x:c r="F36" s="19" t="str">
        <x:v>careadhd.co.uk</x:v>
      </x:c>
      <x:c r="G36" s="19" t="str">
        <x:v>Mental Health</x:v>
      </x:c>
      <x:c r="H36" s="19" t="str">
        <x:v>健康、生活方式与消费服务</x:v>
      </x:c>
      <x:c r="I36" s="19" t="str">
        <x:v>Similarweb 行业映射</x:v>
      </x:c>
      <x:c r="J36" s="19" t="n">
        <x:v>194523</x:v>
      </x:c>
      <x:c r="K36" s="20" t="n">
        <x:v>0.0052</x:v>
      </x:c>
      <x:c r="L36" s="19" t="str">
        <x:v>下降</x:v>
      </x:c>
      <x:c r="M36" s="20" t="n">
        <x:v>-0.5123</x:v>
      </x:c>
      <x:c r="N36" s="21" t="n">
        <x:v>2716000</x:v>
      </x:c>
      <x:c r="O36" s="21" t="n">
        <x:v>14123</x:v>
      </x:c>
      <x:c r="P36" s="21" t="n">
        <x:f>ROUND(N36*K36,0)</x:f>
        <x:v>14123</x:v>
      </x:c>
      <x:c r="Q36" s="19" t="str">
        <x:v>否</x:v>
      </x:c>
      <x:c r="R36" s="19" t="str"/>
      <x:c r="S36" s="19" t="n">
        <x:f>IF(Q36="是",0,MIN(10,2+IF(C36="高",2,1)+IF(K36&gt;=3%,3,IF(K36&gt;=1%,2,1))+IF(L36="新出现",2,IF(M36&gt;=100%,3,IF(M36&gt;0,2,0)))))</x:f>
        <x:v>5</x:v>
      </x:c>
      <x:c r="T36" s="21"/>
      <x:c r="U36" s="20"/>
      <x:c r="V36" s="19" t="str">
        <x:v>http://careadhd.co.uk/</x:v>
      </x:c>
      <x:c r="W36" s="19" t="str">
        <x:v>https://pro.similarweb.com/#/digitalsuite/websiteanalysis/referrals/*/999/1m?webSource=Total&amp;selectedTab=incomingTraffic&amp;key=buy.stripe.com</x:v>
      </x:c>
      <x:c r="X36" s="20" t="n">
        <x:f>IF(Q36="是",0,IFERROR(P36/SUMIFS($P$2:$P$964,$A$2:$A$964,A36,$Q$2:$Q$964,"否"),0))</x:f>
        <x:v>0.008844913094642387</x:v>
      </x:c>
      <x:c r="Y36" s="22" t="str">
        <x:f>IF(OR(M36="",U36=""),"未交叉",IF(M36*U36&gt;0,"同向",IF(M36*U36&lt;0,"背离","一侧持平")))</x:f>
        <x:v>未交叉</x:v>
      </x:c>
    </x:row>
    <x:row r="37">
      <x:c r="A37" s="18" t="str">
        <x:v>buy.stripe.com</x:v>
      </x:c>
      <x:c r="B37" s="19" t="str">
        <x:v>专用支付/结账入口</x:v>
      </x:c>
      <x:c r="C37" s="19" t="str">
        <x:v>高</x:v>
      </x:c>
      <x:c r="D37" s="19" t="str">
        <x:v>Jul 2026</x:v>
      </x:c>
      <x:c r="E37" s="19" t="n">
        <x:v>36</x:v>
      </x:c>
      <x:c r="F37" s="19" t="str">
        <x:v>kevinzahri.com</x:v>
      </x:c>
      <x:c r="G37" s="19" t="str">
        <x:v>Nutrition Diets and Fitness</x:v>
      </x:c>
      <x:c r="H37" s="19" t="str">
        <x:v>其他/待核查</x:v>
      </x:c>
      <x:c r="I37" s="19" t="str">
        <x:v>保守归类</x:v>
      </x:c>
      <x:c r="J37" s="19"/>
      <x:c r="K37" s="20" t="n">
        <x:v>0.005</x:v>
      </x:c>
      <x:c r="L37" s="19" t="str">
        <x:v>新出现</x:v>
      </x:c>
      <x:c r="M37" s="20"/>
      <x:c r="N37" s="21" t="n">
        <x:v>2716000</x:v>
      </x:c>
      <x:c r="O37" s="21" t="n">
        <x:v>13580</x:v>
      </x:c>
      <x:c r="P37" s="21" t="n">
        <x:f>ROUND(N37*K37,0)</x:f>
        <x:v>13580</x:v>
      </x:c>
      <x:c r="Q37" s="19" t="str">
        <x:v>否</x:v>
      </x:c>
      <x:c r="R37" s="19" t="str"/>
      <x:c r="S37" s="19" t="n">
        <x:f>IF(Q37="是",0,MIN(10,2+IF(C37="高",2,1)+IF(K37&gt;=3%,3,IF(K37&gt;=1%,2,1))+IF(L37="新出现",2,IF(M37&gt;=100%,3,IF(M37&gt;0,2,0)))))</x:f>
        <x:v>7</x:v>
      </x:c>
      <x:c r="T37" s="21"/>
      <x:c r="U37" s="20"/>
      <x:c r="V37" s="19" t="str">
        <x:v>http://kevinzahri.com/</x:v>
      </x:c>
      <x:c r="W37" s="19" t="str">
        <x:v>https://pro.similarweb.com/#/digitalsuite/websiteanalysis/referrals/*/999/1m?webSource=Total&amp;selectedTab=incomingTraffic&amp;key=buy.stripe.com</x:v>
      </x:c>
      <x:c r="X37" s="20" t="n">
        <x:f>IF(Q37="是",0,IFERROR(P37/SUMIFS($P$2:$P$964,$A$2:$A$964,A37,$Q$2:$Q$964,"否"),0))</x:f>
        <x:v>0.00850484456738962</x:v>
      </x:c>
      <x:c r="Y37" s="22" t="str">
        <x:f>IF(OR(M37="",U37=""),"未交叉",IF(M37*U37&gt;0,"同向",IF(M37*U37&lt;0,"背离","一侧持平")))</x:f>
        <x:v>未交叉</x:v>
      </x:c>
    </x:row>
    <x:row r="38">
      <x:c r="A38" s="18" t="str">
        <x:v>buy.stripe.com</x:v>
      </x:c>
      <x:c r="B38" s="19" t="str">
        <x:v>专用支付/结账入口</x:v>
      </x:c>
      <x:c r="C38" s="19" t="str">
        <x:v>高</x:v>
      </x:c>
      <x:c r="D38" s="19" t="str">
        <x:v>Jul 2026</x:v>
      </x:c>
      <x:c r="E38" s="19" t="n">
        <x:v>37</x:v>
      </x:c>
      <x:c r="F38" s="19" t="str">
        <x:v>epubor.com</x:v>
      </x:c>
      <x:c r="G38" s="19" t="str">
        <x:v>Computers Electronics and Technology</x:v>
      </x:c>
      <x:c r="H38" s="19" t="str">
        <x:v>通用数字产品与技术服务</x:v>
      </x:c>
      <x:c r="I38" s="19" t="str">
        <x:v>Similarweb 行业映射</x:v>
      </x:c>
      <x:c r="J38" s="19" t="n">
        <x:v>95581</x:v>
      </x:c>
      <x:c r="K38" s="20" t="n">
        <x:v>0.0049</x:v>
      </x:c>
      <x:c r="L38" s="19" t="str">
        <x:v>上升</x:v>
      </x:c>
      <x:c r="M38" s="20" t="n">
        <x:v>1.5175</x:v>
      </x:c>
      <x:c r="N38" s="21" t="n">
        <x:v>2716000</x:v>
      </x:c>
      <x:c r="O38" s="21" t="n">
        <x:v>13308</x:v>
      </x:c>
      <x:c r="P38" s="21" t="n">
        <x:f>ROUND(N38*K38,0)</x:f>
        <x:v>13308</x:v>
      </x:c>
      <x:c r="Q38" s="19" t="str">
        <x:v>否</x:v>
      </x:c>
      <x:c r="R38" s="19" t="str"/>
      <x:c r="S38" s="19" t="n">
        <x:f>IF(Q38="是",0,MIN(10,2+IF(C38="高",2,1)+IF(K38&gt;=3%,3,IF(K38&gt;=1%,2,1))+IF(L38="新出现",2,IF(M38&gt;=100%,3,IF(M38&gt;0,2,0)))))</x:f>
        <x:v>8</x:v>
      </x:c>
      <x:c r="T38" s="21"/>
      <x:c r="U38" s="20"/>
      <x:c r="V38" s="19" t="str">
        <x:v>http://epubor.com/</x:v>
      </x:c>
      <x:c r="W38" s="19" t="str">
        <x:v>https://pro.similarweb.com/#/digitalsuite/websiteanalysis/referrals/*/999/1m?webSource=Total&amp;selectedTab=incomingTraffic&amp;key=buy.stripe.com</x:v>
      </x:c>
      <x:c r="X38" s="20" t="n">
        <x:f>IF(Q38="是",0,IFERROR(P38/SUMIFS($P$2:$P$964,$A$2:$A$964,A38,$Q$2:$Q$964,"否"),0))</x:f>
        <x:v>0.00833449716515619</x:v>
      </x:c>
      <x:c r="Y38" s="22" t="str">
        <x:f>IF(OR(M38="",U38=""),"未交叉",IF(M38*U38&gt;0,"同向",IF(M38*U38&lt;0,"背离","一侧持平")))</x:f>
        <x:v>未交叉</x:v>
      </x:c>
    </x:row>
    <x:row r="39">
      <x:c r="A39" s="18" t="str">
        <x:v>buy.stripe.com</x:v>
      </x:c>
      <x:c r="B39" s="19" t="str">
        <x:v>专用支付/结账入口</x:v>
      </x:c>
      <x:c r="C39" s="19" t="str">
        <x:v>高</x:v>
      </x:c>
      <x:c r="D39" s="19" t="str">
        <x:v>Jul 2026</x:v>
      </x:c>
      <x:c r="E39" s="19" t="n">
        <x:v>38</x:v>
      </x:c>
      <x:c r="F39" s="19" t="str">
        <x:v>es.emprendedores.com</x:v>
      </x:c>
      <x:c r="G39" s="19" t="str">
        <x:v>Unknown</x:v>
      </x:c>
      <x:c r="H39" s="19" t="str">
        <x:v>其他/待核查</x:v>
      </x:c>
      <x:c r="I39" s="19" t="str">
        <x:v>Similarweb 未分类</x:v>
      </x:c>
      <x:c r="J39" s="19"/>
      <x:c r="K39" s="20" t="n">
        <x:v>0.0044</x:v>
      </x:c>
      <x:c r="L39" s="19" t="str">
        <x:v>新出现</x:v>
      </x:c>
      <x:c r="M39" s="20"/>
      <x:c r="N39" s="21" t="n">
        <x:v>2716000</x:v>
      </x:c>
      <x:c r="O39" s="21" t="n">
        <x:v>11950</x:v>
      </x:c>
      <x:c r="P39" s="21" t="n">
        <x:f>ROUND(N39*K39,0)</x:f>
        <x:v>11950</x:v>
      </x:c>
      <x:c r="Q39" s="19" t="str">
        <x:v>否</x:v>
      </x:c>
      <x:c r="R39" s="19" t="str"/>
      <x:c r="S39" s="19" t="n">
        <x:f>IF(Q39="是",0,MIN(10,2+IF(C39="高",2,1)+IF(K39&gt;=3%,3,IF(K39&gt;=1%,2,1))+IF(L39="新出现",2,IF(M39&gt;=100%,3,IF(M39&gt;0,2,0)))))</x:f>
        <x:v>7</x:v>
      </x:c>
      <x:c r="T39" s="21"/>
      <x:c r="U39" s="20"/>
      <x:c r="V39" s="19" t="str">
        <x:v>http://es.emprendedores.com/</x:v>
      </x:c>
      <x:c r="W39" s="19" t="str">
        <x:v>https://pro.similarweb.com/#/digitalsuite/websiteanalysis/referrals/*/999/1m?webSource=Total&amp;selectedTab=incomingTraffic&amp;key=buy.stripe.com</x:v>
      </x:c>
      <x:c r="X39" s="20" t="n">
        <x:f>IF(Q39="是",0,IFERROR(P39/SUMIFS($P$2:$P$964,$A$2:$A$964,A39,$Q$2:$Q$964,"否"),0))</x:f>
        <x:v>0.0074840127084172285</x:v>
      </x:c>
      <x:c r="Y39" s="22" t="str">
        <x:f>IF(OR(M39="",U39=""),"未交叉",IF(M39*U39&gt;0,"同向",IF(M39*U39&lt;0,"背离","一侧持平")))</x:f>
        <x:v>未交叉</x:v>
      </x:c>
    </x:row>
    <x:row r="40">
      <x:c r="A40" s="18" t="str">
        <x:v>buy.stripe.com</x:v>
      </x:c>
      <x:c r="B40" s="19" t="str">
        <x:v>专用支付/结账入口</x:v>
      </x:c>
      <x:c r="C40" s="19" t="str">
        <x:v>高</x:v>
      </x:c>
      <x:c r="D40" s="19" t="str">
        <x:v>Jul 2026</x:v>
      </x:c>
      <x:c r="E40" s="19" t="n">
        <x:v>39</x:v>
      </x:c>
      <x:c r="F40" s="19" t="str">
        <x:v>easywithai.com</x:v>
      </x:c>
      <x:c r="G40" s="19" t="str">
        <x:v>Graphics Multimedia and Web Design</x:v>
      </x:c>
      <x:c r="H40" s="19" t="str">
        <x:v>创作、设计与多媒体工具</x:v>
      </x:c>
      <x:c r="I40" s="19" t="str">
        <x:v>Similarweb 行业映射</x:v>
      </x:c>
      <x:c r="J40" s="19" t="n">
        <x:v>260767</x:v>
      </x:c>
      <x:c r="K40" s="20" t="n">
        <x:v>0.0043</x:v>
      </x:c>
      <x:c r="L40" s="19" t="str">
        <x:v>上升</x:v>
      </x:c>
      <x:c r="M40" s="20" t="n">
        <x:v>17.7426</x:v>
      </x:c>
      <x:c r="N40" s="21" t="n">
        <x:v>2716000</x:v>
      </x:c>
      <x:c r="O40" s="21" t="n">
        <x:v>11679</x:v>
      </x:c>
      <x:c r="P40" s="21" t="n">
        <x:f>ROUND(N40*K40,0)</x:f>
        <x:v>11679</x:v>
      </x:c>
      <x:c r="Q40" s="19" t="str">
        <x:v>否</x:v>
      </x:c>
      <x:c r="R40" s="19" t="str"/>
      <x:c r="S40" s="19" t="n">
        <x:f>IF(Q40="是",0,MIN(10,2+IF(C40="高",2,1)+IF(K40&gt;=3%,3,IF(K40&gt;=1%,2,1))+IF(L40="新出现",2,IF(M40&gt;=100%,3,IF(M40&gt;0,2,0)))))</x:f>
        <x:v>8</x:v>
      </x:c>
      <x:c r="T40" s="21"/>
      <x:c r="U40" s="20"/>
      <x:c r="V40" s="19" t="str">
        <x:v>http://easywithai.com/</x:v>
      </x:c>
      <x:c r="W40" s="19" t="str">
        <x:v>https://pro.similarweb.com/#/digitalsuite/websiteanalysis/referrals/*/999/1m?webSource=Total&amp;selectedTab=incomingTraffic&amp;key=buy.stripe.com</x:v>
      </x:c>
      <x:c r="X40" s="20" t="n">
        <x:f>IF(Q40="是",0,IFERROR(P40/SUMIFS($P$2:$P$964,$A$2:$A$964,A40,$Q$2:$Q$964,"否"),0))</x:f>
        <x:v>0.007314291583397892</x:v>
      </x:c>
      <x:c r="Y40" s="22" t="str">
        <x:f>IF(OR(M40="",U40=""),"未交叉",IF(M40*U40&gt;0,"同向",IF(M40*U40&lt;0,"背离","一侧持平")))</x:f>
        <x:v>未交叉</x:v>
      </x:c>
    </x:row>
    <x:row r="41">
      <x:c r="A41" s="18" t="str">
        <x:v>buy.stripe.com</x:v>
      </x:c>
      <x:c r="B41" s="19" t="str">
        <x:v>专用支付/结账入口</x:v>
      </x:c>
      <x:c r="C41" s="19" t="str">
        <x:v>高</x:v>
      </x:c>
      <x:c r="D41" s="19" t="str">
        <x:v>Jul 2026</x:v>
      </x:c>
      <x:c r="E41" s="19" t="n">
        <x:v>40</x:v>
      </x:c>
      <x:c r="F41" s="19" t="str">
        <x:v>aoacademy.co</x:v>
      </x:c>
      <x:c r="G41" s="19" t="str">
        <x:v>Graphics Multimedia and Web Design</x:v>
      </x:c>
      <x:c r="H41" s="19" t="str">
        <x:v>创作、设计与多媒体工具</x:v>
      </x:c>
      <x:c r="I41" s="19" t="str">
        <x:v>Similarweb 行业映射</x:v>
      </x:c>
      <x:c r="J41" s="19" t="n">
        <x:v>1118969</x:v>
      </x:c>
      <x:c r="K41" s="20" t="n">
        <x:v>0.0042</x:v>
      </x:c>
      <x:c r="L41" s="19" t="str">
        <x:v>新出现</x:v>
      </x:c>
      <x:c r="M41" s="20"/>
      <x:c r="N41" s="21" t="n">
        <x:v>2716000</x:v>
      </x:c>
      <x:c r="O41" s="21" t="n">
        <x:v>11407</x:v>
      </x:c>
      <x:c r="P41" s="21" t="n">
        <x:f>ROUND(N41*K41,0)</x:f>
        <x:v>11407</x:v>
      </x:c>
      <x:c r="Q41" s="19" t="str">
        <x:v>否</x:v>
      </x:c>
      <x:c r="R41" s="19" t="str"/>
      <x:c r="S41" s="19" t="n">
        <x:f>IF(Q41="是",0,MIN(10,2+IF(C41="高",2,1)+IF(K41&gt;=3%,3,IF(K41&gt;=1%,2,1))+IF(L41="新出现",2,IF(M41&gt;=100%,3,IF(M41&gt;0,2,0)))))</x:f>
        <x:v>7</x:v>
      </x:c>
      <x:c r="T41" s="21"/>
      <x:c r="U41" s="20"/>
      <x:c r="V41" s="19" t="str">
        <x:v>http://aoacademy.co/</x:v>
      </x:c>
      <x:c r="W41" s="19" t="str">
        <x:v>https://pro.similarweb.com/#/digitalsuite/websiteanalysis/referrals/*/999/1m?webSource=Total&amp;selectedTab=incomingTraffic&amp;key=buy.stripe.com</x:v>
      </x:c>
      <x:c r="X41" s="20" t="n">
        <x:f>IF(Q41="是",0,IFERROR(P41/SUMIFS($P$2:$P$964,$A$2:$A$964,A41,$Q$2:$Q$964,"否"),0))</x:f>
        <x:v>0.007143944181164462</x:v>
      </x:c>
      <x:c r="Y41" s="22" t="str">
        <x:f>IF(OR(M41="",U41=""),"未交叉",IF(M41*U41&gt;0,"同向",IF(M41*U41&lt;0,"背离","一侧持平")))</x:f>
        <x:v>未交叉</x:v>
      </x:c>
    </x:row>
    <x:row r="42">
      <x:c r="A42" s="18" t="str">
        <x:v>buy.stripe.com</x:v>
      </x:c>
      <x:c r="B42" s="19" t="str">
        <x:v>专用支付/结账入口</x:v>
      </x:c>
      <x:c r="C42" s="19" t="str">
        <x:v>高</x:v>
      </x:c>
      <x:c r="D42" s="19" t="str">
        <x:v>Jul 2026</x:v>
      </x:c>
      <x:c r="E42" s="19" t="n">
        <x:v>41</x:v>
      </x:c>
      <x:c r="F42" s="19" t="str">
        <x:v>outlook.office.com</x:v>
      </x:c>
      <x:c r="G42" s="19" t="str">
        <x:v>Education</x:v>
      </x:c>
      <x:c r="H42" s="19" t="str">
        <x:v>教育、知识与考试服务</x:v>
      </x:c>
      <x:c r="I42" s="19" t="str">
        <x:v>Similarweb 行业映射</x:v>
      </x:c>
      <x:c r="J42" s="19"/>
      <x:c r="K42" s="20" t="n">
        <x:v>0.0042</x:v>
      </x:c>
      <x:c r="L42" s="19" t="str">
        <x:v>上升</x:v>
      </x:c>
      <x:c r="M42" s="20" t="n">
        <x:v>1.4280000000000002</x:v>
      </x:c>
      <x:c r="N42" s="21" t="n">
        <x:v>2716000</x:v>
      </x:c>
      <x:c r="O42" s="21" t="n">
        <x:v>11407</x:v>
      </x:c>
      <x:c r="P42" s="21" t="n">
        <x:f>ROUND(N42*K42,0)</x:f>
        <x:v>11407</x:v>
      </x:c>
      <x:c r="Q42" s="19" t="str">
        <x:v>否</x:v>
      </x:c>
      <x:c r="R42" s="19" t="str"/>
      <x:c r="S42" s="19" t="n">
        <x:f>IF(Q42="是",0,MIN(10,2+IF(C42="高",2,1)+IF(K42&gt;=3%,3,IF(K42&gt;=1%,2,1))+IF(L42="新出现",2,IF(M42&gt;=100%,3,IF(M42&gt;0,2,0)))))</x:f>
        <x:v>8</x:v>
      </x:c>
      <x:c r="T42" s="21"/>
      <x:c r="U42" s="20"/>
      <x:c r="V42" s="19" t="str">
        <x:v>http://outlook.office.com/</x:v>
      </x:c>
      <x:c r="W42" s="19" t="str">
        <x:v>https://pro.similarweb.com/#/digitalsuite/websiteanalysis/referrals/*/999/1m?webSource=Total&amp;selectedTab=incomingTraffic&amp;key=buy.stripe.com</x:v>
      </x:c>
      <x:c r="X42" s="20" t="n">
        <x:f>IF(Q42="是",0,IFERROR(P42/SUMIFS($P$2:$P$964,$A$2:$A$964,A42,$Q$2:$Q$964,"否"),0))</x:f>
        <x:v>0.007143944181164462</x:v>
      </x:c>
      <x:c r="Y42" s="22" t="str">
        <x:f>IF(OR(M42="",U42=""),"未交叉",IF(M42*U42&gt;0,"同向",IF(M42*U42&lt;0,"背离","一侧持平")))</x:f>
        <x:v>未交叉</x:v>
      </x:c>
    </x:row>
    <x:row r="43">
      <x:c r="A43" s="18" t="str">
        <x:v>buy.stripe.com</x:v>
      </x:c>
      <x:c r="B43" s="19" t="str">
        <x:v>专用支付/结账入口</x:v>
      </x:c>
      <x:c r="C43" s="19" t="str">
        <x:v>高</x:v>
      </x:c>
      <x:c r="D43" s="19" t="str">
        <x:v>Jul 2026</x:v>
      </x:c>
      <x:c r="E43" s="19" t="n">
        <x:v>42</x:v>
      </x:c>
      <x:c r="F43" s="19" t="str">
        <x:v>careerhound.io</x:v>
      </x:c>
      <x:c r="G43" s="19" t="str">
        <x:v>Jobs and Employment</x:v>
      </x:c>
      <x:c r="H43" s="19" t="str">
        <x:v>营销、生产力与商业服务</x:v>
      </x:c>
      <x:c r="I43" s="19" t="str">
        <x:v>Similarweb 行业映射</x:v>
      </x:c>
      <x:c r="J43" s="19" t="n">
        <x:v>143293</x:v>
      </x:c>
      <x:c r="K43" s="20" t="n">
        <x:v>0.0040999999999999995</x:v>
      </x:c>
      <x:c r="L43" s="19" t="str">
        <x:v>上升</x:v>
      </x:c>
      <x:c r="M43" s="20" t="n">
        <x:v>2.0265</x:v>
      </x:c>
      <x:c r="N43" s="21" t="n">
        <x:v>2716000</x:v>
      </x:c>
      <x:c r="O43" s="21" t="n">
        <x:v>11136</x:v>
      </x:c>
      <x:c r="P43" s="21" t="n">
        <x:f>ROUND(N43*K43,0)</x:f>
        <x:v>11136</x:v>
      </x:c>
      <x:c r="Q43" s="19" t="str">
        <x:v>否</x:v>
      </x:c>
      <x:c r="R43" s="19" t="str"/>
      <x:c r="S43" s="19" t="n">
        <x:f>IF(Q43="是",0,MIN(10,2+IF(C43="高",2,1)+IF(K43&gt;=3%,3,IF(K43&gt;=1%,2,1))+IF(L43="新出现",2,IF(M43&gt;=100%,3,IF(M43&gt;0,2,0)))))</x:f>
        <x:v>8</x:v>
      </x:c>
      <x:c r="T43" s="21"/>
      <x:c r="U43" s="20"/>
      <x:c r="V43" s="19" t="str">
        <x:v>http://careerhound.io/</x:v>
      </x:c>
      <x:c r="W43" s="19" t="str">
        <x:v>https://pro.similarweb.com/#/digitalsuite/websiteanalysis/referrals/*/999/1m?webSource=Total&amp;selectedTab=incomingTraffic&amp;key=buy.stripe.com</x:v>
      </x:c>
      <x:c r="X43" s="20" t="n">
        <x:f>IF(Q43="是",0,IFERROR(P43/SUMIFS($P$2:$P$964,$A$2:$A$964,A43,$Q$2:$Q$964,"否"),0))</x:f>
        <x:v>0.006974223056145126</x:v>
      </x:c>
      <x:c r="Y43" s="22" t="str">
        <x:f>IF(OR(M43="",U43=""),"未交叉",IF(M43*U43&gt;0,"同向",IF(M43*U43&lt;0,"背离","一侧持平")))</x:f>
        <x:v>未交叉</x:v>
      </x:c>
    </x:row>
    <x:row r="44">
      <x:c r="A44" s="18" t="str">
        <x:v>buy.stripe.com</x:v>
      </x:c>
      <x:c r="B44" s="19" t="str">
        <x:v>专用支付/结账入口</x:v>
      </x:c>
      <x:c r="C44" s="19" t="str">
        <x:v>高</x:v>
      </x:c>
      <x:c r="D44" s="19" t="str">
        <x:v>Jul 2026</x:v>
      </x:c>
      <x:c r="E44" s="19" t="n">
        <x:v>43</x:v>
      </x:c>
      <x:c r="F44" s="19" t="str">
        <x:v>struggleville.net</x:v>
      </x:c>
      <x:c r="G44" s="19" t="str">
        <x:v>Coupons and Rebates</x:v>
      </x:c>
      <x:c r="H44" s="19" t="str">
        <x:v>其他/待核查</x:v>
      </x:c>
      <x:c r="I44" s="19" t="str">
        <x:v>保守归类</x:v>
      </x:c>
      <x:c r="J44" s="19" t="n">
        <x:v>194410</x:v>
      </x:c>
      <x:c r="K44" s="20" t="n">
        <x:v>0.0040999999999999995</x:v>
      </x:c>
      <x:c r="L44" s="19" t="str">
        <x:v>下降</x:v>
      </x:c>
      <x:c r="M44" s="20" t="n">
        <x:v>-0.1936</x:v>
      </x:c>
      <x:c r="N44" s="21" t="n">
        <x:v>2716000</x:v>
      </x:c>
      <x:c r="O44" s="21" t="n">
        <x:v>11136</x:v>
      </x:c>
      <x:c r="P44" s="21" t="n">
        <x:f>ROUND(N44*K44,0)</x:f>
        <x:v>11136</x:v>
      </x:c>
      <x:c r="Q44" s="19" t="str">
        <x:v>否</x:v>
      </x:c>
      <x:c r="R44" s="19" t="str"/>
      <x:c r="S44" s="19" t="n">
        <x:f>IF(Q44="是",0,MIN(10,2+IF(C44="高",2,1)+IF(K44&gt;=3%,3,IF(K44&gt;=1%,2,1))+IF(L44="新出现",2,IF(M44&gt;=100%,3,IF(M44&gt;0,2,0)))))</x:f>
        <x:v>5</x:v>
      </x:c>
      <x:c r="T44" s="21"/>
      <x:c r="U44" s="20"/>
      <x:c r="V44" s="19" t="str">
        <x:v>http://struggleville.net/</x:v>
      </x:c>
      <x:c r="W44" s="19" t="str">
        <x:v>https://pro.similarweb.com/#/digitalsuite/websiteanalysis/referrals/*/999/1m?webSource=Total&amp;selectedTab=incomingTraffic&amp;key=buy.stripe.com</x:v>
      </x:c>
      <x:c r="X44" s="20" t="n">
        <x:f>IF(Q44="是",0,IFERROR(P44/SUMIFS($P$2:$P$964,$A$2:$A$964,A44,$Q$2:$Q$964,"否"),0))</x:f>
        <x:v>0.006974223056145126</x:v>
      </x:c>
      <x:c r="Y44" s="22" t="str">
        <x:f>IF(OR(M44="",U44=""),"未交叉",IF(M44*U44&gt;0,"同向",IF(M44*U44&lt;0,"背离","一侧持平")))</x:f>
        <x:v>未交叉</x:v>
      </x:c>
    </x:row>
    <x:row r="45">
      <x:c r="A45" s="18" t="str">
        <x:v>buy.stripe.com</x:v>
      </x:c>
      <x:c r="B45" s="19" t="str">
        <x:v>专用支付/结账入口</x:v>
      </x:c>
      <x:c r="C45" s="19" t="str">
        <x:v>高</x:v>
      </x:c>
      <x:c r="D45" s="19" t="str">
        <x:v>Jul 2026</x:v>
      </x:c>
      <x:c r="E45" s="19" t="n">
        <x:v>44</x:v>
      </x:c>
      <x:c r="F45" s="19" t="str">
        <x:v>luma.com</x:v>
      </x:c>
      <x:c r="G45" s="19" t="str">
        <x:v>Computers Electronics and Technology</x:v>
      </x:c>
      <x:c r="H45" s="19" t="str">
        <x:v>通用数字产品与技术服务</x:v>
      </x:c>
      <x:c r="I45" s="19" t="str">
        <x:v>Similarweb 行业映射</x:v>
      </x:c>
      <x:c r="J45" s="19" t="n">
        <x:v>2794</x:v>
      </x:c>
      <x:c r="K45" s="20" t="n">
        <x:v>0.004</x:v>
      </x:c>
      <x:c r="L45" s="19" t="str">
        <x:v>上升</x:v>
      </x:c>
      <x:c r="M45" s="20" t="n">
        <x:v>0.0989</x:v>
      </x:c>
      <x:c r="N45" s="21" t="n">
        <x:v>2716000</x:v>
      </x:c>
      <x:c r="O45" s="21" t="n">
        <x:v>10864</x:v>
      </x:c>
      <x:c r="P45" s="21" t="n">
        <x:f>ROUND(N45*K45,0)</x:f>
        <x:v>10864</x:v>
      </x:c>
      <x:c r="Q45" s="19" t="str">
        <x:v>否</x:v>
      </x:c>
      <x:c r="R45" s="19" t="str"/>
      <x:c r="S45" s="19" t="n">
        <x:f>IF(Q45="是",0,MIN(10,2+IF(C45="高",2,1)+IF(K45&gt;=3%,3,IF(K45&gt;=1%,2,1))+IF(L45="新出现",2,IF(M45&gt;=100%,3,IF(M45&gt;0,2,0)))))</x:f>
        <x:v>7</x:v>
      </x:c>
      <x:c r="T45" s="21"/>
      <x:c r="U45" s="20"/>
      <x:c r="V45" s="19" t="str">
        <x:v>http://luma.com/</x:v>
      </x:c>
      <x:c r="W45" s="19" t="str">
        <x:v>https://pro.similarweb.com/#/digitalsuite/websiteanalysis/referrals/*/999/1m?webSource=Total&amp;selectedTab=incomingTraffic&amp;key=buy.stripe.com</x:v>
      </x:c>
      <x:c r="X45" s="20" t="n">
        <x:f>IF(Q45="是",0,IFERROR(P45/SUMIFS($P$2:$P$964,$A$2:$A$964,A45,$Q$2:$Q$964,"否"),0))</x:f>
        <x:v>0.0068038756539116965</x:v>
      </x:c>
      <x:c r="Y45" s="22" t="str">
        <x:f>IF(OR(M45="",U45=""),"未交叉",IF(M45*U45&gt;0,"同向",IF(M45*U45&lt;0,"背离","一侧持平")))</x:f>
        <x:v>未交叉</x:v>
      </x:c>
    </x:row>
    <x:row r="46">
      <x:c r="A46" s="18" t="str">
        <x:v>buy.stripe.com</x:v>
      </x:c>
      <x:c r="B46" s="19" t="str">
        <x:v>专用支付/结账入口</x:v>
      </x:c>
      <x:c r="C46" s="19" t="str">
        <x:v>高</x:v>
      </x:c>
      <x:c r="D46" s="19" t="str">
        <x:v>Jul 2026</x:v>
      </x:c>
      <x:c r="E46" s="19" t="n">
        <x:v>45</x:v>
      </x:c>
      <x:c r="F46" s="19" t="str">
        <x:v>limova.ai</x:v>
      </x:c>
      <x:c r="G46" s="19" t="str">
        <x:v>Graphics Multimedia and Web Design</x:v>
      </x:c>
      <x:c r="H46" s="19" t="str">
        <x:v>AI 工具与应用（未细分）</x:v>
      </x:c>
      <x:c r="I46" s="19" t="str">
        <x:v>域名后缀启发式</x:v>
      </x:c>
      <x:c r="J46" s="19" t="n">
        <x:v>339769</x:v>
      </x:c>
      <x:c r="K46" s="20" t="n">
        <x:v>0.004</x:v>
      </x:c>
      <x:c r="L46" s="19" t="str">
        <x:v>下降</x:v>
      </x:c>
      <x:c r="M46" s="20" t="n">
        <x:v>-0.5466</x:v>
      </x:c>
      <x:c r="N46" s="21" t="n">
        <x:v>2716000</x:v>
      </x:c>
      <x:c r="O46" s="21" t="n">
        <x:v>10864</x:v>
      </x:c>
      <x:c r="P46" s="21" t="n">
        <x:f>ROUND(N46*K46,0)</x:f>
        <x:v>10864</x:v>
      </x:c>
      <x:c r="Q46" s="19" t="str">
        <x:v>否</x:v>
      </x:c>
      <x:c r="R46" s="19" t="str"/>
      <x:c r="S46" s="19" t="n">
        <x:f>IF(Q46="是",0,MIN(10,2+IF(C46="高",2,1)+IF(K46&gt;=3%,3,IF(K46&gt;=1%,2,1))+IF(L46="新出现",2,IF(M46&gt;=100%,3,IF(M46&gt;0,2,0)))))</x:f>
        <x:v>5</x:v>
      </x:c>
      <x:c r="T46" s="21"/>
      <x:c r="U46" s="20"/>
      <x:c r="V46" s="19" t="str">
        <x:v>http://limova.ai/</x:v>
      </x:c>
      <x:c r="W46" s="19" t="str">
        <x:v>https://pro.similarweb.com/#/digitalsuite/websiteanalysis/referrals/*/999/1m?webSource=Total&amp;selectedTab=incomingTraffic&amp;key=buy.stripe.com</x:v>
      </x:c>
      <x:c r="X46" s="20" t="n">
        <x:f>IF(Q46="是",0,IFERROR(P46/SUMIFS($P$2:$P$964,$A$2:$A$964,A46,$Q$2:$Q$964,"否"),0))</x:f>
        <x:v>0.0068038756539116965</x:v>
      </x:c>
      <x:c r="Y46" s="22" t="str">
        <x:f>IF(OR(M46="",U46=""),"未交叉",IF(M46*U46&gt;0,"同向",IF(M46*U46&lt;0,"背离","一侧持平")))</x:f>
        <x:v>未交叉</x:v>
      </x:c>
    </x:row>
    <x:row r="47">
      <x:c r="A47" s="18" t="str">
        <x:v>buy.stripe.com</x:v>
      </x:c>
      <x:c r="B47" s="19" t="str">
        <x:v>专用支付/结账入口</x:v>
      </x:c>
      <x:c r="C47" s="19" t="str">
        <x:v>高</x:v>
      </x:c>
      <x:c r="D47" s="19" t="str">
        <x:v>Jul 2026</x:v>
      </x:c>
      <x:c r="E47" s="19" t="n">
        <x:v>46</x:v>
      </x:c>
      <x:c r="F47" s="19" t="str">
        <x:v>blockerx.net</x:v>
      </x:c>
      <x:c r="G47" s="19" t="str">
        <x:v>Puzzles and Brainteasers</x:v>
      </x:c>
      <x:c r="H47" s="19" t="str">
        <x:v>其他/待核查</x:v>
      </x:c>
      <x:c r="I47" s="19" t="str">
        <x:v>保守归类</x:v>
      </x:c>
      <x:c r="J47" s="19" t="n">
        <x:v>77311</x:v>
      </x:c>
      <x:c r="K47" s="20" t="n">
        <x:v>0.0039000000000000003</x:v>
      </x:c>
      <x:c r="L47" s="19" t="str">
        <x:v>上升</x:v>
      </x:c>
      <x:c r="M47" s="20" t="n">
        <x:v>0.5642</x:v>
      </x:c>
      <x:c r="N47" s="21" t="n">
        <x:v>2716000</x:v>
      </x:c>
      <x:c r="O47" s="21" t="n">
        <x:v>10592</x:v>
      </x:c>
      <x:c r="P47" s="21" t="n">
        <x:f>ROUND(N47*K47,0)</x:f>
        <x:v>10592</x:v>
      </x:c>
      <x:c r="Q47" s="19" t="str">
        <x:v>否</x:v>
      </x:c>
      <x:c r="R47" s="19" t="str"/>
      <x:c r="S47" s="19" t="n">
        <x:f>IF(Q47="是",0,MIN(10,2+IF(C47="高",2,1)+IF(K47&gt;=3%,3,IF(K47&gt;=1%,2,1))+IF(L47="新出现",2,IF(M47&gt;=100%,3,IF(M47&gt;0,2,0)))))</x:f>
        <x:v>7</x:v>
      </x:c>
      <x:c r="T47" s="21"/>
      <x:c r="U47" s="20"/>
      <x:c r="V47" s="19" t="str">
        <x:v>http://blockerx.net/</x:v>
      </x:c>
      <x:c r="W47" s="19" t="str">
        <x:v>https://pro.similarweb.com/#/digitalsuite/websiteanalysis/referrals/*/999/1m?webSource=Total&amp;selectedTab=incomingTraffic&amp;key=buy.stripe.com</x:v>
      </x:c>
      <x:c r="X47" s="20" t="n">
        <x:f>IF(Q47="是",0,IFERROR(P47/SUMIFS($P$2:$P$964,$A$2:$A$964,A47,$Q$2:$Q$964,"否"),0))</x:f>
        <x:v>0.006633528251678266</x:v>
      </x:c>
      <x:c r="Y47" s="22" t="str">
        <x:f>IF(OR(M47="",U47=""),"未交叉",IF(M47*U47&gt;0,"同向",IF(M47*U47&lt;0,"背离","一侧持平")))</x:f>
        <x:v>未交叉</x:v>
      </x:c>
    </x:row>
    <x:row r="48">
      <x:c r="A48" s="18" t="str">
        <x:v>buy.stripe.com</x:v>
      </x:c>
      <x:c r="B48" s="19" t="str">
        <x:v>专用支付/结账入口</x:v>
      </x:c>
      <x:c r="C48" s="19" t="str">
        <x:v>高</x:v>
      </x:c>
      <x:c r="D48" s="19" t="str">
        <x:v>Jul 2026</x:v>
      </x:c>
      <x:c r="E48" s="19" t="n">
        <x:v>47</x:v>
      </x:c>
      <x:c r="F48" s="19" t="str">
        <x:v>akutflyt.dk</x:v>
      </x:c>
      <x:c r="G48" s="19" t="str">
        <x:v>Unknown</x:v>
      </x:c>
      <x:c r="H48" s="19" t="str">
        <x:v>其他/待核查</x:v>
      </x:c>
      <x:c r="I48" s="19" t="str">
        <x:v>Similarweb 未分类</x:v>
      </x:c>
      <x:c r="J48" s="19" t="n">
        <x:v>5030839</x:v>
      </x:c>
      <x:c r="K48" s="20" t="n">
        <x:v>0.0038</x:v>
      </x:c>
      <x:c r="L48" s="19" t="str">
        <x:v>新出现</x:v>
      </x:c>
      <x:c r="M48" s="20"/>
      <x:c r="N48" s="21" t="n">
        <x:v>2716000</x:v>
      </x:c>
      <x:c r="O48" s="21" t="n">
        <x:v>10321</x:v>
      </x:c>
      <x:c r="P48" s="21" t="n">
        <x:f>ROUND(N48*K48,0)</x:f>
        <x:v>10321</x:v>
      </x:c>
      <x:c r="Q48" s="19" t="str">
        <x:v>否</x:v>
      </x:c>
      <x:c r="R48" s="19" t="str"/>
      <x:c r="S48" s="19" t="n">
        <x:f>IF(Q48="是",0,MIN(10,2+IF(C48="高",2,1)+IF(K48&gt;=3%,3,IF(K48&gt;=1%,2,1))+IF(L48="新出现",2,IF(M48&gt;=100%,3,IF(M48&gt;0,2,0)))))</x:f>
        <x:v>7</x:v>
      </x:c>
      <x:c r="T48" s="21"/>
      <x:c r="U48" s="20"/>
      <x:c r="V48" s="19" t="str">
        <x:v>http://akutflyt.dk/</x:v>
      </x:c>
      <x:c r="W48" s="19" t="str">
        <x:v>https://pro.similarweb.com/#/digitalsuite/websiteanalysis/referrals/*/999/1m?webSource=Total&amp;selectedTab=incomingTraffic&amp;key=buy.stripe.com</x:v>
      </x:c>
      <x:c r="X48" s="20" t="n">
        <x:f>IF(Q48="是",0,IFERROR(P48/SUMIFS($P$2:$P$964,$A$2:$A$964,A48,$Q$2:$Q$964,"否"),0))</x:f>
        <x:v>0.00646380712665893</x:v>
      </x:c>
      <x:c r="Y48" s="22" t="str">
        <x:f>IF(OR(M48="",U48=""),"未交叉",IF(M48*U48&gt;0,"同向",IF(M48*U48&lt;0,"背离","一侧持平")))</x:f>
        <x:v>未交叉</x:v>
      </x:c>
    </x:row>
    <x:row r="49">
      <x:c r="A49" s="18" t="str">
        <x:v>buy.stripe.com</x:v>
      </x:c>
      <x:c r="B49" s="19" t="str">
        <x:v>专用支付/结账入口</x:v>
      </x:c>
      <x:c r="C49" s="19" t="str">
        <x:v>高</x:v>
      </x:c>
      <x:c r="D49" s="19" t="str">
        <x:v>Jul 2026</x:v>
      </x:c>
      <x:c r="E49" s="19" t="n">
        <x:v>48</x:v>
      </x:c>
      <x:c r="F49" s="19" t="str">
        <x:v>vercel.app</x:v>
      </x:c>
      <x:c r="G49" s="19" t="str">
        <x:v>Programming and Developer Software</x:v>
      </x:c>
      <x:c r="H49" s="19" t="str">
        <x:v>开发者工具与互联网基础设施</x:v>
      </x:c>
      <x:c r="I49" s="19" t="str">
        <x:v>Similarweb 行业映射</x:v>
      </x:c>
      <x:c r="J49" s="19" t="n">
        <x:v>208</x:v>
      </x:c>
      <x:c r="K49" s="20" t="n">
        <x:v>0.0038</x:v>
      </x:c>
      <x:c r="L49" s="19" t="str">
        <x:v>下降</x:v>
      </x:c>
      <x:c r="M49" s="20" t="n">
        <x:v>-0.7062</x:v>
      </x:c>
      <x:c r="N49" s="21" t="n">
        <x:v>2716000</x:v>
      </x:c>
      <x:c r="O49" s="21" t="n">
        <x:v>10321</x:v>
      </x:c>
      <x:c r="P49" s="21" t="n">
        <x:f>ROUND(N49*K49,0)</x:f>
        <x:v>10321</x:v>
      </x:c>
      <x:c r="Q49" s="19" t="str">
        <x:v>否</x:v>
      </x:c>
      <x:c r="R49" s="19" t="str"/>
      <x:c r="S49" s="19" t="n">
        <x:f>IF(Q49="是",0,MIN(10,2+IF(C49="高",2,1)+IF(K49&gt;=3%,3,IF(K49&gt;=1%,2,1))+IF(L49="新出现",2,IF(M49&gt;=100%,3,IF(M49&gt;0,2,0)))))</x:f>
        <x:v>5</x:v>
      </x:c>
      <x:c r="T49" s="21"/>
      <x:c r="U49" s="20"/>
      <x:c r="V49" s="19" t="str">
        <x:v>http://vercel.app/</x:v>
      </x:c>
      <x:c r="W49" s="19" t="str">
        <x:v>https://pro.similarweb.com/#/digitalsuite/websiteanalysis/referrals/*/999/1m?webSource=Total&amp;selectedTab=incomingTraffic&amp;key=buy.stripe.com</x:v>
      </x:c>
      <x:c r="X49" s="20" t="n">
        <x:f>IF(Q49="是",0,IFERROR(P49/SUMIFS($P$2:$P$964,$A$2:$A$964,A49,$Q$2:$Q$964,"否"),0))</x:f>
        <x:v>0.00646380712665893</x:v>
      </x:c>
      <x:c r="Y49" s="22" t="str">
        <x:f>IF(OR(M49="",U49=""),"未交叉",IF(M49*U49&gt;0,"同向",IF(M49*U49&lt;0,"背离","一侧持平")))</x:f>
        <x:v>未交叉</x:v>
      </x:c>
    </x:row>
    <x:row r="50">
      <x:c r="A50" s="18" t="str">
        <x:v>buy.stripe.com</x:v>
      </x:c>
      <x:c r="B50" s="19" t="str">
        <x:v>专用支付/结账入口</x:v>
      </x:c>
      <x:c r="C50" s="19" t="str">
        <x:v>高</x:v>
      </x:c>
      <x:c r="D50" s="19" t="str">
        <x:v>Jul 2026</x:v>
      </x:c>
      <x:c r="E50" s="19" t="n">
        <x:v>49</x:v>
      </x:c>
      <x:c r="F50" s="19" t="str">
        <x:v>calendly.com</x:v>
      </x:c>
      <x:c r="G50" s="19" t="str">
        <x:v>Computers Electronics and Technology</x:v>
      </x:c>
      <x:c r="H50" s="19" t="str">
        <x:v>通用数字产品与技术服务</x:v>
      </x:c>
      <x:c r="I50" s="19" t="str">
        <x:v>Similarweb 行业映射</x:v>
      </x:c>
      <x:c r="J50" s="19" t="n">
        <x:v>1142</x:v>
      </x:c>
      <x:c r="K50" s="20" t="n">
        <x:v>0.0034999999999999996</x:v>
      </x:c>
      <x:c r="L50" s="19" t="str">
        <x:v>上升</x:v>
      </x:c>
      <x:c r="M50" s="20" t="n">
        <x:v>1.5525</x:v>
      </x:c>
      <x:c r="N50" s="21" t="n">
        <x:v>2716000</x:v>
      </x:c>
      <x:c r="O50" s="21" t="n">
        <x:v>9506</x:v>
      </x:c>
      <x:c r="P50" s="21" t="n">
        <x:f>ROUND(N50*K50,0)</x:f>
        <x:v>9506</x:v>
      </x:c>
      <x:c r="Q50" s="19" t="str">
        <x:v>否</x:v>
      </x:c>
      <x:c r="R50" s="19" t="str"/>
      <x:c r="S50" s="19" t="n">
        <x:f>IF(Q50="是",0,MIN(10,2+IF(C50="高",2,1)+IF(K50&gt;=3%,3,IF(K50&gt;=1%,2,1))+IF(L50="新出现",2,IF(M50&gt;=100%,3,IF(M50&gt;0,2,0)))))</x:f>
        <x:v>8</x:v>
      </x:c>
      <x:c r="T50" s="21"/>
      <x:c r="U50" s="20"/>
      <x:c r="V50" s="19" t="str">
        <x:v>http://calendly.com/</x:v>
      </x:c>
      <x:c r="W50" s="19" t="str">
        <x:v>https://pro.similarweb.com/#/digitalsuite/websiteanalysis/referrals/*/999/1m?webSource=Total&amp;selectedTab=incomingTraffic&amp;key=buy.stripe.com</x:v>
      </x:c>
      <x:c r="X50" s="20" t="n">
        <x:f>IF(Q50="是",0,IFERROR(P50/SUMIFS($P$2:$P$964,$A$2:$A$964,A50,$Q$2:$Q$964,"否"),0))</x:f>
        <x:v>0.0059533911971727345</x:v>
      </x:c>
      <x:c r="Y50" s="22" t="str">
        <x:f>IF(OR(M50="",U50=""),"未交叉",IF(M50*U50&gt;0,"同向",IF(M50*U50&lt;0,"背离","一侧持平")))</x:f>
        <x:v>未交叉</x:v>
      </x:c>
    </x:row>
    <x:row r="51">
      <x:c r="A51" s="18" t="str">
        <x:v>buy.stripe.com</x:v>
      </x:c>
      <x:c r="B51" s="19" t="str">
        <x:v>专用支付/结账入口</x:v>
      </x:c>
      <x:c r="C51" s="19" t="str">
        <x:v>高</x:v>
      </x:c>
      <x:c r="D51" s="19" t="str">
        <x:v>Jul 2026</x:v>
      </x:c>
      <x:c r="E51" s="19" t="n">
        <x:v>50</x:v>
      </x:c>
      <x:c r="F51" s="19" t="str">
        <x:v>dentistlocator.co.uk</x:v>
      </x:c>
      <x:c r="G51" s="19" t="str">
        <x:v>Unknown</x:v>
      </x:c>
      <x:c r="H51" s="19" t="str">
        <x:v>其他/待核查</x:v>
      </x:c>
      <x:c r="I51" s="19" t="str">
        <x:v>Similarweb 未分类</x:v>
      </x:c>
      <x:c r="J51" s="19" t="n">
        <x:v>4060699</x:v>
      </x:c>
      <x:c r="K51" s="20" t="n">
        <x:v>0.0033</x:v>
      </x:c>
      <x:c r="L51" s="19" t="str">
        <x:v>上升</x:v>
      </x:c>
      <x:c r="M51" s="20" t="n">
        <x:v>5.3674</x:v>
      </x:c>
      <x:c r="N51" s="21" t="n">
        <x:v>2716000</x:v>
      </x:c>
      <x:c r="O51" s="21" t="n">
        <x:v>8963</x:v>
      </x:c>
      <x:c r="P51" s="21" t="n">
        <x:f>ROUND(N51*K51,0)</x:f>
        <x:v>8963</x:v>
      </x:c>
      <x:c r="Q51" s="19" t="str">
        <x:v>否</x:v>
      </x:c>
      <x:c r="R51" s="19" t="str"/>
      <x:c r="S51" s="19" t="n">
        <x:f>IF(Q51="是",0,MIN(10,2+IF(C51="高",2,1)+IF(K51&gt;=3%,3,IF(K51&gt;=1%,2,1))+IF(L51="新出现",2,IF(M51&gt;=100%,3,IF(M51&gt;0,2,0)))))</x:f>
        <x:v>8</x:v>
      </x:c>
      <x:c r="T51" s="21"/>
      <x:c r="U51" s="20"/>
      <x:c r="V51" s="19" t="str">
        <x:v>http://dentistlocator.co.uk/</x:v>
      </x:c>
      <x:c r="W51" s="19" t="str">
        <x:v>https://pro.similarweb.com/#/digitalsuite/websiteanalysis/referrals/*/999/1m?webSource=Total&amp;selectedTab=incomingTraffic&amp;key=buy.stripe.com</x:v>
      </x:c>
      <x:c r="X51" s="20" t="n">
        <x:f>IF(Q51="是",0,IFERROR(P51/SUMIFS($P$2:$P$964,$A$2:$A$964,A51,$Q$2:$Q$964,"否"),0))</x:f>
        <x:v>0.005613322669919968</x:v>
      </x:c>
      <x:c r="Y51" s="22" t="str">
        <x:f>IF(OR(M51="",U51=""),"未交叉",IF(M51*U51&gt;0,"同向",IF(M51*U51&lt;0,"背离","一侧持平")))</x:f>
        <x:v>未交叉</x:v>
      </x:c>
    </x:row>
    <x:row r="52">
      <x:c r="A52" s="18" t="str">
        <x:v>buy.stripe.com</x:v>
      </x:c>
      <x:c r="B52" s="19" t="str">
        <x:v>专用支付/结账入口</x:v>
      </x:c>
      <x:c r="C52" s="19" t="str">
        <x:v>高</x:v>
      </x:c>
      <x:c r="D52" s="19" t="str">
        <x:v>Jul 2026</x:v>
      </x:c>
      <x:c r="E52" s="19" t="n">
        <x:v>51</x:v>
      </x:c>
      <x:c r="F52" s="19" t="str">
        <x:v>nexplayground.com</x:v>
      </x:c>
      <x:c r="G52" s="19" t="str">
        <x:v>Groceries</x:v>
      </x:c>
      <x:c r="H52" s="19" t="str">
        <x:v>内容媒体、线下与实体消费</x:v>
      </x:c>
      <x:c r="I52" s="19" t="str">
        <x:v>Similarweb 行业映射</x:v>
      </x:c>
      <x:c r="J52" s="19" t="n">
        <x:v>116228</x:v>
      </x:c>
      <x:c r="K52" s="20" t="n">
        <x:v>0.0033</x:v>
      </x:c>
      <x:c r="L52" s="19" t="str">
        <x:v>上升</x:v>
      </x:c>
      <x:c r="M52" s="20" t="n">
        <x:v>10.4795</x:v>
      </x:c>
      <x:c r="N52" s="21" t="n">
        <x:v>2716000</x:v>
      </x:c>
      <x:c r="O52" s="21" t="n">
        <x:v>8963</x:v>
      </x:c>
      <x:c r="P52" s="21" t="n">
        <x:f>ROUND(N52*K52,0)</x:f>
        <x:v>8963</x:v>
      </x:c>
      <x:c r="Q52" s="19" t="str">
        <x:v>否</x:v>
      </x:c>
      <x:c r="R52" s="19" t="str"/>
      <x:c r="S52" s="19" t="n">
        <x:f>IF(Q52="是",0,MIN(10,2+IF(C52="高",2,1)+IF(K52&gt;=3%,3,IF(K52&gt;=1%,2,1))+IF(L52="新出现",2,IF(M52&gt;=100%,3,IF(M52&gt;0,2,0)))))</x:f>
        <x:v>8</x:v>
      </x:c>
      <x:c r="T52" s="21"/>
      <x:c r="U52" s="20"/>
      <x:c r="V52" s="19" t="str">
        <x:v>http://nexplayground.com/</x:v>
      </x:c>
      <x:c r="W52" s="19" t="str">
        <x:v>https://pro.similarweb.com/#/digitalsuite/websiteanalysis/referrals/*/999/1m?webSource=Total&amp;selectedTab=incomingTraffic&amp;key=buy.stripe.com</x:v>
      </x:c>
      <x:c r="X52" s="20" t="n">
        <x:f>IF(Q52="是",0,IFERROR(P52/SUMIFS($P$2:$P$964,$A$2:$A$964,A52,$Q$2:$Q$964,"否"),0))</x:f>
        <x:v>0.005613322669919968</x:v>
      </x:c>
      <x:c r="Y52" s="22" t="str">
        <x:f>IF(OR(M52="",U52=""),"未交叉",IF(M52*U52&gt;0,"同向",IF(M52*U52&lt;0,"背离","一侧持平")))</x:f>
        <x:v>未交叉</x:v>
      </x:c>
    </x:row>
    <x:row r="53">
      <x:c r="A53" s="18" t="str">
        <x:v>buy.stripe.com</x:v>
      </x:c>
      <x:c r="B53" s="19" t="str">
        <x:v>专用支付/结账入口</x:v>
      </x:c>
      <x:c r="C53" s="19" t="str">
        <x:v>高</x:v>
      </x:c>
      <x:c r="D53" s="19" t="str">
        <x:v>Jul 2026</x:v>
      </x:c>
      <x:c r="E53" s="19" t="n">
        <x:v>52</x:v>
      </x:c>
      <x:c r="F53" s="19" t="str">
        <x:v>playpiknik.com</x:v>
      </x:c>
      <x:c r="G53" s="19" t="str">
        <x:v>Computers Electronics and Technology</x:v>
      </x:c>
      <x:c r="H53" s="19" t="str">
        <x:v>通用数字产品与技术服务</x:v>
      </x:c>
      <x:c r="I53" s="19" t="str">
        <x:v>Similarweb 行业映射</x:v>
      </x:c>
      <x:c r="J53" s="19" t="n">
        <x:v>228640</x:v>
      </x:c>
      <x:c r="K53" s="20" t="n">
        <x:v>0.0033</x:v>
      </x:c>
      <x:c r="L53" s="19" t="str">
        <x:v>新出现</x:v>
      </x:c>
      <x:c r="M53" s="20"/>
      <x:c r="N53" s="21" t="n">
        <x:v>2716000</x:v>
      </x:c>
      <x:c r="O53" s="21" t="n">
        <x:v>8963</x:v>
      </x:c>
      <x:c r="P53" s="21" t="n">
        <x:f>ROUND(N53*K53,0)</x:f>
        <x:v>8963</x:v>
      </x:c>
      <x:c r="Q53" s="19" t="str">
        <x:v>否</x:v>
      </x:c>
      <x:c r="R53" s="19" t="str"/>
      <x:c r="S53" s="19" t="n">
        <x:f>IF(Q53="是",0,MIN(10,2+IF(C53="高",2,1)+IF(K53&gt;=3%,3,IF(K53&gt;=1%,2,1))+IF(L53="新出现",2,IF(M53&gt;=100%,3,IF(M53&gt;0,2,0)))))</x:f>
        <x:v>7</x:v>
      </x:c>
      <x:c r="T53" s="21"/>
      <x:c r="U53" s="20"/>
      <x:c r="V53" s="19" t="str">
        <x:v>http://playpiknik.com/</x:v>
      </x:c>
      <x:c r="W53" s="19" t="str">
        <x:v>https://pro.similarweb.com/#/digitalsuite/websiteanalysis/referrals/*/999/1m?webSource=Total&amp;selectedTab=incomingTraffic&amp;key=buy.stripe.com</x:v>
      </x:c>
      <x:c r="X53" s="20" t="n">
        <x:f>IF(Q53="是",0,IFERROR(P53/SUMIFS($P$2:$P$964,$A$2:$A$964,A53,$Q$2:$Q$964,"否"),0))</x:f>
        <x:v>0.005613322669919968</x:v>
      </x:c>
      <x:c r="Y53" s="22" t="str">
        <x:f>IF(OR(M53="",U53=""),"未交叉",IF(M53*U53&gt;0,"同向",IF(M53*U53&lt;0,"背离","一侧持平")))</x:f>
        <x:v>未交叉</x:v>
      </x:c>
    </x:row>
    <x:row r="54">
      <x:c r="A54" s="18" t="str">
        <x:v>buy.stripe.com</x:v>
      </x:c>
      <x:c r="B54" s="19" t="str">
        <x:v>专用支付/结账入口</x:v>
      </x:c>
      <x:c r="C54" s="19" t="str">
        <x:v>高</x:v>
      </x:c>
      <x:c r="D54" s="19" t="str">
        <x:v>Jul 2026</x:v>
      </x:c>
      <x:c r="E54" s="19" t="n">
        <x:v>53</x:v>
      </x:c>
      <x:c r="F54" s="19" t="str">
        <x:v>andrewsbodega.com</x:v>
      </x:c>
      <x:c r="G54" s="19" t="str">
        <x:v>Graphics Multimedia and Web Design</x:v>
      </x:c>
      <x:c r="H54" s="19" t="str">
        <x:v>创作、设计与多媒体工具</x:v>
      </x:c>
      <x:c r="I54" s="19" t="str">
        <x:v>Similarweb 行业映射</x:v>
      </x:c>
      <x:c r="J54" s="19" t="n">
        <x:v>1437633</x:v>
      </x:c>
      <x:c r="K54" s="20" t="n">
        <x:v>0.0032</x:v>
      </x:c>
      <x:c r="L54" s="19" t="str">
        <x:v>上升</x:v>
      </x:c>
      <x:c r="M54" s="20" t="n">
        <x:v>0.5169</x:v>
      </x:c>
      <x:c r="N54" s="21" t="n">
        <x:v>2716000</x:v>
      </x:c>
      <x:c r="O54" s="21" t="n">
        <x:v>8691</x:v>
      </x:c>
      <x:c r="P54" s="21" t="n">
        <x:f>ROUND(N54*K54,0)</x:f>
        <x:v>8691</x:v>
      </x:c>
      <x:c r="Q54" s="19" t="str">
        <x:v>否</x:v>
      </x:c>
      <x:c r="R54" s="19" t="str"/>
      <x:c r="S54" s="19" t="n">
        <x:f>IF(Q54="是",0,MIN(10,2+IF(C54="高",2,1)+IF(K54&gt;=3%,3,IF(K54&gt;=1%,2,1))+IF(L54="新出现",2,IF(M54&gt;=100%,3,IF(M54&gt;0,2,0)))))</x:f>
        <x:v>7</x:v>
      </x:c>
      <x:c r="T54" s="21"/>
      <x:c r="U54" s="20"/>
      <x:c r="V54" s="19" t="str">
        <x:v>http://andrewsbodega.com/</x:v>
      </x:c>
      <x:c r="W54" s="19" t="str">
        <x:v>https://pro.similarweb.com/#/digitalsuite/websiteanalysis/referrals/*/999/1m?webSource=Total&amp;selectedTab=incomingTraffic&amp;key=buy.stripe.com</x:v>
      </x:c>
      <x:c r="X54" s="20" t="n">
        <x:f>IF(Q54="是",0,IFERROR(P54/SUMIFS($P$2:$P$964,$A$2:$A$964,A54,$Q$2:$Q$964,"否"),0))</x:f>
        <x:v>0.005442975267686538</x:v>
      </x:c>
      <x:c r="Y54" s="22" t="str">
        <x:f>IF(OR(M54="",U54=""),"未交叉",IF(M54*U54&gt;0,"同向",IF(M54*U54&lt;0,"背离","一侧持平")))</x:f>
        <x:v>未交叉</x:v>
      </x:c>
    </x:row>
    <x:row r="55">
      <x:c r="A55" s="18" t="str">
        <x:v>buy.stripe.com</x:v>
      </x:c>
      <x:c r="B55" s="19" t="str">
        <x:v>专用支付/结账入口</x:v>
      </x:c>
      <x:c r="C55" s="19" t="str">
        <x:v>高</x:v>
      </x:c>
      <x:c r="D55" s="19" t="str">
        <x:v>Jul 2026</x:v>
      </x:c>
      <x:c r="E55" s="19" t="n">
        <x:v>54</x:v>
      </x:c>
      <x:c r="F55" s="19" t="str">
        <x:v>professionalpyramid.com</x:v>
      </x:c>
      <x:c r="G55" s="19" t="str">
        <x:v>Unknown</x:v>
      </x:c>
      <x:c r="H55" s="19" t="str">
        <x:v>其他/待核查</x:v>
      </x:c>
      <x:c r="I55" s="19" t="str">
        <x:v>Similarweb 未分类</x:v>
      </x:c>
      <x:c r="J55" s="19" t="n">
        <x:v>1070015</x:v>
      </x:c>
      <x:c r="K55" s="20" t="n">
        <x:v>0.0032</x:v>
      </x:c>
      <x:c r="L55" s="19" t="str">
        <x:v>新出现</x:v>
      </x:c>
      <x:c r="M55" s="20"/>
      <x:c r="N55" s="21" t="n">
        <x:v>2716000</x:v>
      </x:c>
      <x:c r="O55" s="21" t="n">
        <x:v>8691</x:v>
      </x:c>
      <x:c r="P55" s="21" t="n">
        <x:f>ROUND(N55*K55,0)</x:f>
        <x:v>8691</x:v>
      </x:c>
      <x:c r="Q55" s="19" t="str">
        <x:v>否</x:v>
      </x:c>
      <x:c r="R55" s="19" t="str"/>
      <x:c r="S55" s="19" t="n">
        <x:f>IF(Q55="是",0,MIN(10,2+IF(C55="高",2,1)+IF(K55&gt;=3%,3,IF(K55&gt;=1%,2,1))+IF(L55="新出现",2,IF(M55&gt;=100%,3,IF(M55&gt;0,2,0)))))</x:f>
        <x:v>7</x:v>
      </x:c>
      <x:c r="T55" s="21"/>
      <x:c r="U55" s="20"/>
      <x:c r="V55" s="19" t="str">
        <x:v>http://professionalpyramid.com/</x:v>
      </x:c>
      <x:c r="W55" s="19" t="str">
        <x:v>https://pro.similarweb.com/#/digitalsuite/websiteanalysis/referrals/*/999/1m?webSource=Total&amp;selectedTab=incomingTraffic&amp;key=buy.stripe.com</x:v>
      </x:c>
      <x:c r="X55" s="20" t="n">
        <x:f>IF(Q55="是",0,IFERROR(P55/SUMIFS($P$2:$P$964,$A$2:$A$964,A55,$Q$2:$Q$964,"否"),0))</x:f>
        <x:v>0.005442975267686538</x:v>
      </x:c>
      <x:c r="Y55" s="22" t="str">
        <x:f>IF(OR(M55="",U55=""),"未交叉",IF(M55*U55&gt;0,"同向",IF(M55*U55&lt;0,"背离","一侧持平")))</x:f>
        <x:v>未交叉</x:v>
      </x:c>
    </x:row>
    <x:row r="56">
      <x:c r="A56" s="18" t="str">
        <x:v>buy.stripe.com</x:v>
      </x:c>
      <x:c r="B56" s="19" t="str">
        <x:v>专用支付/结账入口</x:v>
      </x:c>
      <x:c r="C56" s="19" t="str">
        <x:v>高</x:v>
      </x:c>
      <x:c r="D56" s="19" t="str">
        <x:v>Jul 2026</x:v>
      </x:c>
      <x:c r="E56" s="19" t="n">
        <x:v>55</x:v>
      </x:c>
      <x:c r="F56" s="19" t="str">
        <x:v>beacons.ai</x:v>
      </x:c>
      <x:c r="G56" s="19" t="str">
        <x:v>Graphics Multimedia and Web Design</x:v>
      </x:c>
      <x:c r="H56" s="19" t="str">
        <x:v>AI 工具与应用（未细分）</x:v>
      </x:c>
      <x:c r="I56" s="19" t="str">
        <x:v>域名后缀启发式</x:v>
      </x:c>
      <x:c r="J56" s="19" t="n">
        <x:v>2072</x:v>
      </x:c>
      <x:c r="K56" s="20" t="n">
        <x:v>0.0031</x:v>
      </x:c>
      <x:c r="L56" s="19" t="str">
        <x:v>下降</x:v>
      </x:c>
      <x:c r="M56" s="20" t="n">
        <x:v>-0.0039000000000000003</x:v>
      </x:c>
      <x:c r="N56" s="21" t="n">
        <x:v>2716000</x:v>
      </x:c>
      <x:c r="O56" s="21" t="n">
        <x:v>8420</x:v>
      </x:c>
      <x:c r="P56" s="21" t="n">
        <x:f>ROUND(N56*K56,0)</x:f>
        <x:v>8420</x:v>
      </x:c>
      <x:c r="Q56" s="19" t="str">
        <x:v>否</x:v>
      </x:c>
      <x:c r="R56" s="19" t="str"/>
      <x:c r="S56" s="19" t="n">
        <x:f>IF(Q56="是",0,MIN(10,2+IF(C56="高",2,1)+IF(K56&gt;=3%,3,IF(K56&gt;=1%,2,1))+IF(L56="新出现",2,IF(M56&gt;=100%,3,IF(M56&gt;0,2,0)))))</x:f>
        <x:v>5</x:v>
      </x:c>
      <x:c r="T56" s="21"/>
      <x:c r="U56" s="20"/>
      <x:c r="V56" s="19" t="str">
        <x:v>http://beacons.ai/</x:v>
      </x:c>
      <x:c r="W56" s="19" t="str">
        <x:v>https://pro.similarweb.com/#/digitalsuite/websiteanalysis/referrals/*/999/1m?webSource=Total&amp;selectedTab=incomingTraffic&amp;key=buy.stripe.com</x:v>
      </x:c>
      <x:c r="X56" s="20" t="n">
        <x:f>IF(Q56="是",0,IFERROR(P56/SUMIFS($P$2:$P$964,$A$2:$A$964,A56,$Q$2:$Q$964,"否"),0))</x:f>
        <x:v>0.005273254142667202</x:v>
      </x:c>
      <x:c r="Y56" s="22" t="str">
        <x:f>IF(OR(M56="",U56=""),"未交叉",IF(M56*U56&gt;0,"同向",IF(M56*U56&lt;0,"背离","一侧持平")))</x:f>
        <x:v>未交叉</x:v>
      </x:c>
    </x:row>
    <x:row r="57">
      <x:c r="A57" s="18" t="str">
        <x:v>buy.stripe.com</x:v>
      </x:c>
      <x:c r="B57" s="19" t="str">
        <x:v>专用支付/结账入口</x:v>
      </x:c>
      <x:c r="C57" s="19" t="str">
        <x:v>高</x:v>
      </x:c>
      <x:c r="D57" s="19" t="str">
        <x:v>Jul 2026</x:v>
      </x:c>
      <x:c r="E57" s="19" t="n">
        <x:v>56</x:v>
      </x:c>
      <x:c r="F57" s="19" t="str">
        <x:v>hustlefund.vc</x:v>
      </x:c>
      <x:c r="G57" s="19" t="str">
        <x:v>Investing</x:v>
      </x:c>
      <x:c r="H57" s="19" t="str">
        <x:v>金融、支付与交易服务</x:v>
      </x:c>
      <x:c r="I57" s="19" t="str">
        <x:v>Similarweb 行业映射</x:v>
      </x:c>
      <x:c r="J57" s="19" t="n">
        <x:v>452983</x:v>
      </x:c>
      <x:c r="K57" s="20" t="n">
        <x:v>0.003</x:v>
      </x:c>
      <x:c r="L57" s="19" t="str">
        <x:v>新出现</x:v>
      </x:c>
      <x:c r="M57" s="20"/>
      <x:c r="N57" s="21" t="n">
        <x:v>2716000</x:v>
      </x:c>
      <x:c r="O57" s="21" t="n">
        <x:v>8148</x:v>
      </x:c>
      <x:c r="P57" s="21" t="n">
        <x:f>ROUND(N57*K57,0)</x:f>
        <x:v>8148</x:v>
      </x:c>
      <x:c r="Q57" s="19" t="str">
        <x:v>否</x:v>
      </x:c>
      <x:c r="R57" s="19" t="str"/>
      <x:c r="S57" s="19" t="n">
        <x:f>IF(Q57="是",0,MIN(10,2+IF(C57="高",2,1)+IF(K57&gt;=3%,3,IF(K57&gt;=1%,2,1))+IF(L57="新出现",2,IF(M57&gt;=100%,3,IF(M57&gt;0,2,0)))))</x:f>
        <x:v>7</x:v>
      </x:c>
      <x:c r="T57" s="21"/>
      <x:c r="U57" s="20"/>
      <x:c r="V57" s="19" t="str">
        <x:v>http://hustlefund.vc/</x:v>
      </x:c>
      <x:c r="W57" s="19" t="str">
        <x:v>https://pro.similarweb.com/#/digitalsuite/websiteanalysis/referrals/*/999/1m?webSource=Total&amp;selectedTab=incomingTraffic&amp;key=buy.stripe.com</x:v>
      </x:c>
      <x:c r="X57" s="20" t="n">
        <x:f>IF(Q57="是",0,IFERROR(P57/SUMIFS($P$2:$P$964,$A$2:$A$964,A57,$Q$2:$Q$964,"否"),0))</x:f>
        <x:v>0.005102906740433772</x:v>
      </x:c>
      <x:c r="Y57" s="22" t="str">
        <x:f>IF(OR(M57="",U57=""),"未交叉",IF(M57*U57&gt;0,"同向",IF(M57*U57&lt;0,"背离","一侧持平")))</x:f>
        <x:v>未交叉</x:v>
      </x:c>
    </x:row>
    <x:row r="58">
      <x:c r="A58" s="18" t="str">
        <x:v>buy.stripe.com</x:v>
      </x:c>
      <x:c r="B58" s="19" t="str">
        <x:v>专用支付/结账入口</x:v>
      </x:c>
      <x:c r="C58" s="19" t="str">
        <x:v>高</x:v>
      </x:c>
      <x:c r="D58" s="19" t="str">
        <x:v>Jul 2026</x:v>
      </x:c>
      <x:c r="E58" s="19" t="n">
        <x:v>57</x:v>
      </x:c>
      <x:c r="F58" s="19" t="str">
        <x:v>usatoplus.com</x:v>
      </x:c>
      <x:c r="G58" s="19" t="str">
        <x:v>Unknown</x:v>
      </x:c>
      <x:c r="H58" s="19" t="str">
        <x:v>其他/待核查</x:v>
      </x:c>
      <x:c r="I58" s="19" t="str">
        <x:v>Similarweb 未分类</x:v>
      </x:c>
      <x:c r="J58" s="19" t="n">
        <x:v>2573978</x:v>
      </x:c>
      <x:c r="K58" s="20" t="n">
        <x:v>0.003</x:v>
      </x:c>
      <x:c r="L58" s="19" t="str">
        <x:v>新出现</x:v>
      </x:c>
      <x:c r="M58" s="20"/>
      <x:c r="N58" s="21" t="n">
        <x:v>2716000</x:v>
      </x:c>
      <x:c r="O58" s="21" t="n">
        <x:v>8148</x:v>
      </x:c>
      <x:c r="P58" s="21" t="n">
        <x:f>ROUND(N58*K58,0)</x:f>
        <x:v>8148</x:v>
      </x:c>
      <x:c r="Q58" s="19" t="str">
        <x:v>否</x:v>
      </x:c>
      <x:c r="R58" s="19" t="str"/>
      <x:c r="S58" s="19" t="n">
        <x:f>IF(Q58="是",0,MIN(10,2+IF(C58="高",2,1)+IF(K58&gt;=3%,3,IF(K58&gt;=1%,2,1))+IF(L58="新出现",2,IF(M58&gt;=100%,3,IF(M58&gt;0,2,0)))))</x:f>
        <x:v>7</x:v>
      </x:c>
      <x:c r="T58" s="21"/>
      <x:c r="U58" s="20"/>
      <x:c r="V58" s="19" t="str">
        <x:v>http://usatoplus.com/</x:v>
      </x:c>
      <x:c r="W58" s="19" t="str">
        <x:v>https://pro.similarweb.com/#/digitalsuite/websiteanalysis/referrals/*/999/1m?webSource=Total&amp;selectedTab=incomingTraffic&amp;key=buy.stripe.com</x:v>
      </x:c>
      <x:c r="X58" s="20" t="n">
        <x:f>IF(Q58="是",0,IFERROR(P58/SUMIFS($P$2:$P$964,$A$2:$A$964,A58,$Q$2:$Q$964,"否"),0))</x:f>
        <x:v>0.005102906740433772</x:v>
      </x:c>
      <x:c r="Y58" s="22" t="str">
        <x:f>IF(OR(M58="",U58=""),"未交叉",IF(M58*U58&gt;0,"同向",IF(M58*U58&lt;0,"背离","一侧持平")))</x:f>
        <x:v>未交叉</x:v>
      </x:c>
    </x:row>
    <x:row r="59">
      <x:c r="A59" s="18" t="str">
        <x:v>buy.stripe.com</x:v>
      </x:c>
      <x:c r="B59" s="19" t="str">
        <x:v>专用支付/结账入口</x:v>
      </x:c>
      <x:c r="C59" s="19" t="str">
        <x:v>高</x:v>
      </x:c>
      <x:c r="D59" s="19" t="str">
        <x:v>Jul 2026</x:v>
      </x:c>
      <x:c r="E59" s="19" t="n">
        <x:v>58</x:v>
      </x:c>
      <x:c r="F59" s="19" t="str">
        <x:v>sportsgameodds.com</x:v>
      </x:c>
      <x:c r="G59" s="19" t="str">
        <x:v>Sports Betting</x:v>
      </x:c>
      <x:c r="H59" s="19" t="str">
        <x:v>健康、生活方式与消费服务</x:v>
      </x:c>
      <x:c r="I59" s="19" t="str">
        <x:v>Similarweb 行业映射</x:v>
      </x:c>
      <x:c r="J59" s="19" t="n">
        <x:v>929005</x:v>
      </x:c>
      <x:c r="K59" s="20" t="n">
        <x:v>0.003</x:v>
      </x:c>
      <x:c r="L59" s="19" t="str">
        <x:v>上升</x:v>
      </x:c>
      <x:c r="M59" s="20" t="n">
        <x:v>4.279599999999999</x:v>
      </x:c>
      <x:c r="N59" s="21" t="n">
        <x:v>2716000</x:v>
      </x:c>
      <x:c r="O59" s="21" t="n">
        <x:v>8148</x:v>
      </x:c>
      <x:c r="P59" s="21" t="n">
        <x:f>ROUND(N59*K59,0)</x:f>
        <x:v>8148</x:v>
      </x:c>
      <x:c r="Q59" s="19" t="str">
        <x:v>否</x:v>
      </x:c>
      <x:c r="R59" s="19" t="str"/>
      <x:c r="S59" s="19" t="n">
        <x:f>IF(Q59="是",0,MIN(10,2+IF(C59="高",2,1)+IF(K59&gt;=3%,3,IF(K59&gt;=1%,2,1))+IF(L59="新出现",2,IF(M59&gt;=100%,3,IF(M59&gt;0,2,0)))))</x:f>
        <x:v>8</x:v>
      </x:c>
      <x:c r="T59" s="21"/>
      <x:c r="U59" s="20"/>
      <x:c r="V59" s="19" t="str">
        <x:v>http://sportsgameodds.com/</x:v>
      </x:c>
      <x:c r="W59" s="19" t="str">
        <x:v>https://pro.similarweb.com/#/digitalsuite/websiteanalysis/referrals/*/999/1m?webSource=Total&amp;selectedTab=incomingTraffic&amp;key=buy.stripe.com</x:v>
      </x:c>
      <x:c r="X59" s="20" t="n">
        <x:f>IF(Q59="是",0,IFERROR(P59/SUMIFS($P$2:$P$964,$A$2:$A$964,A59,$Q$2:$Q$964,"否"),0))</x:f>
        <x:v>0.005102906740433772</x:v>
      </x:c>
      <x:c r="Y59" s="22" t="str">
        <x:f>IF(OR(M59="",U59=""),"未交叉",IF(M59*U59&gt;0,"同向",IF(M59*U59&lt;0,"背离","一侧持平")))</x:f>
        <x:v>未交叉</x:v>
      </x:c>
    </x:row>
    <x:row r="60">
      <x:c r="A60" s="18" t="str">
        <x:v>buy.stripe.com</x:v>
      </x:c>
      <x:c r="B60" s="19" t="str">
        <x:v>专用支付/结账入口</x:v>
      </x:c>
      <x:c r="C60" s="19" t="str">
        <x:v>高</x:v>
      </x:c>
      <x:c r="D60" s="19" t="str">
        <x:v>Jul 2026</x:v>
      </x:c>
      <x:c r="E60" s="19" t="n">
        <x:v>59</x:v>
      </x:c>
      <x:c r="F60" s="19" t="str">
        <x:v>rawgyms.com</x:v>
      </x:c>
      <x:c r="G60" s="19" t="str">
        <x:v>Nutrition Diets and Fitness</x:v>
      </x:c>
      <x:c r="H60" s="19" t="str">
        <x:v>其他/待核查</x:v>
      </x:c>
      <x:c r="I60" s="19" t="str">
        <x:v>保守归类</x:v>
      </x:c>
      <x:c r="J60" s="19" t="n">
        <x:v>3006707</x:v>
      </x:c>
      <x:c r="K60" s="20" t="n">
        <x:v>0.0029</x:v>
      </x:c>
      <x:c r="L60" s="19" t="str">
        <x:v>新出现</x:v>
      </x:c>
      <x:c r="M60" s="20"/>
      <x:c r="N60" s="21" t="n">
        <x:v>2716000</x:v>
      </x:c>
      <x:c r="O60" s="21" t="n">
        <x:v>7876</x:v>
      </x:c>
      <x:c r="P60" s="21" t="n">
        <x:f>ROUND(N60*K60,0)</x:f>
        <x:v>7876</x:v>
      </x:c>
      <x:c r="Q60" s="19" t="str">
        <x:v>否</x:v>
      </x:c>
      <x:c r="R60" s="19" t="str"/>
      <x:c r="S60" s="19" t="n">
        <x:f>IF(Q60="是",0,MIN(10,2+IF(C60="高",2,1)+IF(K60&gt;=3%,3,IF(K60&gt;=1%,2,1))+IF(L60="新出现",2,IF(M60&gt;=100%,3,IF(M60&gt;0,2,0)))))</x:f>
        <x:v>7</x:v>
      </x:c>
      <x:c r="T60" s="21"/>
      <x:c r="U60" s="20"/>
      <x:c r="V60" s="19" t="str">
        <x:v>http://rawgyms.com/</x:v>
      </x:c>
      <x:c r="W60" s="19" t="str">
        <x:v>https://pro.similarweb.com/#/digitalsuite/websiteanalysis/referrals/*/999/1m?webSource=Total&amp;selectedTab=incomingTraffic&amp;key=buy.stripe.com</x:v>
      </x:c>
      <x:c r="X60" s="20" t="n">
        <x:f>IF(Q60="是",0,IFERROR(P60/SUMIFS($P$2:$P$964,$A$2:$A$964,A60,$Q$2:$Q$964,"否"),0))</x:f>
        <x:v>0.004932559338200342</x:v>
      </x:c>
      <x:c r="Y60" s="22" t="str">
        <x:f>IF(OR(M60="",U60=""),"未交叉",IF(M60*U60&gt;0,"同向",IF(M60*U60&lt;0,"背离","一侧持平")))</x:f>
        <x:v>未交叉</x:v>
      </x:c>
    </x:row>
    <x:row r="61">
      <x:c r="A61" s="18" t="str">
        <x:v>buy.stripe.com</x:v>
      </x:c>
      <x:c r="B61" s="19" t="str">
        <x:v>专用支付/结账入口</x:v>
      </x:c>
      <x:c r="C61" s="19" t="str">
        <x:v>高</x:v>
      </x:c>
      <x:c r="D61" s="19" t="str">
        <x:v>Jul 2026</x:v>
      </x:c>
      <x:c r="E61" s="19" t="n">
        <x:v>60</x:v>
      </x:c>
      <x:c r="F61" s="19" t="str">
        <x:v>substack.com</x:v>
      </x:c>
      <x:c r="G61" s="19" t="str">
        <x:v>News and Media</x:v>
      </x:c>
      <x:c r="H61" s="19" t="str">
        <x:v>内容媒体、线下与实体消费</x:v>
      </x:c>
      <x:c r="I61" s="19" t="str">
        <x:v>Similarweb 行业映射</x:v>
      </x:c>
      <x:c r="J61" s="19" t="n">
        <x:v>220</x:v>
      </x:c>
      <x:c r="K61" s="20" t="n">
        <x:v>0.0029</x:v>
      </x:c>
      <x:c r="L61" s="19" t="str">
        <x:v>上升</x:v>
      </x:c>
      <x:c r="M61" s="20" t="n">
        <x:v>0.2619</x:v>
      </x:c>
      <x:c r="N61" s="21" t="n">
        <x:v>2716000</x:v>
      </x:c>
      <x:c r="O61" s="21" t="n">
        <x:v>7876</x:v>
      </x:c>
      <x:c r="P61" s="21" t="n">
        <x:f>ROUND(N61*K61,0)</x:f>
        <x:v>7876</x:v>
      </x:c>
      <x:c r="Q61" s="19" t="str">
        <x:v>否</x:v>
      </x:c>
      <x:c r="R61" s="19" t="str"/>
      <x:c r="S61" s="19" t="n">
        <x:f>IF(Q61="是",0,MIN(10,2+IF(C61="高",2,1)+IF(K61&gt;=3%,3,IF(K61&gt;=1%,2,1))+IF(L61="新出现",2,IF(M61&gt;=100%,3,IF(M61&gt;0,2,0)))))</x:f>
        <x:v>7</x:v>
      </x:c>
      <x:c r="T61" s="21"/>
      <x:c r="U61" s="20"/>
      <x:c r="V61" s="19" t="str">
        <x:v>http://substack.com/</x:v>
      </x:c>
      <x:c r="W61" s="19" t="str">
        <x:v>https://pro.similarweb.com/#/digitalsuite/websiteanalysis/referrals/*/999/1m?webSource=Total&amp;selectedTab=incomingTraffic&amp;key=buy.stripe.com</x:v>
      </x:c>
      <x:c r="X61" s="20" t="n">
        <x:f>IF(Q61="是",0,IFERROR(P61/SUMIFS($P$2:$P$964,$A$2:$A$964,A61,$Q$2:$Q$964,"否"),0))</x:f>
        <x:v>0.004932559338200342</x:v>
      </x:c>
      <x:c r="Y61" s="22" t="str">
        <x:f>IF(OR(M61="",U61=""),"未交叉",IF(M61*U61&gt;0,"同向",IF(M61*U61&lt;0,"背离","一侧持平")))</x:f>
        <x:v>未交叉</x:v>
      </x:c>
    </x:row>
    <x:row r="62">
      <x:c r="A62" s="18" t="str">
        <x:v>buy.stripe.com</x:v>
      </x:c>
      <x:c r="B62" s="19" t="str">
        <x:v>专用支付/结账入口</x:v>
      </x:c>
      <x:c r="C62" s="19" t="str">
        <x:v>高</x:v>
      </x:c>
      <x:c r="D62" s="19" t="str">
        <x:v>Jul 2026</x:v>
      </x:c>
      <x:c r="E62" s="19" t="n">
        <x:v>61</x:v>
      </x:c>
      <x:c r="F62" s="19" t="str">
        <x:v>bramptonmuaythai.com</x:v>
      </x:c>
      <x:c r="G62" s="19" t="str">
        <x:v>Unknown</x:v>
      </x:c>
      <x:c r="H62" s="19" t="str">
        <x:v>其他/待核查</x:v>
      </x:c>
      <x:c r="I62" s="19" t="str">
        <x:v>Similarweb 未分类</x:v>
      </x:c>
      <x:c r="J62" s="19" t="n">
        <x:v>1576890</x:v>
      </x:c>
      <x:c r="K62" s="20" t="n">
        <x:v>0.0028000000000000004</x:v>
      </x:c>
      <x:c r="L62" s="19" t="str">
        <x:v>新出现</x:v>
      </x:c>
      <x:c r="M62" s="20"/>
      <x:c r="N62" s="21" t="n">
        <x:v>2716000</x:v>
      </x:c>
      <x:c r="O62" s="21" t="n">
        <x:v>7605</x:v>
      </x:c>
      <x:c r="P62" s="21" t="n">
        <x:f>ROUND(N62*K62,0)</x:f>
        <x:v>7605</x:v>
      </x:c>
      <x:c r="Q62" s="19" t="str">
        <x:v>否</x:v>
      </x:c>
      <x:c r="R62" s="19" t="str"/>
      <x:c r="S62" s="19" t="n">
        <x:f>IF(Q62="是",0,MIN(10,2+IF(C62="高",2,1)+IF(K62&gt;=3%,3,IF(K62&gt;=1%,2,1))+IF(L62="新出现",2,IF(M62&gt;=100%,3,IF(M62&gt;0,2,0)))))</x:f>
        <x:v>7</x:v>
      </x:c>
      <x:c r="T62" s="21"/>
      <x:c r="U62" s="20"/>
      <x:c r="V62" s="19" t="str">
        <x:v>http://bramptonmuaythai.com/</x:v>
      </x:c>
      <x:c r="W62" s="19" t="str">
        <x:v>https://pro.similarweb.com/#/digitalsuite/websiteanalysis/referrals/*/999/1m?webSource=Total&amp;selectedTab=incomingTraffic&amp;key=buy.stripe.com</x:v>
      </x:c>
      <x:c r="X62" s="20" t="n">
        <x:f>IF(Q62="是",0,IFERROR(P62/SUMIFS($P$2:$P$964,$A$2:$A$964,A62,$Q$2:$Q$964,"否"),0))</x:f>
        <x:v>0.004762838213181006</x:v>
      </x:c>
      <x:c r="Y62" s="22" t="str">
        <x:f>IF(OR(M62="",U62=""),"未交叉",IF(M62*U62&gt;0,"同向",IF(M62*U62&lt;0,"背离","一侧持平")))</x:f>
        <x:v>未交叉</x:v>
      </x:c>
    </x:row>
    <x:row r="63">
      <x:c r="A63" s="18" t="str">
        <x:v>buy.stripe.com</x:v>
      </x:c>
      <x:c r="B63" s="19" t="str">
        <x:v>专用支付/结账入口</x:v>
      </x:c>
      <x:c r="C63" s="19" t="str">
        <x:v>高</x:v>
      </x:c>
      <x:c r="D63" s="19" t="str">
        <x:v>Jul 2026</x:v>
      </x:c>
      <x:c r="E63" s="19" t="n">
        <x:v>62</x:v>
      </x:c>
      <x:c r="F63" s="19" t="str">
        <x:v>utuloktulacik.sk</x:v>
      </x:c>
      <x:c r="G63" s="19" t="str">
        <x:v>Pets</x:v>
      </x:c>
      <x:c r="H63" s="19" t="str">
        <x:v>其他/待核查</x:v>
      </x:c>
      <x:c r="I63" s="19" t="str">
        <x:v>保守归类</x:v>
      </x:c>
      <x:c r="J63" s="19" t="n">
        <x:v>1315123</x:v>
      </x:c>
      <x:c r="K63" s="20" t="n">
        <x:v>0.0027</x:v>
      </x:c>
      <x:c r="L63" s="19" t="str">
        <x:v>新出现</x:v>
      </x:c>
      <x:c r="M63" s="20"/>
      <x:c r="N63" s="21" t="n">
        <x:v>2716000</x:v>
      </x:c>
      <x:c r="O63" s="21" t="n">
        <x:v>7333</x:v>
      </x:c>
      <x:c r="P63" s="21" t="n">
        <x:f>ROUND(N63*K63,0)</x:f>
        <x:v>7333</x:v>
      </x:c>
      <x:c r="Q63" s="19" t="str">
        <x:v>否</x:v>
      </x:c>
      <x:c r="R63" s="19" t="str"/>
      <x:c r="S63" s="19" t="n">
        <x:f>IF(Q63="是",0,MIN(10,2+IF(C63="高",2,1)+IF(K63&gt;=3%,3,IF(K63&gt;=1%,2,1))+IF(L63="新出现",2,IF(M63&gt;=100%,3,IF(M63&gt;0,2,0)))))</x:f>
        <x:v>7</x:v>
      </x:c>
      <x:c r="T63" s="21"/>
      <x:c r="U63" s="20"/>
      <x:c r="V63" s="19" t="str">
        <x:v>http://utuloktulacik.sk/</x:v>
      </x:c>
      <x:c r="W63" s="19" t="str">
        <x:v>https://pro.similarweb.com/#/digitalsuite/websiteanalysis/referrals/*/999/1m?webSource=Total&amp;selectedTab=incomingTraffic&amp;key=buy.stripe.com</x:v>
      </x:c>
      <x:c r="X63" s="20" t="n">
        <x:f>IF(Q63="是",0,IFERROR(P63/SUMIFS($P$2:$P$964,$A$2:$A$964,A63,$Q$2:$Q$964,"否"),0))</x:f>
        <x:v>0.004592490810947576</x:v>
      </x:c>
      <x:c r="Y63" s="22" t="str">
        <x:f>IF(OR(M63="",U63=""),"未交叉",IF(M63*U63&gt;0,"同向",IF(M63*U63&lt;0,"背离","一侧持平")))</x:f>
        <x:v>未交叉</x:v>
      </x:c>
    </x:row>
    <x:row r="64">
      <x:c r="A64" s="18" t="str">
        <x:v>buy.stripe.com</x:v>
      </x:c>
      <x:c r="B64" s="19" t="str">
        <x:v>专用支付/结账入口</x:v>
      </x:c>
      <x:c r="C64" s="19" t="str">
        <x:v>高</x:v>
      </x:c>
      <x:c r="D64" s="19" t="str">
        <x:v>Jul 2026</x:v>
      </x:c>
      <x:c r="E64" s="19" t="n">
        <x:v>63</x:v>
      </x:c>
      <x:c r="F64" s="19" t="str">
        <x:v>designjoy.co</x:v>
      </x:c>
      <x:c r="G64" s="19" t="str">
        <x:v>Computers Electronics and Technology</x:v>
      </x:c>
      <x:c r="H64" s="19" t="str">
        <x:v>通用数字产品与技术服务</x:v>
      </x:c>
      <x:c r="I64" s="19" t="str">
        <x:v>Similarweb 行业映射</x:v>
      </x:c>
      <x:c r="J64" s="19" t="n">
        <x:v>538588</x:v>
      </x:c>
      <x:c r="K64" s="20" t="n">
        <x:v>0.0027</x:v>
      </x:c>
      <x:c r="L64" s="19" t="str">
        <x:v>上升</x:v>
      </x:c>
      <x:c r="M64" s="20" t="n">
        <x:v>0.10550000000000001</x:v>
      </x:c>
      <x:c r="N64" s="21" t="n">
        <x:v>2716000</x:v>
      </x:c>
      <x:c r="O64" s="21" t="n">
        <x:v>7333</x:v>
      </x:c>
      <x:c r="P64" s="21" t="n">
        <x:f>ROUND(N64*K64,0)</x:f>
        <x:v>7333</x:v>
      </x:c>
      <x:c r="Q64" s="19" t="str">
        <x:v>否</x:v>
      </x:c>
      <x:c r="R64" s="19" t="str"/>
      <x:c r="S64" s="19" t="n">
        <x:f>IF(Q64="是",0,MIN(10,2+IF(C64="高",2,1)+IF(K64&gt;=3%,3,IF(K64&gt;=1%,2,1))+IF(L64="新出现",2,IF(M64&gt;=100%,3,IF(M64&gt;0,2,0)))))</x:f>
        <x:v>7</x:v>
      </x:c>
      <x:c r="T64" s="21"/>
      <x:c r="U64" s="20"/>
      <x:c r="V64" s="19" t="str">
        <x:v>http://designjoy.co/</x:v>
      </x:c>
      <x:c r="W64" s="19" t="str">
        <x:v>https://pro.similarweb.com/#/digitalsuite/websiteanalysis/referrals/*/999/1m?webSource=Total&amp;selectedTab=incomingTraffic&amp;key=buy.stripe.com</x:v>
      </x:c>
      <x:c r="X64" s="20" t="n">
        <x:f>IF(Q64="是",0,IFERROR(P64/SUMIFS($P$2:$P$964,$A$2:$A$964,A64,$Q$2:$Q$964,"否"),0))</x:f>
        <x:v>0.004592490810947576</x:v>
      </x:c>
      <x:c r="Y64" s="22" t="str">
        <x:f>IF(OR(M64="",U64=""),"未交叉",IF(M64*U64&gt;0,"同向",IF(M64*U64&lt;0,"背离","一侧持平")))</x:f>
        <x:v>未交叉</x:v>
      </x:c>
    </x:row>
    <x:row r="65">
      <x:c r="A65" s="18" t="str">
        <x:v>buy.stripe.com</x:v>
      </x:c>
      <x:c r="B65" s="19" t="str">
        <x:v>专用支付/结账入口</x:v>
      </x:c>
      <x:c r="C65" s="19" t="str">
        <x:v>高</x:v>
      </x:c>
      <x:c r="D65" s="19" t="str">
        <x:v>Jul 2026</x:v>
      </x:c>
      <x:c r="E65" s="19" t="n">
        <x:v>64</x:v>
      </x:c>
      <x:c r="F65" s="19" t="str">
        <x:v>dub.sh</x:v>
      </x:c>
      <x:c r="G65" s="19" t="str">
        <x:v>Programming and Developer Software</x:v>
      </x:c>
      <x:c r="H65" s="19" t="str">
        <x:v>开发者工具与互联网基础设施</x:v>
      </x:c>
      <x:c r="I65" s="19" t="str">
        <x:v>Similarweb 行业映射</x:v>
      </x:c>
      <x:c r="J65" s="19" t="n">
        <x:v>16348</x:v>
      </x:c>
      <x:c r="K65" s="20" t="n">
        <x:v>0.0027</x:v>
      </x:c>
      <x:c r="L65" s="19" t="str">
        <x:v>上升</x:v>
      </x:c>
      <x:c r="M65" s="20" t="n">
        <x:v>13.2156</x:v>
      </x:c>
      <x:c r="N65" s="21" t="n">
        <x:v>2716000</x:v>
      </x:c>
      <x:c r="O65" s="21" t="n">
        <x:v>7333</x:v>
      </x:c>
      <x:c r="P65" s="21" t="n">
        <x:f>ROUND(N65*K65,0)</x:f>
        <x:v>7333</x:v>
      </x:c>
      <x:c r="Q65" s="19" t="str">
        <x:v>否</x:v>
      </x:c>
      <x:c r="R65" s="19" t="str"/>
      <x:c r="S65" s="19" t="n">
        <x:f>IF(Q65="是",0,MIN(10,2+IF(C65="高",2,1)+IF(K65&gt;=3%,3,IF(K65&gt;=1%,2,1))+IF(L65="新出现",2,IF(M65&gt;=100%,3,IF(M65&gt;0,2,0)))))</x:f>
        <x:v>8</x:v>
      </x:c>
      <x:c r="T65" s="21"/>
      <x:c r="U65" s="20"/>
      <x:c r="V65" s="19" t="str">
        <x:v>http://dub.sh/</x:v>
      </x:c>
      <x:c r="W65" s="19" t="str">
        <x:v>https://pro.similarweb.com/#/digitalsuite/websiteanalysis/referrals/*/999/1m?webSource=Total&amp;selectedTab=incomingTraffic&amp;key=buy.stripe.com</x:v>
      </x:c>
      <x:c r="X65" s="20" t="n">
        <x:f>IF(Q65="是",0,IFERROR(P65/SUMIFS($P$2:$P$964,$A$2:$A$964,A65,$Q$2:$Q$964,"否"),0))</x:f>
        <x:v>0.004592490810947576</x:v>
      </x:c>
      <x:c r="Y65" s="22" t="str">
        <x:f>IF(OR(M65="",U65=""),"未交叉",IF(M65*U65&gt;0,"同向",IF(M65*U65&lt;0,"背离","一侧持平")))</x:f>
        <x:v>未交叉</x:v>
      </x:c>
    </x:row>
    <x:row r="66">
      <x:c r="A66" s="18" t="str">
        <x:v>buy.stripe.com</x:v>
      </x:c>
      <x:c r="B66" s="19" t="str">
        <x:v>专用支付/结账入口</x:v>
      </x:c>
      <x:c r="C66" s="19" t="str">
        <x:v>高</x:v>
      </x:c>
      <x:c r="D66" s="19" t="str">
        <x:v>Jul 2026</x:v>
      </x:c>
      <x:c r="E66" s="19" t="n">
        <x:v>65</x:v>
      </x:c>
      <x:c r="F66" s="19" t="str">
        <x:v>petwithit.com</x:v>
      </x:c>
      <x:c r="G66" s="19" t="str">
        <x:v>Pet Food and Supplies</x:v>
      </x:c>
      <x:c r="H66" s="19" t="str">
        <x:v>其他/待核查</x:v>
      </x:c>
      <x:c r="I66" s="19" t="str">
        <x:v>保守归类</x:v>
      </x:c>
      <x:c r="J66" s="19" t="n">
        <x:v>1327278</x:v>
      </x:c>
      <x:c r="K66" s="20" t="n">
        <x:v>0.0026</x:v>
      </x:c>
      <x:c r="L66" s="19" t="str">
        <x:v>新出现</x:v>
      </x:c>
      <x:c r="M66" s="20"/>
      <x:c r="N66" s="21" t="n">
        <x:v>2716000</x:v>
      </x:c>
      <x:c r="O66" s="21" t="n">
        <x:v>7062</x:v>
      </x:c>
      <x:c r="P66" s="21" t="n">
        <x:f>ROUND(N66*K66,0)</x:f>
        <x:v>7062</x:v>
      </x:c>
      <x:c r="Q66" s="19" t="str">
        <x:v>否</x:v>
      </x:c>
      <x:c r="R66" s="19" t="str"/>
      <x:c r="S66" s="19" t="n">
        <x:f>IF(Q66="是",0,MIN(10,2+IF(C66="高",2,1)+IF(K66&gt;=3%,3,IF(K66&gt;=1%,2,1))+IF(L66="新出现",2,IF(M66&gt;=100%,3,IF(M66&gt;0,2,0)))))</x:f>
        <x:v>7</x:v>
      </x:c>
      <x:c r="T66" s="21"/>
      <x:c r="U66" s="20"/>
      <x:c r="V66" s="19" t="str">
        <x:v>http://petwithit.com/</x:v>
      </x:c>
      <x:c r="W66" s="19" t="str">
        <x:v>https://pro.similarweb.com/#/digitalsuite/websiteanalysis/referrals/*/999/1m?webSource=Total&amp;selectedTab=incomingTraffic&amp;key=buy.stripe.com</x:v>
      </x:c>
      <x:c r="X66" s="20" t="n">
        <x:f>IF(Q66="是",0,IFERROR(P66/SUMIFS($P$2:$P$964,$A$2:$A$964,A66,$Q$2:$Q$964,"否"),0))</x:f>
        <x:v>0.0044227696859282396</x:v>
      </x:c>
      <x:c r="Y66" s="22" t="str">
        <x:f>IF(OR(M66="",U66=""),"未交叉",IF(M66*U66&gt;0,"同向",IF(M66*U66&lt;0,"背离","一侧持平")))</x:f>
        <x:v>未交叉</x:v>
      </x:c>
    </x:row>
    <x:row r="67">
      <x:c r="A67" s="18" t="str">
        <x:v>buy.stripe.com</x:v>
      </x:c>
      <x:c r="B67" s="19" t="str">
        <x:v>专用支付/结账入口</x:v>
      </x:c>
      <x:c r="C67" s="19" t="str">
        <x:v>高</x:v>
      </x:c>
      <x:c r="D67" s="19" t="str">
        <x:v>Jul 2026</x:v>
      </x:c>
      <x:c r="E67" s="19" t="n">
        <x:v>66</x:v>
      </x:c>
      <x:c r="F67" s="19" t="str">
        <x:v>missingpieces.app</x:v>
      </x:c>
      <x:c r="G67" s="19" t="str">
        <x:v>Unknown</x:v>
      </x:c>
      <x:c r="H67" s="19" t="str">
        <x:v>其他/待核查</x:v>
      </x:c>
      <x:c r="I67" s="19" t="str">
        <x:v>Similarweb 未分类</x:v>
      </x:c>
      <x:c r="J67" s="19" t="n">
        <x:v>2977964</x:v>
      </x:c>
      <x:c r="K67" s="20" t="n">
        <x:v>0.0026</x:v>
      </x:c>
      <x:c r="L67" s="19" t="str">
        <x:v>新出现</x:v>
      </x:c>
      <x:c r="M67" s="20"/>
      <x:c r="N67" s="21" t="n">
        <x:v>2716000</x:v>
      </x:c>
      <x:c r="O67" s="21" t="n">
        <x:v>7062</x:v>
      </x:c>
      <x:c r="P67" s="21" t="n">
        <x:f>ROUND(N67*K67,0)</x:f>
        <x:v>7062</x:v>
      </x:c>
      <x:c r="Q67" s="19" t="str">
        <x:v>否</x:v>
      </x:c>
      <x:c r="R67" s="19" t="str"/>
      <x:c r="S67" s="19" t="n">
        <x:f>IF(Q67="是",0,MIN(10,2+IF(C67="高",2,1)+IF(K67&gt;=3%,3,IF(K67&gt;=1%,2,1))+IF(L67="新出现",2,IF(M67&gt;=100%,3,IF(M67&gt;0,2,0)))))</x:f>
        <x:v>7</x:v>
      </x:c>
      <x:c r="T67" s="21"/>
      <x:c r="U67" s="20"/>
      <x:c r="V67" s="19" t="str">
        <x:v>http://missingpieces.app/</x:v>
      </x:c>
      <x:c r="W67" s="19" t="str">
        <x:v>https://pro.similarweb.com/#/digitalsuite/websiteanalysis/referrals/*/999/1m?webSource=Total&amp;selectedTab=incomingTraffic&amp;key=buy.stripe.com</x:v>
      </x:c>
      <x:c r="X67" s="20" t="n">
        <x:f>IF(Q67="是",0,IFERROR(P67/SUMIFS($P$2:$P$964,$A$2:$A$964,A67,$Q$2:$Q$964,"否"),0))</x:f>
        <x:v>0.0044227696859282396</x:v>
      </x:c>
      <x:c r="Y67" s="22" t="str">
        <x:f>IF(OR(M67="",U67=""),"未交叉",IF(M67*U67&gt;0,"同向",IF(M67*U67&lt;0,"背离","一侧持平")))</x:f>
        <x:v>未交叉</x:v>
      </x:c>
    </x:row>
    <x:row r="68">
      <x:c r="A68" s="18" t="str">
        <x:v>buy.stripe.com</x:v>
      </x:c>
      <x:c r="B68" s="19" t="str">
        <x:v>专用支付/结账入口</x:v>
      </x:c>
      <x:c r="C68" s="19" t="str">
        <x:v>高</x:v>
      </x:c>
      <x:c r="D68" s="19" t="str">
        <x:v>Jul 2026</x:v>
      </x:c>
      <x:c r="E68" s="19" t="n">
        <x:v>67</x:v>
      </x:c>
      <x:c r="F68" s="19" t="str">
        <x:v>collegemathieu.sk.ca</x:v>
      </x:c>
      <x:c r="G68" s="19" t="str">
        <x:v>Unknown</x:v>
      </x:c>
      <x:c r="H68" s="19" t="str">
        <x:v>其他/待核查</x:v>
      </x:c>
      <x:c r="I68" s="19" t="str">
        <x:v>Similarweb 未分类</x:v>
      </x:c>
      <x:c r="J68" s="19" t="n">
        <x:v>1536898</x:v>
      </x:c>
      <x:c r="K68" s="20" t="n">
        <x:v>0.0026</x:v>
      </x:c>
      <x:c r="L68" s="19" t="str">
        <x:v>新出现</x:v>
      </x:c>
      <x:c r="M68" s="20"/>
      <x:c r="N68" s="21" t="n">
        <x:v>2716000</x:v>
      </x:c>
      <x:c r="O68" s="21" t="n">
        <x:v>7062</x:v>
      </x:c>
      <x:c r="P68" s="21" t="n">
        <x:f>ROUND(N68*K68,0)</x:f>
        <x:v>7062</x:v>
      </x:c>
      <x:c r="Q68" s="19" t="str">
        <x:v>否</x:v>
      </x:c>
      <x:c r="R68" s="19" t="str"/>
      <x:c r="S68" s="19" t="n">
        <x:f>IF(Q68="是",0,MIN(10,2+IF(C68="高",2,1)+IF(K68&gt;=3%,3,IF(K68&gt;=1%,2,1))+IF(L68="新出现",2,IF(M68&gt;=100%,3,IF(M68&gt;0,2,0)))))</x:f>
        <x:v>7</x:v>
      </x:c>
      <x:c r="T68" s="21"/>
      <x:c r="U68" s="20"/>
      <x:c r="V68" s="19" t="str">
        <x:v>http://collegemathieu.sk.ca/</x:v>
      </x:c>
      <x:c r="W68" s="19" t="str">
        <x:v>https://pro.similarweb.com/#/digitalsuite/websiteanalysis/referrals/*/999/1m?webSource=Total&amp;selectedTab=incomingTraffic&amp;key=buy.stripe.com</x:v>
      </x:c>
      <x:c r="X68" s="20" t="n">
        <x:f>IF(Q68="是",0,IFERROR(P68/SUMIFS($P$2:$P$964,$A$2:$A$964,A68,$Q$2:$Q$964,"否"),0))</x:f>
        <x:v>0.0044227696859282396</x:v>
      </x:c>
      <x:c r="Y68" s="22" t="str">
        <x:f>IF(OR(M68="",U68=""),"未交叉",IF(M68*U68&gt;0,"同向",IF(M68*U68&lt;0,"背离","一侧持平")))</x:f>
        <x:v>未交叉</x:v>
      </x:c>
    </x:row>
    <x:row r="69">
      <x:c r="A69" s="18" t="str">
        <x:v>buy.stripe.com</x:v>
      </x:c>
      <x:c r="B69" s="19" t="str">
        <x:v>专用支付/结账入口</x:v>
      </x:c>
      <x:c r="C69" s="19" t="str">
        <x:v>高</x:v>
      </x:c>
      <x:c r="D69" s="19" t="str">
        <x:v>Jul 2026</x:v>
      </x:c>
      <x:c r="E69" s="19" t="n">
        <x:v>68</x:v>
      </x:c>
      <x:c r="F69" s="19" t="str">
        <x:v>jetztverweigern.de</x:v>
      </x:c>
      <x:c r="G69" s="19" t="str">
        <x:v>Unknown</x:v>
      </x:c>
      <x:c r="H69" s="19" t="str">
        <x:v>其他/待核查</x:v>
      </x:c>
      <x:c r="I69" s="19" t="str">
        <x:v>Similarweb 未分类</x:v>
      </x:c>
      <x:c r="J69" s="19" t="n">
        <x:v>1816299</x:v>
      </x:c>
      <x:c r="K69" s="20" t="n">
        <x:v>0.0026</x:v>
      </x:c>
      <x:c r="L69" s="19" t="str">
        <x:v>新出现</x:v>
      </x:c>
      <x:c r="M69" s="20"/>
      <x:c r="N69" s="21" t="n">
        <x:v>2716000</x:v>
      </x:c>
      <x:c r="O69" s="21" t="n">
        <x:v>7062</x:v>
      </x:c>
      <x:c r="P69" s="21" t="n">
        <x:f>ROUND(N69*K69,0)</x:f>
        <x:v>7062</x:v>
      </x:c>
      <x:c r="Q69" s="19" t="str">
        <x:v>否</x:v>
      </x:c>
      <x:c r="R69" s="19" t="str"/>
      <x:c r="S69" s="19" t="n">
        <x:f>IF(Q69="是",0,MIN(10,2+IF(C69="高",2,1)+IF(K69&gt;=3%,3,IF(K69&gt;=1%,2,1))+IF(L69="新出现",2,IF(M69&gt;=100%,3,IF(M69&gt;0,2,0)))))</x:f>
        <x:v>7</x:v>
      </x:c>
      <x:c r="T69" s="21"/>
      <x:c r="U69" s="20"/>
      <x:c r="V69" s="19" t="str">
        <x:v>http://jetztverweigern.de/</x:v>
      </x:c>
      <x:c r="W69" s="19" t="str">
        <x:v>https://pro.similarweb.com/#/digitalsuite/websiteanalysis/referrals/*/999/1m?webSource=Total&amp;selectedTab=incomingTraffic&amp;key=buy.stripe.com</x:v>
      </x:c>
      <x:c r="X69" s="20" t="n">
        <x:f>IF(Q69="是",0,IFERROR(P69/SUMIFS($P$2:$P$964,$A$2:$A$964,A69,$Q$2:$Q$964,"否"),0))</x:f>
        <x:v>0.0044227696859282396</x:v>
      </x:c>
      <x:c r="Y69" s="22" t="str">
        <x:f>IF(OR(M69="",U69=""),"未交叉",IF(M69*U69&gt;0,"同向",IF(M69*U69&lt;0,"背离","一侧持平")))</x:f>
        <x:v>未交叉</x:v>
      </x:c>
    </x:row>
    <x:row r="70">
      <x:c r="A70" s="18" t="str">
        <x:v>buy.stripe.com</x:v>
      </x:c>
      <x:c r="B70" s="19" t="str">
        <x:v>专用支付/结账入口</x:v>
      </x:c>
      <x:c r="C70" s="19" t="str">
        <x:v>高</x:v>
      </x:c>
      <x:c r="D70" s="19" t="str">
        <x:v>Jul 2026</x:v>
      </x:c>
      <x:c r="E70" s="19" t="n">
        <x:v>69</x:v>
      </x:c>
      <x:c r="F70" s="19" t="str">
        <x:v>30x.com</x:v>
      </x:c>
      <x:c r="G70" s="19" t="str">
        <x:v>Unknown</x:v>
      </x:c>
      <x:c r="H70" s="19" t="str">
        <x:v>其他/待核查</x:v>
      </x:c>
      <x:c r="I70" s="19" t="str">
        <x:v>Similarweb 未分类</x:v>
      </x:c>
      <x:c r="J70" s="19" t="n">
        <x:v>765357</x:v>
      </x:c>
      <x:c r="K70" s="20" t="n">
        <x:v>0.0025</x:v>
      </x:c>
      <x:c r="L70" s="19" t="str">
        <x:v>上升</x:v>
      </x:c>
      <x:c r="M70" s="20" t="n">
        <x:v>9.9976</x:v>
      </x:c>
      <x:c r="N70" s="21" t="n">
        <x:v>2716000</x:v>
      </x:c>
      <x:c r="O70" s="21" t="n">
        <x:v>6790</x:v>
      </x:c>
      <x:c r="P70" s="21" t="n">
        <x:f>ROUND(N70*K70,0)</x:f>
        <x:v>6790</x:v>
      </x:c>
      <x:c r="Q70" s="19" t="str">
        <x:v>否</x:v>
      </x:c>
      <x:c r="R70" s="19" t="str"/>
      <x:c r="S70" s="19" t="n">
        <x:f>IF(Q70="是",0,MIN(10,2+IF(C70="高",2,1)+IF(K70&gt;=3%,3,IF(K70&gt;=1%,2,1))+IF(L70="新出现",2,IF(M70&gt;=100%,3,IF(M70&gt;0,2,0)))))</x:f>
        <x:v>8</x:v>
      </x:c>
      <x:c r="T70" s="21"/>
      <x:c r="U70" s="20"/>
      <x:c r="V70" s="19" t="str">
        <x:v>http://30x.com/</x:v>
      </x:c>
      <x:c r="W70" s="19" t="str">
        <x:v>https://pro.similarweb.com/#/digitalsuite/websiteanalysis/referrals/*/999/1m?webSource=Total&amp;selectedTab=incomingTraffic&amp;key=buy.stripe.com</x:v>
      </x:c>
      <x:c r="X70" s="20" t="n">
        <x:f>IF(Q70="是",0,IFERROR(P70/SUMIFS($P$2:$P$964,$A$2:$A$964,A70,$Q$2:$Q$964,"否"),0))</x:f>
        <x:v>0.00425242228369481</x:v>
      </x:c>
      <x:c r="Y70" s="22" t="str">
        <x:f>IF(OR(M70="",U70=""),"未交叉",IF(M70*U70&gt;0,"同向",IF(M70*U70&lt;0,"背离","一侧持平")))</x:f>
        <x:v>未交叉</x:v>
      </x:c>
    </x:row>
    <x:row r="71">
      <x:c r="A71" s="18" t="str">
        <x:v>buy.stripe.com</x:v>
      </x:c>
      <x:c r="B71" s="19" t="str">
        <x:v>专用支付/结账入口</x:v>
      </x:c>
      <x:c r="C71" s="19" t="str">
        <x:v>高</x:v>
      </x:c>
      <x:c r="D71" s="19" t="str">
        <x:v>Jul 2026</x:v>
      </x:c>
      <x:c r="E71" s="19" t="n">
        <x:v>70</x:v>
      </x:c>
      <x:c r="F71" s="19" t="str">
        <x:v>storiesig.info</x:v>
      </x:c>
      <x:c r="G71" s="19" t="str">
        <x:v>Adult</x:v>
      </x:c>
      <x:c r="H71" s="19" t="str">
        <x:v>其他/待核查</x:v>
      </x:c>
      <x:c r="I71" s="19" t="str">
        <x:v>保守归类</x:v>
      </x:c>
      <x:c r="J71" s="19" t="n">
        <x:v>1687</x:v>
      </x:c>
      <x:c r="K71" s="20" t="n">
        <x:v>0.0025</x:v>
      </x:c>
      <x:c r="L71" s="19" t="str">
        <x:v>下降</x:v>
      </x:c>
      <x:c r="M71" s="20" t="n">
        <x:v>-0.1714</x:v>
      </x:c>
      <x:c r="N71" s="21" t="n">
        <x:v>2716000</x:v>
      </x:c>
      <x:c r="O71" s="21" t="n">
        <x:v>6790</x:v>
      </x:c>
      <x:c r="P71" s="21" t="n">
        <x:f>ROUND(N71*K71,0)</x:f>
        <x:v>6790</x:v>
      </x:c>
      <x:c r="Q71" s="19" t="str">
        <x:v>否</x:v>
      </x:c>
      <x:c r="R71" s="19" t="str"/>
      <x:c r="S71" s="19" t="n">
        <x:f>IF(Q71="是",0,MIN(10,2+IF(C71="高",2,1)+IF(K71&gt;=3%,3,IF(K71&gt;=1%,2,1))+IF(L71="新出现",2,IF(M71&gt;=100%,3,IF(M71&gt;0,2,0)))))</x:f>
        <x:v>5</x:v>
      </x:c>
      <x:c r="T71" s="21"/>
      <x:c r="U71" s="20"/>
      <x:c r="V71" s="19" t="str">
        <x:v>http://storiesig.info/</x:v>
      </x:c>
      <x:c r="W71" s="19" t="str">
        <x:v>https://pro.similarweb.com/#/digitalsuite/websiteanalysis/referrals/*/999/1m?webSource=Total&amp;selectedTab=incomingTraffic&amp;key=buy.stripe.com</x:v>
      </x:c>
      <x:c r="X71" s="20" t="n">
        <x:f>IF(Q71="是",0,IFERROR(P71/SUMIFS($P$2:$P$964,$A$2:$A$964,A71,$Q$2:$Q$964,"否"),0))</x:f>
        <x:v>0.00425242228369481</x:v>
      </x:c>
      <x:c r="Y71" s="22" t="str">
        <x:f>IF(OR(M71="",U71=""),"未交叉",IF(M71*U71&gt;0,"同向",IF(M71*U71&lt;0,"背离","一侧持平")))</x:f>
        <x:v>未交叉</x:v>
      </x:c>
    </x:row>
    <x:row r="72">
      <x:c r="A72" s="18" t="str">
        <x:v>buy.stripe.com</x:v>
      </x:c>
      <x:c r="B72" s="19" t="str">
        <x:v>专用支付/结账入口</x:v>
      </x:c>
      <x:c r="C72" s="19" t="str">
        <x:v>高</x:v>
      </x:c>
      <x:c r="D72" s="19" t="str">
        <x:v>Jul 2026</x:v>
      </x:c>
      <x:c r="E72" s="19" t="n">
        <x:v>71</x:v>
      </x:c>
      <x:c r="F72" s="19" t="str">
        <x:v>vantage.acquisition.com</x:v>
      </x:c>
      <x:c r="G72" s="19" t="str">
        <x:v>Graphics Multimedia and Web Design</x:v>
      </x:c>
      <x:c r="H72" s="19" t="str">
        <x:v>创作、设计与多媒体工具</x:v>
      </x:c>
      <x:c r="I72" s="19" t="str">
        <x:v>Similarweb 行业映射</x:v>
      </x:c>
      <x:c r="J72" s="19"/>
      <x:c r="K72" s="20" t="n">
        <x:v>0.0025</x:v>
      </x:c>
      <x:c r="L72" s="19" t="str">
        <x:v>新出现</x:v>
      </x:c>
      <x:c r="M72" s="20"/>
      <x:c r="N72" s="21" t="n">
        <x:v>2716000</x:v>
      </x:c>
      <x:c r="O72" s="21" t="n">
        <x:v>6790</x:v>
      </x:c>
      <x:c r="P72" s="21" t="n">
        <x:f>ROUND(N72*K72,0)</x:f>
        <x:v>6790</x:v>
      </x:c>
      <x:c r="Q72" s="19" t="str">
        <x:v>否</x:v>
      </x:c>
      <x:c r="R72" s="19" t="str"/>
      <x:c r="S72" s="19" t="n">
        <x:f>IF(Q72="是",0,MIN(10,2+IF(C72="高",2,1)+IF(K72&gt;=3%,3,IF(K72&gt;=1%,2,1))+IF(L72="新出现",2,IF(M72&gt;=100%,3,IF(M72&gt;0,2,0)))))</x:f>
        <x:v>7</x:v>
      </x:c>
      <x:c r="T72" s="21"/>
      <x:c r="U72" s="20"/>
      <x:c r="V72" s="19" t="str">
        <x:v>http://vantage.acquisition.com/</x:v>
      </x:c>
      <x:c r="W72" s="19" t="str">
        <x:v>https://pro.similarweb.com/#/digitalsuite/websiteanalysis/referrals/*/999/1m?webSource=Total&amp;selectedTab=incomingTraffic&amp;key=buy.stripe.com</x:v>
      </x:c>
      <x:c r="X72" s="20" t="n">
        <x:f>IF(Q72="是",0,IFERROR(P72/SUMIFS($P$2:$P$964,$A$2:$A$964,A72,$Q$2:$Q$964,"否"),0))</x:f>
        <x:v>0.00425242228369481</x:v>
      </x:c>
      <x:c r="Y72" s="22" t="str">
        <x:f>IF(OR(M72="",U72=""),"未交叉",IF(M72*U72&gt;0,"同向",IF(M72*U72&lt;0,"背离","一侧持平")))</x:f>
        <x:v>未交叉</x:v>
      </x:c>
    </x:row>
    <x:row r="73">
      <x:c r="A73" s="18" t="str">
        <x:v>buy.stripe.com</x:v>
      </x:c>
      <x:c r="B73" s="19" t="str">
        <x:v>专用支付/结账入口</x:v>
      </x:c>
      <x:c r="C73" s="19" t="str">
        <x:v>高</x:v>
      </x:c>
      <x:c r="D73" s="19" t="str">
        <x:v>Jul 2026</x:v>
      </x:c>
      <x:c r="E73" s="19" t="n">
        <x:v>72</x:v>
      </x:c>
      <x:c r="F73" s="19" t="str">
        <x:v>tinyproject.org</x:v>
      </x:c>
      <x:c r="G73" s="19" t="str">
        <x:v>Unknown</x:v>
      </x:c>
      <x:c r="H73" s="19" t="str">
        <x:v>其他/待核查</x:v>
      </x:c>
      <x:c r="I73" s="19" t="str">
        <x:v>Similarweb 未分类</x:v>
      </x:c>
      <x:c r="J73" s="19" t="n">
        <x:v>1413716</x:v>
      </x:c>
      <x:c r="K73" s="20" t="n">
        <x:v>0.0023</x:v>
      </x:c>
      <x:c r="L73" s="19" t="str">
        <x:v>上升</x:v>
      </x:c>
      <x:c r="M73" s="20" t="n">
        <x:v>0.528</x:v>
      </x:c>
      <x:c r="N73" s="21" t="n">
        <x:v>2716000</x:v>
      </x:c>
      <x:c r="O73" s="21" t="n">
        <x:v>6247</x:v>
      </x:c>
      <x:c r="P73" s="21" t="n">
        <x:f>ROUND(N73*K73,0)</x:f>
        <x:v>6247</x:v>
      </x:c>
      <x:c r="Q73" s="19" t="str">
        <x:v>否</x:v>
      </x:c>
      <x:c r="R73" s="19" t="str"/>
      <x:c r="S73" s="19" t="n">
        <x:f>IF(Q73="是",0,MIN(10,2+IF(C73="高",2,1)+IF(K73&gt;=3%,3,IF(K73&gt;=1%,2,1))+IF(L73="新出现",2,IF(M73&gt;=100%,3,IF(M73&gt;0,2,0)))))</x:f>
        <x:v>7</x:v>
      </x:c>
      <x:c r="T73" s="21"/>
      <x:c r="U73" s="20"/>
      <x:c r="V73" s="19" t="str">
        <x:v>http://tinyproject.org/</x:v>
      </x:c>
      <x:c r="W73" s="19" t="str">
        <x:v>https://pro.similarweb.com/#/digitalsuite/websiteanalysis/referrals/*/999/1m?webSource=Total&amp;selectedTab=incomingTraffic&amp;key=buy.stripe.com</x:v>
      </x:c>
      <x:c r="X73" s="20" t="n">
        <x:f>IF(Q73="是",0,IFERROR(P73/SUMIFS($P$2:$P$964,$A$2:$A$964,A73,$Q$2:$Q$964,"否"),0))</x:f>
        <x:v>0.003912353756442044</x:v>
      </x:c>
      <x:c r="Y73" s="22" t="str">
        <x:f>IF(OR(M73="",U73=""),"未交叉",IF(M73*U73&gt;0,"同向",IF(M73*U73&lt;0,"背离","一侧持平")))</x:f>
        <x:v>未交叉</x:v>
      </x:c>
    </x:row>
    <x:row r="74">
      <x:c r="A74" s="18" t="str">
        <x:v>buy.stripe.com</x:v>
      </x:c>
      <x:c r="B74" s="19" t="str">
        <x:v>专用支付/结账入口</x:v>
      </x:c>
      <x:c r="C74" s="19" t="str">
        <x:v>高</x:v>
      </x:c>
      <x:c r="D74" s="19" t="str">
        <x:v>Jul 2026</x:v>
      </x:c>
      <x:c r="E74" s="19" t="n">
        <x:v>73</x:v>
      </x:c>
      <x:c r="F74" s="19" t="str">
        <x:v>redirect-euw1.ppro.com</x:v>
      </x:c>
      <x:c r="G74" s="19" t="str">
        <x:v>Classifieds</x:v>
      </x:c>
      <x:c r="H74" s="19" t="str">
        <x:v>其他/待核查</x:v>
      </x:c>
      <x:c r="I74" s="19" t="str">
        <x:v>保守归类</x:v>
      </x:c>
      <x:c r="J74" s="19"/>
      <x:c r="K74" s="20" t="n">
        <x:v>0.0022</x:v>
      </x:c>
      <x:c r="L74" s="19" t="str">
        <x:v>新出现</x:v>
      </x:c>
      <x:c r="M74" s="20"/>
      <x:c r="N74" s="21" t="n">
        <x:v>2716000</x:v>
      </x:c>
      <x:c r="O74" s="21" t="n">
        <x:v>5975</x:v>
      </x:c>
      <x:c r="P74" s="21" t="n">
        <x:f>ROUND(N74*K74,0)</x:f>
        <x:v>5975</x:v>
      </x:c>
      <x:c r="Q74" s="19" t="str">
        <x:v>否</x:v>
      </x:c>
      <x:c r="R74" s="19" t="str"/>
      <x:c r="S74" s="19" t="n">
        <x:f>IF(Q74="是",0,MIN(10,2+IF(C74="高",2,1)+IF(K74&gt;=3%,3,IF(K74&gt;=1%,2,1))+IF(L74="新出现",2,IF(M74&gt;=100%,3,IF(M74&gt;0,2,0)))))</x:f>
        <x:v>7</x:v>
      </x:c>
      <x:c r="T74" s="21"/>
      <x:c r="U74" s="20"/>
      <x:c r="V74" s="19" t="str">
        <x:v>http://redirect-euw1.ppro.com/</x:v>
      </x:c>
      <x:c r="W74" s="19" t="str">
        <x:v>https://pro.similarweb.com/#/digitalsuite/websiteanalysis/referrals/*/999/1m?webSource=Total&amp;selectedTab=incomingTraffic&amp;key=buy.stripe.com</x:v>
      </x:c>
      <x:c r="X74" s="20" t="n">
        <x:f>IF(Q74="是",0,IFERROR(P74/SUMIFS($P$2:$P$964,$A$2:$A$964,A74,$Q$2:$Q$964,"否"),0))</x:f>
        <x:v>0.0037420063542086142</x:v>
      </x:c>
      <x:c r="Y74" s="22" t="str">
        <x:f>IF(OR(M74="",U74=""),"未交叉",IF(M74*U74&gt;0,"同向",IF(M74*U74&lt;0,"背离","一侧持平")))</x:f>
        <x:v>未交叉</x:v>
      </x:c>
    </x:row>
    <x:row r="75">
      <x:c r="A75" s="18" t="str">
        <x:v>buy.stripe.com</x:v>
      </x:c>
      <x:c r="B75" s="19" t="str">
        <x:v>专用支付/结账入口</x:v>
      </x:c>
      <x:c r="C75" s="19" t="str">
        <x:v>高</x:v>
      </x:c>
      <x:c r="D75" s="19" t="str">
        <x:v>Jul 2026</x:v>
      </x:c>
      <x:c r="E75" s="19" t="n">
        <x:v>74</x:v>
      </x:c>
      <x:c r="F75" s="19" t="str">
        <x:v>delivrdto.me</x:v>
      </x:c>
      <x:c r="G75" s="19" t="str">
        <x:v>Automotive Industry</x:v>
      </x:c>
      <x:c r="H75" s="19" t="str">
        <x:v>其他/待核查</x:v>
      </x:c>
      <x:c r="I75" s="19" t="str">
        <x:v>保守归类</x:v>
      </x:c>
      <x:c r="J75" s="19" t="n">
        <x:v>267930</x:v>
      </x:c>
      <x:c r="K75" s="20" t="n">
        <x:v>0.0022</x:v>
      </x:c>
      <x:c r="L75" s="19" t="str">
        <x:v>下降</x:v>
      </x:c>
      <x:c r="M75" s="20" t="n">
        <x:v>-0.3457</x:v>
      </x:c>
      <x:c r="N75" s="21" t="n">
        <x:v>2716000</x:v>
      </x:c>
      <x:c r="O75" s="21" t="n">
        <x:v>5975</x:v>
      </x:c>
      <x:c r="P75" s="21" t="n">
        <x:f>ROUND(N75*K75,0)</x:f>
        <x:v>5975</x:v>
      </x:c>
      <x:c r="Q75" s="19" t="str">
        <x:v>否</x:v>
      </x:c>
      <x:c r="R75" s="19" t="str"/>
      <x:c r="S75" s="19" t="n">
        <x:f>IF(Q75="是",0,MIN(10,2+IF(C75="高",2,1)+IF(K75&gt;=3%,3,IF(K75&gt;=1%,2,1))+IF(L75="新出现",2,IF(M75&gt;=100%,3,IF(M75&gt;0,2,0)))))</x:f>
        <x:v>5</x:v>
      </x:c>
      <x:c r="T75" s="21"/>
      <x:c r="U75" s="20"/>
      <x:c r="V75" s="19" t="str">
        <x:v>http://delivrdto.me/</x:v>
      </x:c>
      <x:c r="W75" s="19" t="str">
        <x:v>https://pro.similarweb.com/#/digitalsuite/websiteanalysis/referrals/*/999/1m?webSource=Total&amp;selectedTab=incomingTraffic&amp;key=buy.stripe.com</x:v>
      </x:c>
      <x:c r="X75" s="20" t="n">
        <x:f>IF(Q75="是",0,IFERROR(P75/SUMIFS($P$2:$P$964,$A$2:$A$964,A75,$Q$2:$Q$964,"否"),0))</x:f>
        <x:v>0.0037420063542086142</x:v>
      </x:c>
      <x:c r="Y75" s="22" t="str">
        <x:f>IF(OR(M75="",U75=""),"未交叉",IF(M75*U75&gt;0,"同向",IF(M75*U75&lt;0,"背离","一侧持平")))</x:f>
        <x:v>未交叉</x:v>
      </x:c>
    </x:row>
    <x:row r="76">
      <x:c r="A76" s="18" t="str">
        <x:v>buy.stripe.com</x:v>
      </x:c>
      <x:c r="B76" s="19" t="str">
        <x:v>专用支付/结账入口</x:v>
      </x:c>
      <x:c r="C76" s="19" t="str">
        <x:v>高</x:v>
      </x:c>
      <x:c r="D76" s="19" t="str">
        <x:v>Jul 2026</x:v>
      </x:c>
      <x:c r="E76" s="19" t="n">
        <x:v>75</x:v>
      </x:c>
      <x:c r="F76" s="19" t="str">
        <x:v>t.me</x:v>
      </x:c>
      <x:c r="G76" s="19" t="str">
        <x:v>Computers Electronics and Technology</x:v>
      </x:c>
      <x:c r="H76" s="19" t="str">
        <x:v>通用数字产品与技术服务</x:v>
      </x:c>
      <x:c r="I76" s="19" t="str">
        <x:v>Similarweb 行业映射</x:v>
      </x:c>
      <x:c r="J76" s="19" t="n">
        <x:v>72</x:v>
      </x:c>
      <x:c r="K76" s="20" t="n">
        <x:v>0.0022</x:v>
      </x:c>
      <x:c r="L76" s="19" t="str">
        <x:v>上升</x:v>
      </x:c>
      <x:c r="M76" s="20" t="n">
        <x:v>0.0584</x:v>
      </x:c>
      <x:c r="N76" s="21" t="n">
        <x:v>2716000</x:v>
      </x:c>
      <x:c r="O76" s="21" t="n">
        <x:v>5975</x:v>
      </x:c>
      <x:c r="P76" s="21" t="n">
        <x:f>ROUND(N76*K76,0)</x:f>
        <x:v>5975</x:v>
      </x:c>
      <x:c r="Q76" s="19" t="str">
        <x:v>否</x:v>
      </x:c>
      <x:c r="R76" s="19" t="str"/>
      <x:c r="S76" s="19" t="n">
        <x:f>IF(Q76="是",0,MIN(10,2+IF(C76="高",2,1)+IF(K76&gt;=3%,3,IF(K76&gt;=1%,2,1))+IF(L76="新出现",2,IF(M76&gt;=100%,3,IF(M76&gt;0,2,0)))))</x:f>
        <x:v>7</x:v>
      </x:c>
      <x:c r="T76" s="21"/>
      <x:c r="U76" s="20"/>
      <x:c r="V76" s="19" t="str">
        <x:v>http://t.me/</x:v>
      </x:c>
      <x:c r="W76" s="19" t="str">
        <x:v>https://pro.similarweb.com/#/digitalsuite/websiteanalysis/referrals/*/999/1m?webSource=Total&amp;selectedTab=incomingTraffic&amp;key=buy.stripe.com</x:v>
      </x:c>
      <x:c r="X76" s="20" t="n">
        <x:f>IF(Q76="是",0,IFERROR(P76/SUMIFS($P$2:$P$964,$A$2:$A$964,A76,$Q$2:$Q$964,"否"),0))</x:f>
        <x:v>0.0037420063542086142</x:v>
      </x:c>
      <x:c r="Y76" s="22" t="str">
        <x:f>IF(OR(M76="",U76=""),"未交叉",IF(M76*U76&gt;0,"同向",IF(M76*U76&lt;0,"背离","一侧持平")))</x:f>
        <x:v>未交叉</x:v>
      </x:c>
    </x:row>
    <x:row r="77">
      <x:c r="A77" s="18" t="str">
        <x:v>buy.stripe.com</x:v>
      </x:c>
      <x:c r="B77" s="19" t="str">
        <x:v>专用支付/结账入口</x:v>
      </x:c>
      <x:c r="C77" s="19" t="str">
        <x:v>高</x:v>
      </x:c>
      <x:c r="D77" s="19" t="str">
        <x:v>Jul 2026</x:v>
      </x:c>
      <x:c r="E77" s="19" t="n">
        <x:v>76</x:v>
      </x:c>
      <x:c r="F77" s="19" t="str">
        <x:v>narcissistsplaybook.com</x:v>
      </x:c>
      <x:c r="G77" s="19" t="str">
        <x:v>Unknown</x:v>
      </x:c>
      <x:c r="H77" s="19" t="str">
        <x:v>其他/待核查</x:v>
      </x:c>
      <x:c r="I77" s="19" t="str">
        <x:v>Similarweb 未分类</x:v>
      </x:c>
      <x:c r="J77" s="19" t="n">
        <x:v>363617</x:v>
      </x:c>
      <x:c r="K77" s="20" t="n">
        <x:v>0.0022</x:v>
      </x:c>
      <x:c r="L77" s="19" t="str">
        <x:v>新出现</x:v>
      </x:c>
      <x:c r="M77" s="20"/>
      <x:c r="N77" s="21" t="n">
        <x:v>2716000</x:v>
      </x:c>
      <x:c r="O77" s="21" t="n">
        <x:v>5975</x:v>
      </x:c>
      <x:c r="P77" s="21" t="n">
        <x:f>ROUND(N77*K77,0)</x:f>
        <x:v>5975</x:v>
      </x:c>
      <x:c r="Q77" s="19" t="str">
        <x:v>否</x:v>
      </x:c>
      <x:c r="R77" s="19" t="str"/>
      <x:c r="S77" s="19" t="n">
        <x:f>IF(Q77="是",0,MIN(10,2+IF(C77="高",2,1)+IF(K77&gt;=3%,3,IF(K77&gt;=1%,2,1))+IF(L77="新出现",2,IF(M77&gt;=100%,3,IF(M77&gt;0,2,0)))))</x:f>
        <x:v>7</x:v>
      </x:c>
      <x:c r="T77" s="21"/>
      <x:c r="U77" s="20"/>
      <x:c r="V77" s="19" t="str">
        <x:v>http://narcissistsplaybook.com/</x:v>
      </x:c>
      <x:c r="W77" s="19" t="str">
        <x:v>https://pro.similarweb.com/#/digitalsuite/websiteanalysis/referrals/*/999/1m?webSource=Total&amp;selectedTab=incomingTraffic&amp;key=buy.stripe.com</x:v>
      </x:c>
      <x:c r="X77" s="20" t="n">
        <x:f>IF(Q77="是",0,IFERROR(P77/SUMIFS($P$2:$P$964,$A$2:$A$964,A77,$Q$2:$Q$964,"否"),0))</x:f>
        <x:v>0.0037420063542086142</x:v>
      </x:c>
      <x:c r="Y77" s="22" t="str">
        <x:f>IF(OR(M77="",U77=""),"未交叉",IF(M77*U77&gt;0,"同向",IF(M77*U77&lt;0,"背离","一侧持平")))</x:f>
        <x:v>未交叉</x:v>
      </x:c>
    </x:row>
    <x:row r="78">
      <x:c r="A78" s="18" t="str">
        <x:v>buy.stripe.com</x:v>
      </x:c>
      <x:c r="B78" s="19" t="str">
        <x:v>专用支付/结账入口</x:v>
      </x:c>
      <x:c r="C78" s="19" t="str">
        <x:v>高</x:v>
      </x:c>
      <x:c r="D78" s="19" t="str">
        <x:v>Jul 2026</x:v>
      </x:c>
      <x:c r="E78" s="19" t="n">
        <x:v>77</x:v>
      </x:c>
      <x:c r="F78" s="19" t="str">
        <x:v>susano.re</x:v>
      </x:c>
      <x:c r="G78" s="19" t="str">
        <x:v>Video Games Consoles and Accessories</x:v>
      </x:c>
      <x:c r="H78" s="19" t="str">
        <x:v>游戏、数字商品与虚拟内容</x:v>
      </x:c>
      <x:c r="I78" s="19" t="str">
        <x:v>Similarweb 行业映射</x:v>
      </x:c>
      <x:c r="J78" s="19" t="n">
        <x:v>427354</x:v>
      </x:c>
      <x:c r="K78" s="20" t="n">
        <x:v>0.0021</x:v>
      </x:c>
      <x:c r="L78" s="19" t="str">
        <x:v>上升</x:v>
      </x:c>
      <x:c r="M78" s="20" t="n">
        <x:v>0.5981000000000001</x:v>
      </x:c>
      <x:c r="N78" s="21" t="n">
        <x:v>2716000</x:v>
      </x:c>
      <x:c r="O78" s="21" t="n">
        <x:v>5704</x:v>
      </x:c>
      <x:c r="P78" s="21" t="n">
        <x:f>ROUND(N78*K78,0)</x:f>
        <x:v>5704</x:v>
      </x:c>
      <x:c r="Q78" s="19" t="str">
        <x:v>否</x:v>
      </x:c>
      <x:c r="R78" s="19" t="str"/>
      <x:c r="S78" s="19" t="n">
        <x:f>IF(Q78="是",0,MIN(10,2+IF(C78="高",2,1)+IF(K78&gt;=3%,3,IF(K78&gt;=1%,2,1))+IF(L78="新出现",2,IF(M78&gt;=100%,3,IF(M78&gt;0,2,0)))))</x:f>
        <x:v>7</x:v>
      </x:c>
      <x:c r="T78" s="21"/>
      <x:c r="U78" s="20"/>
      <x:c r="V78" s="19" t="str">
        <x:v>http://susano.re/</x:v>
      </x:c>
      <x:c r="W78" s="19" t="str">
        <x:v>https://pro.similarweb.com/#/digitalsuite/websiteanalysis/referrals/*/999/1m?webSource=Total&amp;selectedTab=incomingTraffic&amp;key=buy.stripe.com</x:v>
      </x:c>
      <x:c r="X78" s="20" t="n">
        <x:f>IF(Q78="是",0,IFERROR(P78/SUMIFS($P$2:$P$964,$A$2:$A$964,A78,$Q$2:$Q$964,"否"),0))</x:f>
        <x:v>0.003572285229189278</x:v>
      </x:c>
      <x:c r="Y78" s="22" t="str">
        <x:f>IF(OR(M78="",U78=""),"未交叉",IF(M78*U78&gt;0,"同向",IF(M78*U78&lt;0,"背离","一侧持平")))</x:f>
        <x:v>未交叉</x:v>
      </x:c>
    </x:row>
    <x:row r="79">
      <x:c r="A79" s="18" t="str">
        <x:v>buy.stripe.com</x:v>
      </x:c>
      <x:c r="B79" s="19" t="str">
        <x:v>专用支付/结账入口</x:v>
      </x:c>
      <x:c r="C79" s="19" t="str">
        <x:v>高</x:v>
      </x:c>
      <x:c r="D79" s="19" t="str">
        <x:v>Jul 2026</x:v>
      </x:c>
      <x:c r="E79" s="19" t="n">
        <x:v>78</x:v>
      </x:c>
      <x:c r="F79" s="19" t="str">
        <x:v>kittyguide.online</x:v>
      </x:c>
      <x:c r="G79" s="19" t="str">
        <x:v>Unknown</x:v>
      </x:c>
      <x:c r="H79" s="19" t="str">
        <x:v>其他/待核查</x:v>
      </x:c>
      <x:c r="I79" s="19" t="str">
        <x:v>Similarweb 未分类</x:v>
      </x:c>
      <x:c r="J79" s="19" t="n">
        <x:v>5800266</x:v>
      </x:c>
      <x:c r="K79" s="20" t="n">
        <x:v>0.002</x:v>
      </x:c>
      <x:c r="L79" s="19" t="str">
        <x:v>下降</x:v>
      </x:c>
      <x:c r="M79" s="20" t="n">
        <x:v>-0.7972</x:v>
      </x:c>
      <x:c r="N79" s="21" t="n">
        <x:v>2716000</x:v>
      </x:c>
      <x:c r="O79" s="21" t="n">
        <x:v>5432</x:v>
      </x:c>
      <x:c r="P79" s="21" t="n">
        <x:f>ROUND(N79*K79,0)</x:f>
        <x:v>5432</x:v>
      </x:c>
      <x:c r="Q79" s="19" t="str">
        <x:v>否</x:v>
      </x:c>
      <x:c r="R79" s="19" t="str"/>
      <x:c r="S79" s="19" t="n">
        <x:f>IF(Q79="是",0,MIN(10,2+IF(C79="高",2,1)+IF(K79&gt;=3%,3,IF(K79&gt;=1%,2,1))+IF(L79="新出现",2,IF(M79&gt;=100%,3,IF(M79&gt;0,2,0)))))</x:f>
        <x:v>5</x:v>
      </x:c>
      <x:c r="T79" s="21"/>
      <x:c r="U79" s="20"/>
      <x:c r="V79" s="19" t="str">
        <x:v>http://kittyguide.online/</x:v>
      </x:c>
      <x:c r="W79" s="19" t="str">
        <x:v>https://pro.similarweb.com/#/digitalsuite/websiteanalysis/referrals/*/999/1m?webSource=Total&amp;selectedTab=incomingTraffic&amp;key=buy.stripe.com</x:v>
      </x:c>
      <x:c r="X79" s="20" t="n">
        <x:f>IF(Q79="是",0,IFERROR(P79/SUMIFS($P$2:$P$964,$A$2:$A$964,A79,$Q$2:$Q$964,"否"),0))</x:f>
        <x:v>0.0034019378269558483</x:v>
      </x:c>
      <x:c r="Y79" s="22" t="str">
        <x:f>IF(OR(M79="",U79=""),"未交叉",IF(M79*U79&gt;0,"同向",IF(M79*U79&lt;0,"背离","一侧持平")))</x:f>
        <x:v>未交叉</x:v>
      </x:c>
    </x:row>
    <x:row r="80">
      <x:c r="A80" s="18" t="str">
        <x:v>buy.stripe.com</x:v>
      </x:c>
      <x:c r="B80" s="19" t="str">
        <x:v>专用支付/结账入口</x:v>
      </x:c>
      <x:c r="C80" s="19" t="str">
        <x:v>高</x:v>
      </x:c>
      <x:c r="D80" s="19" t="str">
        <x:v>Jul 2026</x:v>
      </x:c>
      <x:c r="E80" s="19" t="n">
        <x:v>79</x:v>
      </x:c>
      <x:c r="F80" s="19" t="str">
        <x:v>thejerzgroup.com</x:v>
      </x:c>
      <x:c r="G80" s="19" t="str">
        <x:v>Unknown</x:v>
      </x:c>
      <x:c r="H80" s="19" t="str">
        <x:v>其他/待核查</x:v>
      </x:c>
      <x:c r="I80" s="19" t="str">
        <x:v>Similarweb 未分类</x:v>
      </x:c>
      <x:c r="J80" s="19" t="n">
        <x:v>2233020</x:v>
      </x:c>
      <x:c r="K80" s="20" t="n">
        <x:v>0.002</x:v>
      </x:c>
      <x:c r="L80" s="19" t="str">
        <x:v>下降</x:v>
      </x:c>
      <x:c r="M80" s="20" t="n">
        <x:v>-0.2844</x:v>
      </x:c>
      <x:c r="N80" s="21" t="n">
        <x:v>2716000</x:v>
      </x:c>
      <x:c r="O80" s="21" t="n">
        <x:v>5432</x:v>
      </x:c>
      <x:c r="P80" s="21" t="n">
        <x:f>ROUND(N80*K80,0)</x:f>
        <x:v>5432</x:v>
      </x:c>
      <x:c r="Q80" s="19" t="str">
        <x:v>否</x:v>
      </x:c>
      <x:c r="R80" s="19" t="str"/>
      <x:c r="S80" s="19" t="n">
        <x:f>IF(Q80="是",0,MIN(10,2+IF(C80="高",2,1)+IF(K80&gt;=3%,3,IF(K80&gt;=1%,2,1))+IF(L80="新出现",2,IF(M80&gt;=100%,3,IF(M80&gt;0,2,0)))))</x:f>
        <x:v>5</x:v>
      </x:c>
      <x:c r="T80" s="21"/>
      <x:c r="U80" s="20"/>
      <x:c r="V80" s="19" t="str">
        <x:v>http://thejerzgroup.com/</x:v>
      </x:c>
      <x:c r="W80" s="19" t="str">
        <x:v>https://pro.similarweb.com/#/digitalsuite/websiteanalysis/referrals/*/999/1m?webSource=Total&amp;selectedTab=incomingTraffic&amp;key=buy.stripe.com</x:v>
      </x:c>
      <x:c r="X80" s="20" t="n">
        <x:f>IF(Q80="是",0,IFERROR(P80/SUMIFS($P$2:$P$964,$A$2:$A$964,A80,$Q$2:$Q$964,"否"),0))</x:f>
        <x:v>0.0034019378269558483</x:v>
      </x:c>
      <x:c r="Y80" s="22" t="str">
        <x:f>IF(OR(M80="",U80=""),"未交叉",IF(M80*U80&gt;0,"同向",IF(M80*U80&lt;0,"背离","一侧持平")))</x:f>
        <x:v>未交叉</x:v>
      </x:c>
    </x:row>
    <x:row r="81">
      <x:c r="A81" s="18" t="str">
        <x:v>buy.stripe.com</x:v>
      </x:c>
      <x:c r="B81" s="19" t="str">
        <x:v>专用支付/结账入口</x:v>
      </x:c>
      <x:c r="C81" s="19" t="str">
        <x:v>高</x:v>
      </x:c>
      <x:c r="D81" s="19" t="str">
        <x:v>Jul 2026</x:v>
      </x:c>
      <x:c r="E81" s="19" t="n">
        <x:v>80</x:v>
      </x:c>
      <x:c r="F81" s="19" t="str">
        <x:v>startracing.com.au</x:v>
      </x:c>
      <x:c r="G81" s="19" t="str">
        <x:v>Unknown</x:v>
      </x:c>
      <x:c r="H81" s="19" t="str">
        <x:v>其他/待核查</x:v>
      </x:c>
      <x:c r="I81" s="19" t="str">
        <x:v>Similarweb 未分类</x:v>
      </x:c>
      <x:c r="J81" s="19" t="n">
        <x:v>1246657</x:v>
      </x:c>
      <x:c r="K81" s="20" t="n">
        <x:v>0.002</x:v>
      </x:c>
      <x:c r="L81" s="19" t="str">
        <x:v>新出现</x:v>
      </x:c>
      <x:c r="M81" s="20"/>
      <x:c r="N81" s="21" t="n">
        <x:v>2716000</x:v>
      </x:c>
      <x:c r="O81" s="21" t="n">
        <x:v>5432</x:v>
      </x:c>
      <x:c r="P81" s="21" t="n">
        <x:f>ROUND(N81*K81,0)</x:f>
        <x:v>5432</x:v>
      </x:c>
      <x:c r="Q81" s="19" t="str">
        <x:v>否</x:v>
      </x:c>
      <x:c r="R81" s="19" t="str"/>
      <x:c r="S81" s="19" t="n">
        <x:f>IF(Q81="是",0,MIN(10,2+IF(C81="高",2,1)+IF(K81&gt;=3%,3,IF(K81&gt;=1%,2,1))+IF(L81="新出现",2,IF(M81&gt;=100%,3,IF(M81&gt;0,2,0)))))</x:f>
        <x:v>7</x:v>
      </x:c>
      <x:c r="T81" s="21"/>
      <x:c r="U81" s="20"/>
      <x:c r="V81" s="19" t="str">
        <x:v>http://startracing.com.au/</x:v>
      </x:c>
      <x:c r="W81" s="19" t="str">
        <x:v>https://pro.similarweb.com/#/digitalsuite/websiteanalysis/referrals/*/999/1m?webSource=Total&amp;selectedTab=incomingTraffic&amp;key=buy.stripe.com</x:v>
      </x:c>
      <x:c r="X81" s="20" t="n">
        <x:f>IF(Q81="是",0,IFERROR(P81/SUMIFS($P$2:$P$964,$A$2:$A$964,A81,$Q$2:$Q$964,"否"),0))</x:f>
        <x:v>0.0034019378269558483</x:v>
      </x:c>
      <x:c r="Y81" s="22" t="str">
        <x:f>IF(OR(M81="",U81=""),"未交叉",IF(M81*U81&gt;0,"同向",IF(M81*U81&lt;0,"背离","一侧持平")))</x:f>
        <x:v>未交叉</x:v>
      </x:c>
    </x:row>
    <x:row r="82">
      <x:c r="A82" s="18" t="str">
        <x:v>buy.stripe.com</x:v>
      </x:c>
      <x:c r="B82" s="19" t="str">
        <x:v>专用支付/结账入口</x:v>
      </x:c>
      <x:c r="C82" s="19" t="str">
        <x:v>高</x:v>
      </x:c>
      <x:c r="D82" s="19" t="str">
        <x:v>Jul 2026</x:v>
      </x:c>
      <x:c r="E82" s="19" t="n">
        <x:v>81</x:v>
      </x:c>
      <x:c r="F82" s="19" t="str">
        <x:v>nexusclips.com</x:v>
      </x:c>
      <x:c r="G82" s="19" t="str">
        <x:v>Video Games Consoles and Accessories</x:v>
      </x:c>
      <x:c r="H82" s="19" t="str">
        <x:v>游戏、数字商品与虚拟内容</x:v>
      </x:c>
      <x:c r="I82" s="19" t="str">
        <x:v>Similarweb 行业映射</x:v>
      </x:c>
      <x:c r="J82" s="19" t="n">
        <x:v>148950</x:v>
      </x:c>
      <x:c r="K82" s="20" t="n">
        <x:v>0.002</x:v>
      </x:c>
      <x:c r="L82" s="19" t="str">
        <x:v>下降</x:v>
      </x:c>
      <x:c r="M82" s="20" t="n">
        <x:v>-0.3546</x:v>
      </x:c>
      <x:c r="N82" s="21" t="n">
        <x:v>2716000</x:v>
      </x:c>
      <x:c r="O82" s="21" t="n">
        <x:v>5432</x:v>
      </x:c>
      <x:c r="P82" s="21" t="n">
        <x:f>ROUND(N82*K82,0)</x:f>
        <x:v>5432</x:v>
      </x:c>
      <x:c r="Q82" s="19" t="str">
        <x:v>否</x:v>
      </x:c>
      <x:c r="R82" s="19" t="str"/>
      <x:c r="S82" s="19" t="n">
        <x:f>IF(Q82="是",0,MIN(10,2+IF(C82="高",2,1)+IF(K82&gt;=3%,3,IF(K82&gt;=1%,2,1))+IF(L82="新出现",2,IF(M82&gt;=100%,3,IF(M82&gt;0,2,0)))))</x:f>
        <x:v>5</x:v>
      </x:c>
      <x:c r="T82" s="21"/>
      <x:c r="U82" s="20"/>
      <x:c r="V82" s="19" t="str">
        <x:v>http://nexusclips.com/</x:v>
      </x:c>
      <x:c r="W82" s="19" t="str">
        <x:v>https://pro.similarweb.com/#/digitalsuite/websiteanalysis/referrals/*/999/1m?webSource=Total&amp;selectedTab=incomingTraffic&amp;key=buy.stripe.com</x:v>
      </x:c>
      <x:c r="X82" s="20" t="n">
        <x:f>IF(Q82="是",0,IFERROR(P82/SUMIFS($P$2:$P$964,$A$2:$A$964,A82,$Q$2:$Q$964,"否"),0))</x:f>
        <x:v>0.0034019378269558483</x:v>
      </x:c>
      <x:c r="Y82" s="22" t="str">
        <x:f>IF(OR(M82="",U82=""),"未交叉",IF(M82*U82&gt;0,"同向",IF(M82*U82&lt;0,"背离","一侧持平")))</x:f>
        <x:v>未交叉</x:v>
      </x:c>
    </x:row>
    <x:row r="83">
      <x:c r="A83" s="18" t="str">
        <x:v>buy.stripe.com</x:v>
      </x:c>
      <x:c r="B83" s="19" t="str">
        <x:v>专用支付/结账入口</x:v>
      </x:c>
      <x:c r="C83" s="19" t="str">
        <x:v>高</x:v>
      </x:c>
      <x:c r="D83" s="19" t="str">
        <x:v>Jul 2026</x:v>
      </x:c>
      <x:c r="E83" s="19" t="n">
        <x:v>82</x:v>
      </x:c>
      <x:c r="F83" s="19" t="str">
        <x:v>webapp.photo-capsule-puls.net</x:v>
      </x:c>
      <x:c r="G83" s="19" t="str">
        <x:v>Adult</x:v>
      </x:c>
      <x:c r="H83" s="19" t="str">
        <x:v>其他/待核查</x:v>
      </x:c>
      <x:c r="I83" s="19" t="str">
        <x:v>保守归类</x:v>
      </x:c>
      <x:c r="J83" s="19"/>
      <x:c r="K83" s="20" t="n">
        <x:v>0.0019</x:v>
      </x:c>
      <x:c r="L83" s="19" t="str">
        <x:v>下降</x:v>
      </x:c>
      <x:c r="M83" s="20" t="n">
        <x:v>-0.3876</x:v>
      </x:c>
      <x:c r="N83" s="21" t="n">
        <x:v>2716000</x:v>
      </x:c>
      <x:c r="O83" s="21" t="n">
        <x:v>5160</x:v>
      </x:c>
      <x:c r="P83" s="21" t="n">
        <x:f>ROUND(N83*K83,0)</x:f>
        <x:v>5160</x:v>
      </x:c>
      <x:c r="Q83" s="19" t="str">
        <x:v>否</x:v>
      </x:c>
      <x:c r="R83" s="19" t="str"/>
      <x:c r="S83" s="19" t="n">
        <x:f>IF(Q83="是",0,MIN(10,2+IF(C83="高",2,1)+IF(K83&gt;=3%,3,IF(K83&gt;=1%,2,1))+IF(L83="新出现",2,IF(M83&gt;=100%,3,IF(M83&gt;0,2,0)))))</x:f>
        <x:v>5</x:v>
      </x:c>
      <x:c r="T83" s="21"/>
      <x:c r="U83" s="20"/>
      <x:c r="V83" s="19" t="str">
        <x:v>http://webapp.photo-capsule-puls.net/</x:v>
      </x:c>
      <x:c r="W83" s="19" t="str">
        <x:v>https://pro.similarweb.com/#/digitalsuite/websiteanalysis/referrals/*/999/1m?webSource=Total&amp;selectedTab=incomingTraffic&amp;key=buy.stripe.com</x:v>
      </x:c>
      <x:c r="X83" s="20" t="n">
        <x:f>IF(Q83="是",0,IFERROR(P83/SUMIFS($P$2:$P$964,$A$2:$A$964,A83,$Q$2:$Q$964,"否"),0))</x:f>
        <x:v>0.003231590424722418</x:v>
      </x:c>
      <x:c r="Y83" s="22" t="str">
        <x:f>IF(OR(M83="",U83=""),"未交叉",IF(M83*U83&gt;0,"同向",IF(M83*U83&lt;0,"背离","一侧持平")))</x:f>
        <x:v>未交叉</x:v>
      </x:c>
    </x:row>
    <x:row r="84">
      <x:c r="A84" s="18" t="str">
        <x:v>buy.stripe.com</x:v>
      </x:c>
      <x:c r="B84" s="19" t="str">
        <x:v>专用支付/结账入口</x:v>
      </x:c>
      <x:c r="C84" s="19" t="str">
        <x:v>高</x:v>
      </x:c>
      <x:c r="D84" s="19" t="str">
        <x:v>Jul 2026</x:v>
      </x:c>
      <x:c r="E84" s="19" t="n">
        <x:v>83</x:v>
      </x:c>
      <x:c r="F84" s="19" t="str">
        <x:v>puntershubofficial.com.au</x:v>
      </x:c>
      <x:c r="G84" s="19" t="str">
        <x:v>Unknown</x:v>
      </x:c>
      <x:c r="H84" s="19" t="str">
        <x:v>其他/待核查</x:v>
      </x:c>
      <x:c r="I84" s="19" t="str">
        <x:v>Similarweb 未分类</x:v>
      </x:c>
      <x:c r="J84" s="19" t="n">
        <x:v>2465726</x:v>
      </x:c>
      <x:c r="K84" s="20" t="n">
        <x:v>0.0019</x:v>
      </x:c>
      <x:c r="L84" s="19" t="str">
        <x:v>上升</x:v>
      </x:c>
      <x:c r="M84" s="20" t="n">
        <x:v>5.8009</x:v>
      </x:c>
      <x:c r="N84" s="21" t="n">
        <x:v>2716000</x:v>
      </x:c>
      <x:c r="O84" s="21" t="n">
        <x:v>5160</x:v>
      </x:c>
      <x:c r="P84" s="21" t="n">
        <x:f>ROUND(N84*K84,0)</x:f>
        <x:v>5160</x:v>
      </x:c>
      <x:c r="Q84" s="19" t="str">
        <x:v>否</x:v>
      </x:c>
      <x:c r="R84" s="19" t="str"/>
      <x:c r="S84" s="19" t="n">
        <x:f>IF(Q84="是",0,MIN(10,2+IF(C84="高",2,1)+IF(K84&gt;=3%,3,IF(K84&gt;=1%,2,1))+IF(L84="新出现",2,IF(M84&gt;=100%,3,IF(M84&gt;0,2,0)))))</x:f>
        <x:v>8</x:v>
      </x:c>
      <x:c r="T84" s="21"/>
      <x:c r="U84" s="20"/>
      <x:c r="V84" s="19" t="str">
        <x:v>http://puntershubofficial.com.au/</x:v>
      </x:c>
      <x:c r="W84" s="19" t="str">
        <x:v>https://pro.similarweb.com/#/digitalsuite/websiteanalysis/referrals/*/999/1m?webSource=Total&amp;selectedTab=incomingTraffic&amp;key=buy.stripe.com</x:v>
      </x:c>
      <x:c r="X84" s="20" t="n">
        <x:f>IF(Q84="是",0,IFERROR(P84/SUMIFS($P$2:$P$964,$A$2:$A$964,A84,$Q$2:$Q$964,"否"),0))</x:f>
        <x:v>0.003231590424722418</x:v>
      </x:c>
      <x:c r="Y84" s="22" t="str">
        <x:f>IF(OR(M84="",U84=""),"未交叉",IF(M84*U84&gt;0,"同向",IF(M84*U84&lt;0,"背离","一侧持平")))</x:f>
        <x:v>未交叉</x:v>
      </x:c>
    </x:row>
    <x:row r="85">
      <x:c r="A85" s="18" t="str">
        <x:v>buy.stripe.com</x:v>
      </x:c>
      <x:c r="B85" s="19" t="str">
        <x:v>专用支付/结账入口</x:v>
      </x:c>
      <x:c r="C85" s="19" t="str">
        <x:v>高</x:v>
      </x:c>
      <x:c r="D85" s="19" t="str">
        <x:v>Jul 2026</x:v>
      </x:c>
      <x:c r="E85" s="19" t="n">
        <x:v>84</x:v>
      </x:c>
      <x:c r="F85" s="19" t="str">
        <x:v>listmyai.net</x:v>
      </x:c>
      <x:c r="G85" s="19" t="str">
        <x:v>Unknown</x:v>
      </x:c>
      <x:c r="H85" s="19" t="str">
        <x:v>其他/待核查</x:v>
      </x:c>
      <x:c r="I85" s="19" t="str">
        <x:v>Similarweb 未分类</x:v>
      </x:c>
      <x:c r="J85" s="19" t="n">
        <x:v>1431456</x:v>
      </x:c>
      <x:c r="K85" s="20" t="n">
        <x:v>0.0018</x:v>
      </x:c>
      <x:c r="L85" s="19" t="str">
        <x:v>新出现</x:v>
      </x:c>
      <x:c r="M85" s="20"/>
      <x:c r="N85" s="21" t="n">
        <x:v>2716000</x:v>
      </x:c>
      <x:c r="O85" s="21" t="n">
        <x:v>4889</x:v>
      </x:c>
      <x:c r="P85" s="21" t="n">
        <x:f>ROUND(N85*K85,0)</x:f>
        <x:v>4889</x:v>
      </x:c>
      <x:c r="Q85" s="19" t="str">
        <x:v>否</x:v>
      </x:c>
      <x:c r="R85" s="19" t="str"/>
      <x:c r="S85" s="19" t="n">
        <x:f>IF(Q85="是",0,MIN(10,2+IF(C85="高",2,1)+IF(K85&gt;=3%,3,IF(K85&gt;=1%,2,1))+IF(L85="新出现",2,IF(M85&gt;=100%,3,IF(M85&gt;0,2,0)))))</x:f>
        <x:v>7</x:v>
      </x:c>
      <x:c r="T85" s="21"/>
      <x:c r="U85" s="20"/>
      <x:c r="V85" s="19" t="str">
        <x:v>http://listmyai.net/</x:v>
      </x:c>
      <x:c r="W85" s="19" t="str">
        <x:v>https://pro.similarweb.com/#/digitalsuite/websiteanalysis/referrals/*/999/1m?webSource=Total&amp;selectedTab=incomingTraffic&amp;key=buy.stripe.com</x:v>
      </x:c>
      <x:c r="X85" s="20" t="n">
        <x:f>IF(Q85="是",0,IFERROR(P85/SUMIFS($P$2:$P$964,$A$2:$A$964,A85,$Q$2:$Q$964,"否"),0))</x:f>
        <x:v>0.003061869299703082</x:v>
      </x:c>
      <x:c r="Y85" s="22" t="str">
        <x:f>IF(OR(M85="",U85=""),"未交叉",IF(M85*U85&gt;0,"同向",IF(M85*U85&lt;0,"背离","一侧持平")))</x:f>
        <x:v>未交叉</x:v>
      </x:c>
    </x:row>
    <x:row r="86">
      <x:c r="A86" s="18" t="str">
        <x:v>buy.stripe.com</x:v>
      </x:c>
      <x:c r="B86" s="19" t="str">
        <x:v>专用支付/结账入口</x:v>
      </x:c>
      <x:c r="C86" s="19" t="str">
        <x:v>高</x:v>
      </x:c>
      <x:c r="D86" s="19" t="str">
        <x:v>Jul 2026</x:v>
      </x:c>
      <x:c r="E86" s="19" t="n">
        <x:v>85</x:v>
      </x:c>
      <x:c r="F86" s="19" t="str">
        <x:v>travel.yousmartthing.com</x:v>
      </x:c>
      <x:c r="G86" s="19" t="str">
        <x:v>Travel and Tourism</x:v>
      </x:c>
      <x:c r="H86" s="19" t="str">
        <x:v>内容媒体、线下与实体消费</x:v>
      </x:c>
      <x:c r="I86" s="19" t="str">
        <x:v>Similarweb 行业映射</x:v>
      </x:c>
      <x:c r="J86" s="19" t="n">
        <x:v>2069417</x:v>
      </x:c>
      <x:c r="K86" s="20" t="n">
        <x:v>0.0017000000000000001</x:v>
      </x:c>
      <x:c r="L86" s="19" t="str">
        <x:v>上升</x:v>
      </x:c>
      <x:c r="M86" s="20" t="n">
        <x:v>0.1888</x:v>
      </x:c>
      <x:c r="N86" s="21" t="n">
        <x:v>2716000</x:v>
      </x:c>
      <x:c r="O86" s="21" t="n">
        <x:v>4617</x:v>
      </x:c>
      <x:c r="P86" s="21" t="n">
        <x:f>ROUND(N86*K86,0)</x:f>
        <x:v>4617</x:v>
      </x:c>
      <x:c r="Q86" s="19" t="str">
        <x:v>否</x:v>
      </x:c>
      <x:c r="R86" s="19" t="str"/>
      <x:c r="S86" s="19" t="n">
        <x:f>IF(Q86="是",0,MIN(10,2+IF(C86="高",2,1)+IF(K86&gt;=3%,3,IF(K86&gt;=1%,2,1))+IF(L86="新出现",2,IF(M86&gt;=100%,3,IF(M86&gt;0,2,0)))))</x:f>
        <x:v>7</x:v>
      </x:c>
      <x:c r="T86" s="21"/>
      <x:c r="U86" s="20"/>
      <x:c r="V86" s="19" t="str">
        <x:v>http://travel.yousmartthing.com/</x:v>
      </x:c>
      <x:c r="W86" s="19" t="str">
        <x:v>https://pro.similarweb.com/#/digitalsuite/websiteanalysis/referrals/*/999/1m?webSource=Total&amp;selectedTab=incomingTraffic&amp;key=buy.stripe.com</x:v>
      </x:c>
      <x:c r="X86" s="20" t="n">
        <x:f>IF(Q86="是",0,IFERROR(P86/SUMIFS($P$2:$P$964,$A$2:$A$964,A86,$Q$2:$Q$964,"否"),0))</x:f>
        <x:v>0.002891521897469652</x:v>
      </x:c>
      <x:c r="Y86" s="22" t="str">
        <x:f>IF(OR(M86="",U86=""),"未交叉",IF(M86*U86&gt;0,"同向",IF(M86*U86&lt;0,"背离","一侧持平")))</x:f>
        <x:v>未交叉</x:v>
      </x:c>
    </x:row>
    <x:row r="87">
      <x:c r="A87" s="18" t="str">
        <x:v>buy.stripe.com</x:v>
      </x:c>
      <x:c r="B87" s="19" t="str">
        <x:v>专用支付/结账入口</x:v>
      </x:c>
      <x:c r="C87" s="19" t="str">
        <x:v>高</x:v>
      </x:c>
      <x:c r="D87" s="19" t="str">
        <x:v>Jul 2026</x:v>
      </x:c>
      <x:c r="E87" s="19" t="n">
        <x:v>86</x:v>
      </x:c>
      <x:c r="F87" s="19" t="str">
        <x:v>coderny.com</x:v>
      </x:c>
      <x:c r="G87" s="19" t="str">
        <x:v>Unknown</x:v>
      </x:c>
      <x:c r="H87" s="19" t="str">
        <x:v>其他/待核查</x:v>
      </x:c>
      <x:c r="I87" s="19" t="str">
        <x:v>Similarweb 未分类</x:v>
      </x:c>
      <x:c r="J87" s="19"/>
      <x:c r="K87" s="20" t="n">
        <x:v>0.0017000000000000001</x:v>
      </x:c>
      <x:c r="L87" s="19" t="str">
        <x:v>上升</x:v>
      </x:c>
      <x:c r="M87" s="20" t="n">
        <x:v>2.9438</x:v>
      </x:c>
      <x:c r="N87" s="21" t="n">
        <x:v>2716000</x:v>
      </x:c>
      <x:c r="O87" s="21" t="n">
        <x:v>4617</x:v>
      </x:c>
      <x:c r="P87" s="21" t="n">
        <x:f>ROUND(N87*K87,0)</x:f>
        <x:v>4617</x:v>
      </x:c>
      <x:c r="Q87" s="19" t="str">
        <x:v>否</x:v>
      </x:c>
      <x:c r="R87" s="19" t="str"/>
      <x:c r="S87" s="19" t="n">
        <x:f>IF(Q87="是",0,MIN(10,2+IF(C87="高",2,1)+IF(K87&gt;=3%,3,IF(K87&gt;=1%,2,1))+IF(L87="新出现",2,IF(M87&gt;=100%,3,IF(M87&gt;0,2,0)))))</x:f>
        <x:v>8</x:v>
      </x:c>
      <x:c r="T87" s="21"/>
      <x:c r="U87" s="20"/>
      <x:c r="V87" s="19" t="str">
        <x:v>http://coderny.com/</x:v>
      </x:c>
      <x:c r="W87" s="19" t="str">
        <x:v>https://pro.similarweb.com/#/digitalsuite/websiteanalysis/referrals/*/999/1m?webSource=Total&amp;selectedTab=incomingTraffic&amp;key=buy.stripe.com</x:v>
      </x:c>
      <x:c r="X87" s="20" t="n">
        <x:f>IF(Q87="是",0,IFERROR(P87/SUMIFS($P$2:$P$964,$A$2:$A$964,A87,$Q$2:$Q$964,"否"),0))</x:f>
        <x:v>0.002891521897469652</x:v>
      </x:c>
      <x:c r="Y87" s="22" t="str">
        <x:f>IF(OR(M87="",U87=""),"未交叉",IF(M87*U87&gt;0,"同向",IF(M87*U87&lt;0,"背离","一侧持平")))</x:f>
        <x:v>未交叉</x:v>
      </x:c>
    </x:row>
    <x:row r="88">
      <x:c r="A88" s="18" t="str">
        <x:v>buy.stripe.com</x:v>
      </x:c>
      <x:c r="B88" s="19" t="str">
        <x:v>专用支付/结账入口</x:v>
      </x:c>
      <x:c r="C88" s="19" t="str">
        <x:v>高</x:v>
      </x:c>
      <x:c r="D88" s="19" t="str">
        <x:v>Jul 2026</x:v>
      </x:c>
      <x:c r="E88" s="19" t="n">
        <x:v>87</x:v>
      </x:c>
      <x:c r="F88" s="19" t="str">
        <x:v>thevioletletter.com</x:v>
      </x:c>
      <x:c r="G88" s="19" t="str">
        <x:v>Unknown</x:v>
      </x:c>
      <x:c r="H88" s="19" t="str">
        <x:v>其他/待核查</x:v>
      </x:c>
      <x:c r="I88" s="19" t="str">
        <x:v>Similarweb 未分类</x:v>
      </x:c>
      <x:c r="J88" s="19"/>
      <x:c r="K88" s="20" t="n">
        <x:v>0.0017000000000000001</x:v>
      </x:c>
      <x:c r="L88" s="19" t="str">
        <x:v>上升</x:v>
      </x:c>
      <x:c r="M88" s="20" t="n">
        <x:v>0.0254</x:v>
      </x:c>
      <x:c r="N88" s="21" t="n">
        <x:v>2716000</x:v>
      </x:c>
      <x:c r="O88" s="21" t="n">
        <x:v>4617</x:v>
      </x:c>
      <x:c r="P88" s="21" t="n">
        <x:f>ROUND(N88*K88,0)</x:f>
        <x:v>4617</x:v>
      </x:c>
      <x:c r="Q88" s="19" t="str">
        <x:v>否</x:v>
      </x:c>
      <x:c r="R88" s="19" t="str"/>
      <x:c r="S88" s="19" t="n">
        <x:f>IF(Q88="是",0,MIN(10,2+IF(C88="高",2,1)+IF(K88&gt;=3%,3,IF(K88&gt;=1%,2,1))+IF(L88="新出现",2,IF(M88&gt;=100%,3,IF(M88&gt;0,2,0)))))</x:f>
        <x:v>7</x:v>
      </x:c>
      <x:c r="T88" s="21"/>
      <x:c r="U88" s="20"/>
      <x:c r="V88" s="19" t="str">
        <x:v>http://thevioletletter.com/</x:v>
      </x:c>
      <x:c r="W88" s="19" t="str">
        <x:v>https://pro.similarweb.com/#/digitalsuite/websiteanalysis/referrals/*/999/1m?webSource=Total&amp;selectedTab=incomingTraffic&amp;key=buy.stripe.com</x:v>
      </x:c>
      <x:c r="X88" s="20" t="n">
        <x:f>IF(Q88="是",0,IFERROR(P88/SUMIFS($P$2:$P$964,$A$2:$A$964,A88,$Q$2:$Q$964,"否"),0))</x:f>
        <x:v>0.002891521897469652</x:v>
      </x:c>
      <x:c r="Y88" s="22" t="str">
        <x:f>IF(OR(M88="",U88=""),"未交叉",IF(M88*U88&gt;0,"同向",IF(M88*U88&lt;0,"背离","一侧持平")))</x:f>
        <x:v>未交叉</x:v>
      </x:c>
    </x:row>
    <x:row r="89">
      <x:c r="A89" s="18" t="str">
        <x:v>buy.stripe.com</x:v>
      </x:c>
      <x:c r="B89" s="19" t="str">
        <x:v>专用支付/结账入口</x:v>
      </x:c>
      <x:c r="C89" s="19" t="str">
        <x:v>高</x:v>
      </x:c>
      <x:c r="D89" s="19" t="str">
        <x:v>Jul 2026</x:v>
      </x:c>
      <x:c r="E89" s="19" t="n">
        <x:v>88</x:v>
      </x:c>
      <x:c r="F89" s="19" t="str">
        <x:v>pointofdesign.pl</x:v>
      </x:c>
      <x:c r="G89" s="19" t="str">
        <x:v>Unknown</x:v>
      </x:c>
      <x:c r="H89" s="19" t="str">
        <x:v>其他/待核查</x:v>
      </x:c>
      <x:c r="I89" s="19" t="str">
        <x:v>Similarweb 未分类</x:v>
      </x:c>
      <x:c r="J89" s="19" t="n">
        <x:v>4572041</x:v>
      </x:c>
      <x:c r="K89" s="20" t="n">
        <x:v>0.0017000000000000001</x:v>
      </x:c>
      <x:c r="L89" s="19" t="str">
        <x:v>新出现</x:v>
      </x:c>
      <x:c r="M89" s="20"/>
      <x:c r="N89" s="21" t="n">
        <x:v>2716000</x:v>
      </x:c>
      <x:c r="O89" s="21" t="n">
        <x:v>4617</x:v>
      </x:c>
      <x:c r="P89" s="21" t="n">
        <x:f>ROUND(N89*K89,0)</x:f>
        <x:v>4617</x:v>
      </x:c>
      <x:c r="Q89" s="19" t="str">
        <x:v>否</x:v>
      </x:c>
      <x:c r="R89" s="19" t="str"/>
      <x:c r="S89" s="19" t="n">
        <x:f>IF(Q89="是",0,MIN(10,2+IF(C89="高",2,1)+IF(K89&gt;=3%,3,IF(K89&gt;=1%,2,1))+IF(L89="新出现",2,IF(M89&gt;=100%,3,IF(M89&gt;0,2,0)))))</x:f>
        <x:v>7</x:v>
      </x:c>
      <x:c r="T89" s="21"/>
      <x:c r="U89" s="20"/>
      <x:c r="V89" s="19" t="str">
        <x:v>http://pointofdesign.pl/</x:v>
      </x:c>
      <x:c r="W89" s="19" t="str">
        <x:v>https://pro.similarweb.com/#/digitalsuite/websiteanalysis/referrals/*/999/1m?webSource=Total&amp;selectedTab=incomingTraffic&amp;key=buy.stripe.com</x:v>
      </x:c>
      <x:c r="X89" s="20" t="n">
        <x:f>IF(Q89="是",0,IFERROR(P89/SUMIFS($P$2:$P$964,$A$2:$A$964,A89,$Q$2:$Q$964,"否"),0))</x:f>
        <x:v>0.002891521897469652</x:v>
      </x:c>
      <x:c r="Y89" s="22" t="str">
        <x:f>IF(OR(M89="",U89=""),"未交叉",IF(M89*U89&gt;0,"同向",IF(M89*U89&lt;0,"背离","一侧持平")))</x:f>
        <x:v>未交叉</x:v>
      </x:c>
    </x:row>
    <x:row r="90">
      <x:c r="A90" s="18" t="str">
        <x:v>buy.stripe.com</x:v>
      </x:c>
      <x:c r="B90" s="19" t="str">
        <x:v>专用支付/结账入口</x:v>
      </x:c>
      <x:c r="C90" s="19" t="str">
        <x:v>高</x:v>
      </x:c>
      <x:c r="D90" s="19" t="str">
        <x:v>Jul 2026</x:v>
      </x:c>
      <x:c r="E90" s="19" t="n">
        <x:v>89</x:v>
      </x:c>
      <x:c r="F90" s="19" t="str">
        <x:v>theblockchaincoders.com</x:v>
      </x:c>
      <x:c r="G90" s="19" t="str">
        <x:v>Graphics Multimedia and Web Design</x:v>
      </x:c>
      <x:c r="H90" s="19" t="str">
        <x:v>创作、设计与多媒体工具</x:v>
      </x:c>
      <x:c r="I90" s="19" t="str">
        <x:v>Similarweb 行业映射</x:v>
      </x:c>
      <x:c r="J90" s="19" t="n">
        <x:v>1791563</x:v>
      </x:c>
      <x:c r="K90" s="20" t="n">
        <x:v>0.0017000000000000001</x:v>
      </x:c>
      <x:c r="L90" s="19" t="str">
        <x:v>下降</x:v>
      </x:c>
      <x:c r="M90" s="20" t="n">
        <x:v>-0.0352</x:v>
      </x:c>
      <x:c r="N90" s="21" t="n">
        <x:v>2716000</x:v>
      </x:c>
      <x:c r="O90" s="21" t="n">
        <x:v>4617</x:v>
      </x:c>
      <x:c r="P90" s="21" t="n">
        <x:f>ROUND(N90*K90,0)</x:f>
        <x:v>4617</x:v>
      </x:c>
      <x:c r="Q90" s="19" t="str">
        <x:v>否</x:v>
      </x:c>
      <x:c r="R90" s="19" t="str"/>
      <x:c r="S90" s="19" t="n">
        <x:f>IF(Q90="是",0,MIN(10,2+IF(C90="高",2,1)+IF(K90&gt;=3%,3,IF(K90&gt;=1%,2,1))+IF(L90="新出现",2,IF(M90&gt;=100%,3,IF(M90&gt;0,2,0)))))</x:f>
        <x:v>5</x:v>
      </x:c>
      <x:c r="T90" s="21"/>
      <x:c r="U90" s="20"/>
      <x:c r="V90" s="19" t="str">
        <x:v>http://theblockchaincoders.com/</x:v>
      </x:c>
      <x:c r="W90" s="19" t="str">
        <x:v>https://pro.similarweb.com/#/digitalsuite/websiteanalysis/referrals/*/999/1m?webSource=Total&amp;selectedTab=incomingTraffic&amp;key=buy.stripe.com</x:v>
      </x:c>
      <x:c r="X90" s="20" t="n">
        <x:f>IF(Q90="是",0,IFERROR(P90/SUMIFS($P$2:$P$964,$A$2:$A$964,A90,$Q$2:$Q$964,"否"),0))</x:f>
        <x:v>0.002891521897469652</x:v>
      </x:c>
      <x:c r="Y90" s="22" t="str">
        <x:f>IF(OR(M90="",U90=""),"未交叉",IF(M90*U90&gt;0,"同向",IF(M90*U90&lt;0,"背离","一侧持平")))</x:f>
        <x:v>未交叉</x:v>
      </x:c>
    </x:row>
    <x:row r="91">
      <x:c r="A91" s="18" t="str">
        <x:v>buy.stripe.com</x:v>
      </x:c>
      <x:c r="B91" s="19" t="str">
        <x:v>专用支付/结账入口</x:v>
      </x:c>
      <x:c r="C91" s="19" t="str">
        <x:v>高</x:v>
      </x:c>
      <x:c r="D91" s="19" t="str">
        <x:v>Jul 2026</x:v>
      </x:c>
      <x:c r="E91" s="19" t="n">
        <x:v>90</x:v>
      </x:c>
      <x:c r="F91" s="19" t="str">
        <x:v>korpi.ai</x:v>
      </x:c>
      <x:c r="G91" s="19" t="str">
        <x:v>Graphics Multimedia and Web Design</x:v>
      </x:c>
      <x:c r="H91" s="19" t="str">
        <x:v>AI 工具与应用（未细分）</x:v>
      </x:c>
      <x:c r="I91" s="19" t="str">
        <x:v>域名后缀启发式</x:v>
      </x:c>
      <x:c r="J91" s="19" t="n">
        <x:v>539216</x:v>
      </x:c>
      <x:c r="K91" s="20" t="n">
        <x:v>0.0016</x:v>
      </x:c>
      <x:c r="L91" s="19" t="str">
        <x:v>下降</x:v>
      </x:c>
      <x:c r="M91" s="20" t="n">
        <x:v>-0.6393</x:v>
      </x:c>
      <x:c r="N91" s="21" t="n">
        <x:v>2716000</x:v>
      </x:c>
      <x:c r="O91" s="21" t="n">
        <x:v>4346</x:v>
      </x:c>
      <x:c r="P91" s="21" t="n">
        <x:f>ROUND(N91*K91,0)</x:f>
        <x:v>4346</x:v>
      </x:c>
      <x:c r="Q91" s="19" t="str">
        <x:v>否</x:v>
      </x:c>
      <x:c r="R91" s="19" t="str"/>
      <x:c r="S91" s="19" t="n">
        <x:f>IF(Q91="是",0,MIN(10,2+IF(C91="高",2,1)+IF(K91&gt;=3%,3,IF(K91&gt;=1%,2,1))+IF(L91="新出现",2,IF(M91&gt;=100%,3,IF(M91&gt;0,2,0)))))</x:f>
        <x:v>5</x:v>
      </x:c>
      <x:c r="T91" s="21"/>
      <x:c r="U91" s="20"/>
      <x:c r="V91" s="19" t="str">
        <x:v>http://korpi.ai/</x:v>
      </x:c>
      <x:c r="W91" s="19" t="str">
        <x:v>https://pro.similarweb.com/#/digitalsuite/websiteanalysis/referrals/*/999/1m?webSource=Total&amp;selectedTab=incomingTraffic&amp;key=buy.stripe.com</x:v>
      </x:c>
      <x:c r="X91" s="20" t="n">
        <x:f>IF(Q91="是",0,IFERROR(P91/SUMIFS($P$2:$P$964,$A$2:$A$964,A91,$Q$2:$Q$964,"否"),0))</x:f>
        <x:v>0.002721800772450316</x:v>
      </x:c>
      <x:c r="Y91" s="22" t="str">
        <x:f>IF(OR(M91="",U91=""),"未交叉",IF(M91*U91&gt;0,"同向",IF(M91*U91&lt;0,"背离","一侧持平")))</x:f>
        <x:v>未交叉</x:v>
      </x:c>
    </x:row>
    <x:row r="92">
      <x:c r="A92" s="18" t="str">
        <x:v>buy.stripe.com</x:v>
      </x:c>
      <x:c r="B92" s="19" t="str">
        <x:v>专用支付/结账入口</x:v>
      </x:c>
      <x:c r="C92" s="19" t="str">
        <x:v>高</x:v>
      </x:c>
      <x:c r="D92" s="19" t="str">
        <x:v>Jul 2026</x:v>
      </x:c>
      <x:c r="E92" s="19" t="n">
        <x:v>91</x:v>
      </x:c>
      <x:c r="F92" s="19" t="str">
        <x:v>palmwayfl.com</x:v>
      </x:c>
      <x:c r="G92" s="19" t="str">
        <x:v>Unknown</x:v>
      </x:c>
      <x:c r="H92" s="19" t="str">
        <x:v>其他/待核查</x:v>
      </x:c>
      <x:c r="I92" s="19" t="str">
        <x:v>Similarweb 未分类</x:v>
      </x:c>
      <x:c r="J92" s="19" t="n">
        <x:v>609351</x:v>
      </x:c>
      <x:c r="K92" s="20" t="n">
        <x:v>0.0016</x:v>
      </x:c>
      <x:c r="L92" s="19" t="str">
        <x:v>新出现</x:v>
      </x:c>
      <x:c r="M92" s="20"/>
      <x:c r="N92" s="21" t="n">
        <x:v>2716000</x:v>
      </x:c>
      <x:c r="O92" s="21" t="n">
        <x:v>4346</x:v>
      </x:c>
      <x:c r="P92" s="21" t="n">
        <x:f>ROUND(N92*K92,0)</x:f>
        <x:v>4346</x:v>
      </x:c>
      <x:c r="Q92" s="19" t="str">
        <x:v>否</x:v>
      </x:c>
      <x:c r="R92" s="19" t="str"/>
      <x:c r="S92" s="19" t="n">
        <x:f>IF(Q92="是",0,MIN(10,2+IF(C92="高",2,1)+IF(K92&gt;=3%,3,IF(K92&gt;=1%,2,1))+IF(L92="新出现",2,IF(M92&gt;=100%,3,IF(M92&gt;0,2,0)))))</x:f>
        <x:v>7</x:v>
      </x:c>
      <x:c r="T92" s="21"/>
      <x:c r="U92" s="20"/>
      <x:c r="V92" s="19" t="str">
        <x:v>http://palmwayfl.com/</x:v>
      </x:c>
      <x:c r="W92" s="19" t="str">
        <x:v>https://pro.similarweb.com/#/digitalsuite/websiteanalysis/referrals/*/999/1m?webSource=Total&amp;selectedTab=incomingTraffic&amp;key=buy.stripe.com</x:v>
      </x:c>
      <x:c r="X92" s="20" t="n">
        <x:f>IF(Q92="是",0,IFERROR(P92/SUMIFS($P$2:$P$964,$A$2:$A$964,A92,$Q$2:$Q$964,"否"),0))</x:f>
        <x:v>0.002721800772450316</x:v>
      </x:c>
      <x:c r="Y92" s="22" t="str">
        <x:f>IF(OR(M92="",U92=""),"未交叉",IF(M92*U92&gt;0,"同向",IF(M92*U92&lt;0,"背离","一侧持平")))</x:f>
        <x:v>未交叉</x:v>
      </x:c>
    </x:row>
    <x:row r="93">
      <x:c r="A93" s="18" t="str">
        <x:v>buy.stripe.com</x:v>
      </x:c>
      <x:c r="B93" s="19" t="str">
        <x:v>专用支付/结账入口</x:v>
      </x:c>
      <x:c r="C93" s="19" t="str">
        <x:v>高</x:v>
      </x:c>
      <x:c r="D93" s="19" t="str">
        <x:v>Jul 2026</x:v>
      </x:c>
      <x:c r="E93" s="19" t="n">
        <x:v>92</x:v>
      </x:c>
      <x:c r="F93" s="19" t="str">
        <x:v>familyofleague.org.au</x:v>
      </x:c>
      <x:c r="G93" s="19" t="str">
        <x:v>Unknown</x:v>
      </x:c>
      <x:c r="H93" s="19" t="str">
        <x:v>其他/待核查</x:v>
      </x:c>
      <x:c r="I93" s="19" t="str">
        <x:v>Similarweb 未分类</x:v>
      </x:c>
      <x:c r="J93" s="19" t="n">
        <x:v>1200652</x:v>
      </x:c>
      <x:c r="K93" s="20" t="n">
        <x:v>0.0016</x:v>
      </x:c>
      <x:c r="L93" s="19" t="str">
        <x:v>新出现</x:v>
      </x:c>
      <x:c r="M93" s="20"/>
      <x:c r="N93" s="21" t="n">
        <x:v>2716000</x:v>
      </x:c>
      <x:c r="O93" s="21" t="n">
        <x:v>4346</x:v>
      </x:c>
      <x:c r="P93" s="21" t="n">
        <x:f>ROUND(N93*K93,0)</x:f>
        <x:v>4346</x:v>
      </x:c>
      <x:c r="Q93" s="19" t="str">
        <x:v>否</x:v>
      </x:c>
      <x:c r="R93" s="19" t="str"/>
      <x:c r="S93" s="19" t="n">
        <x:f>IF(Q93="是",0,MIN(10,2+IF(C93="高",2,1)+IF(K93&gt;=3%,3,IF(K93&gt;=1%,2,1))+IF(L93="新出现",2,IF(M93&gt;=100%,3,IF(M93&gt;0,2,0)))))</x:f>
        <x:v>7</x:v>
      </x:c>
      <x:c r="T93" s="21"/>
      <x:c r="U93" s="20"/>
      <x:c r="V93" s="19" t="str">
        <x:v>http://familyofleague.org.au/</x:v>
      </x:c>
      <x:c r="W93" s="19" t="str">
        <x:v>https://pro.similarweb.com/#/digitalsuite/websiteanalysis/referrals/*/999/1m?webSource=Total&amp;selectedTab=incomingTraffic&amp;key=buy.stripe.com</x:v>
      </x:c>
      <x:c r="X93" s="20" t="n">
        <x:f>IF(Q93="是",0,IFERROR(P93/SUMIFS($P$2:$P$964,$A$2:$A$964,A93,$Q$2:$Q$964,"否"),0))</x:f>
        <x:v>0.002721800772450316</x:v>
      </x:c>
      <x:c r="Y93" s="22" t="str">
        <x:f>IF(OR(M93="",U93=""),"未交叉",IF(M93*U93&gt;0,"同向",IF(M93*U93&lt;0,"背离","一侧持平")))</x:f>
        <x:v>未交叉</x:v>
      </x:c>
    </x:row>
    <x:row r="94">
      <x:c r="A94" s="18" t="str">
        <x:v>buy.stripe.com</x:v>
      </x:c>
      <x:c r="B94" s="19" t="str">
        <x:v>专用支付/结账入口</x:v>
      </x:c>
      <x:c r="C94" s="19" t="str">
        <x:v>高</x:v>
      </x:c>
      <x:c r="D94" s="19" t="str">
        <x:v>Jul 2026</x:v>
      </x:c>
      <x:c r="E94" s="19" t="n">
        <x:v>93</x:v>
      </x:c>
      <x:c r="F94" s="19" t="str">
        <x:v>netlify.app</x:v>
      </x:c>
      <x:c r="G94" s="19" t="str">
        <x:v>Programming and Developer Software</x:v>
      </x:c>
      <x:c r="H94" s="19" t="str">
        <x:v>开发者工具与互联网基础设施</x:v>
      </x:c>
      <x:c r="I94" s="19" t="str">
        <x:v>Similarweb 行业映射</x:v>
      </x:c>
      <x:c r="J94" s="19" t="n">
        <x:v>833</x:v>
      </x:c>
      <x:c r="K94" s="20" t="n">
        <x:v>0.0015</x:v>
      </x:c>
      <x:c r="L94" s="19" t="str">
        <x:v>上升</x:v>
      </x:c>
      <x:c r="M94" s="20" t="n">
        <x:v>9.744299999999999</x:v>
      </x:c>
      <x:c r="N94" s="21" t="n">
        <x:v>2716000</x:v>
      </x:c>
      <x:c r="O94" s="21" t="n">
        <x:v>4074</x:v>
      </x:c>
      <x:c r="P94" s="21" t="n">
        <x:f>ROUND(N94*K94,0)</x:f>
        <x:v>4074</x:v>
      </x:c>
      <x:c r="Q94" s="19" t="str">
        <x:v>否</x:v>
      </x:c>
      <x:c r="R94" s="19" t="str"/>
      <x:c r="S94" s="19" t="n">
        <x:f>IF(Q94="是",0,MIN(10,2+IF(C94="高",2,1)+IF(K94&gt;=3%,3,IF(K94&gt;=1%,2,1))+IF(L94="新出现",2,IF(M94&gt;=100%,3,IF(M94&gt;0,2,0)))))</x:f>
        <x:v>8</x:v>
      </x:c>
      <x:c r="T94" s="21"/>
      <x:c r="U94" s="20"/>
      <x:c r="V94" s="19" t="str">
        <x:v>http://netlify.app/</x:v>
      </x:c>
      <x:c r="W94" s="19" t="str">
        <x:v>https://pro.similarweb.com/#/digitalsuite/websiteanalysis/referrals/*/999/1m?webSource=Total&amp;selectedTab=incomingTraffic&amp;key=buy.stripe.com</x:v>
      </x:c>
      <x:c r="X94" s="20" t="n">
        <x:f>IF(Q94="是",0,IFERROR(P94/SUMIFS($P$2:$P$964,$A$2:$A$964,A94,$Q$2:$Q$964,"否"),0))</x:f>
        <x:v>0.002551453370216886</x:v>
      </x:c>
      <x:c r="Y94" s="22" t="str">
        <x:f>IF(OR(M94="",U94=""),"未交叉",IF(M94*U94&gt;0,"同向",IF(M94*U94&lt;0,"背离","一侧持平")))</x:f>
        <x:v>未交叉</x:v>
      </x:c>
    </x:row>
    <x:row r="95">
      <x:c r="A95" s="18" t="str">
        <x:v>buy.stripe.com</x:v>
      </x:c>
      <x:c r="B95" s="19" t="str">
        <x:v>专用支付/结账入口</x:v>
      </x:c>
      <x:c r="C95" s="19" t="str">
        <x:v>高</x:v>
      </x:c>
      <x:c r="D95" s="19" t="str">
        <x:v>Jul 2026</x:v>
      </x:c>
      <x:c r="E95" s="19" t="n">
        <x:v>94</x:v>
      </x:c>
      <x:c r="F95" s="19" t="str">
        <x:v>danielfazio.io</x:v>
      </x:c>
      <x:c r="G95" s="19" t="str">
        <x:v>Unknown</x:v>
      </x:c>
      <x:c r="H95" s="19" t="str">
        <x:v>其他/待核查</x:v>
      </x:c>
      <x:c r="I95" s="19" t="str">
        <x:v>Similarweb 未分类</x:v>
      </x:c>
      <x:c r="J95" s="19" t="n">
        <x:v>3254807</x:v>
      </x:c>
      <x:c r="K95" s="20" t="n">
        <x:v>0.0015</x:v>
      </x:c>
      <x:c r="L95" s="19" t="str">
        <x:v>上升</x:v>
      </x:c>
      <x:c r="M95" s="20" t="n">
        <x:v>1.2061</x:v>
      </x:c>
      <x:c r="N95" s="21" t="n">
        <x:v>2716000</x:v>
      </x:c>
      <x:c r="O95" s="21" t="n">
        <x:v>4074</x:v>
      </x:c>
      <x:c r="P95" s="21" t="n">
        <x:f>ROUND(N95*K95,0)</x:f>
        <x:v>4074</x:v>
      </x:c>
      <x:c r="Q95" s="19" t="str">
        <x:v>否</x:v>
      </x:c>
      <x:c r="R95" s="19" t="str"/>
      <x:c r="S95" s="19" t="n">
        <x:f>IF(Q95="是",0,MIN(10,2+IF(C95="高",2,1)+IF(K95&gt;=3%,3,IF(K95&gt;=1%,2,1))+IF(L95="新出现",2,IF(M95&gt;=100%,3,IF(M95&gt;0,2,0)))))</x:f>
        <x:v>8</x:v>
      </x:c>
      <x:c r="T95" s="21"/>
      <x:c r="U95" s="20"/>
      <x:c r="V95" s="19" t="str">
        <x:v>http://danielfazio.io/</x:v>
      </x:c>
      <x:c r="W95" s="19" t="str">
        <x:v>https://pro.similarweb.com/#/digitalsuite/websiteanalysis/referrals/*/999/1m?webSource=Total&amp;selectedTab=incomingTraffic&amp;key=buy.stripe.com</x:v>
      </x:c>
      <x:c r="X95" s="20" t="n">
        <x:f>IF(Q95="是",0,IFERROR(P95/SUMIFS($P$2:$P$964,$A$2:$A$964,A95,$Q$2:$Q$964,"否"),0))</x:f>
        <x:v>0.002551453370216886</x:v>
      </x:c>
      <x:c r="Y95" s="22" t="str">
        <x:f>IF(OR(M95="",U95=""),"未交叉",IF(M95*U95&gt;0,"同向",IF(M95*U95&lt;0,"背离","一侧持平")))</x:f>
        <x:v>未交叉</x:v>
      </x:c>
    </x:row>
    <x:row r="96">
      <x:c r="A96" s="18" t="str">
        <x:v>buy.stripe.com</x:v>
      </x:c>
      <x:c r="B96" s="19" t="str">
        <x:v>专用支付/结账入口</x:v>
      </x:c>
      <x:c r="C96" s="19" t="str">
        <x:v>高</x:v>
      </x:c>
      <x:c r="D96" s="19" t="str">
        <x:v>Jul 2026</x:v>
      </x:c>
      <x:c r="E96" s="19" t="n">
        <x:v>95</x:v>
      </x:c>
      <x:c r="F96" s="19" t="str">
        <x:v>trellus.ai</x:v>
      </x:c>
      <x:c r="G96" s="19" t="str">
        <x:v>Marketing and Advertising</x:v>
      </x:c>
      <x:c r="H96" s="19" t="str">
        <x:v>AI 工具与应用（未细分）</x:v>
      </x:c>
      <x:c r="I96" s="19" t="str">
        <x:v>域名后缀启发式</x:v>
      </x:c>
      <x:c r="J96" s="19" t="n">
        <x:v>265354</x:v>
      </x:c>
      <x:c r="K96" s="20" t="n">
        <x:v>0.0015</x:v>
      </x:c>
      <x:c r="L96" s="19" t="str">
        <x:v>新出现</x:v>
      </x:c>
      <x:c r="M96" s="20"/>
      <x:c r="N96" s="21" t="n">
        <x:v>2716000</x:v>
      </x:c>
      <x:c r="O96" s="21" t="n">
        <x:v>4074</x:v>
      </x:c>
      <x:c r="P96" s="21" t="n">
        <x:f>ROUND(N96*K96,0)</x:f>
        <x:v>4074</x:v>
      </x:c>
      <x:c r="Q96" s="19" t="str">
        <x:v>否</x:v>
      </x:c>
      <x:c r="R96" s="19" t="str"/>
      <x:c r="S96" s="19" t="n">
        <x:f>IF(Q96="是",0,MIN(10,2+IF(C96="高",2,1)+IF(K96&gt;=3%,3,IF(K96&gt;=1%,2,1))+IF(L96="新出现",2,IF(M96&gt;=100%,3,IF(M96&gt;0,2,0)))))</x:f>
        <x:v>7</x:v>
      </x:c>
      <x:c r="T96" s="21"/>
      <x:c r="U96" s="20"/>
      <x:c r="V96" s="19" t="str">
        <x:v>http://trellus.ai/</x:v>
      </x:c>
      <x:c r="W96" s="19" t="str">
        <x:v>https://pro.similarweb.com/#/digitalsuite/websiteanalysis/referrals/*/999/1m?webSource=Total&amp;selectedTab=incomingTraffic&amp;key=buy.stripe.com</x:v>
      </x:c>
      <x:c r="X96" s="20" t="n">
        <x:f>IF(Q96="是",0,IFERROR(P96/SUMIFS($P$2:$P$964,$A$2:$A$964,A96,$Q$2:$Q$964,"否"),0))</x:f>
        <x:v>0.002551453370216886</x:v>
      </x:c>
      <x:c r="Y96" s="22" t="str">
        <x:f>IF(OR(M96="",U96=""),"未交叉",IF(M96*U96&gt;0,"同向",IF(M96*U96&lt;0,"背离","一侧持平")))</x:f>
        <x:v>未交叉</x:v>
      </x:c>
    </x:row>
    <x:row r="97">
      <x:c r="A97" s="18" t="str">
        <x:v>buy.stripe.com</x:v>
      </x:c>
      <x:c r="B97" s="19" t="str">
        <x:v>专用支付/结账入口</x:v>
      </x:c>
      <x:c r="C97" s="19" t="str">
        <x:v>高</x:v>
      </x:c>
      <x:c r="D97" s="19" t="str">
        <x:v>Jul 2026</x:v>
      </x:c>
      <x:c r="E97" s="19" t="n">
        <x:v>96</x:v>
      </x:c>
      <x:c r="F97" s="19" t="str">
        <x:v>runninghub.ai</x:v>
      </x:c>
      <x:c r="G97" s="19" t="str">
        <x:v>Programming and Developer Software</x:v>
      </x:c>
      <x:c r="H97" s="19" t="str">
        <x:v>AI 工具与应用（未细分）</x:v>
      </x:c>
      <x:c r="I97" s="19" t="str">
        <x:v>域名后缀启发式</x:v>
      </x:c>
      <x:c r="J97" s="19" t="n">
        <x:v>19024</x:v>
      </x:c>
      <x:c r="K97" s="20" t="n">
        <x:v>0.0015</x:v>
      </x:c>
      <x:c r="L97" s="19" t="str">
        <x:v>下降</x:v>
      </x:c>
      <x:c r="M97" s="20" t="n">
        <x:v>-0.5954999999999999</x:v>
      </x:c>
      <x:c r="N97" s="21" t="n">
        <x:v>2716000</x:v>
      </x:c>
      <x:c r="O97" s="21" t="n">
        <x:v>4074</x:v>
      </x:c>
      <x:c r="P97" s="21" t="n">
        <x:f>ROUND(N97*K97,0)</x:f>
        <x:v>4074</x:v>
      </x:c>
      <x:c r="Q97" s="19" t="str">
        <x:v>否</x:v>
      </x:c>
      <x:c r="R97" s="19" t="str"/>
      <x:c r="S97" s="19" t="n">
        <x:f>IF(Q97="是",0,MIN(10,2+IF(C97="高",2,1)+IF(K97&gt;=3%,3,IF(K97&gt;=1%,2,1))+IF(L97="新出现",2,IF(M97&gt;=100%,3,IF(M97&gt;0,2,0)))))</x:f>
        <x:v>5</x:v>
      </x:c>
      <x:c r="T97" s="21"/>
      <x:c r="U97" s="20"/>
      <x:c r="V97" s="19" t="str">
        <x:v>http://runninghub.ai/</x:v>
      </x:c>
      <x:c r="W97" s="19" t="str">
        <x:v>https://pro.similarweb.com/#/digitalsuite/websiteanalysis/referrals/*/999/1m?webSource=Total&amp;selectedTab=incomingTraffic&amp;key=buy.stripe.com</x:v>
      </x:c>
      <x:c r="X97" s="20" t="n">
        <x:f>IF(Q97="是",0,IFERROR(P97/SUMIFS($P$2:$P$964,$A$2:$A$964,A97,$Q$2:$Q$964,"否"),0))</x:f>
        <x:v>0.002551453370216886</x:v>
      </x:c>
      <x:c r="Y97" s="22" t="str">
        <x:f>IF(OR(M97="",U97=""),"未交叉",IF(M97*U97&gt;0,"同向",IF(M97*U97&lt;0,"背离","一侧持平")))</x:f>
        <x:v>未交叉</x:v>
      </x:c>
    </x:row>
    <x:row r="98">
      <x:c r="A98" s="18" t="str">
        <x:v>buy.stripe.com</x:v>
      </x:c>
      <x:c r="B98" s="19" t="str">
        <x:v>专用支付/结账入口</x:v>
      </x:c>
      <x:c r="C98" s="19" t="str">
        <x:v>高</x:v>
      </x:c>
      <x:c r="D98" s="19" t="str">
        <x:v>Jul 2026</x:v>
      </x:c>
      <x:c r="E98" s="19" t="n">
        <x:v>97</x:v>
      </x:c>
      <x:c r="F98" s="19" t="str">
        <x:v>tryalcove.com</x:v>
      </x:c>
      <x:c r="G98" s="19" t="str">
        <x:v>Computers Electronics and Technology</x:v>
      </x:c>
      <x:c r="H98" s="19" t="str">
        <x:v>通用数字产品与技术服务</x:v>
      </x:c>
      <x:c r="I98" s="19" t="str">
        <x:v>Similarweb 行业映射</x:v>
      </x:c>
      <x:c r="J98" s="19" t="n">
        <x:v>329441</x:v>
      </x:c>
      <x:c r="K98" s="20" t="n">
        <x:v>0.0015</x:v>
      </x:c>
      <x:c r="L98" s="19" t="str">
        <x:v>下降</x:v>
      </x:c>
      <x:c r="M98" s="20" t="n">
        <x:v>-0.2016</x:v>
      </x:c>
      <x:c r="N98" s="21" t="n">
        <x:v>2716000</x:v>
      </x:c>
      <x:c r="O98" s="21" t="n">
        <x:v>4074</x:v>
      </x:c>
      <x:c r="P98" s="21" t="n">
        <x:f>ROUND(N98*K98,0)</x:f>
        <x:v>4074</x:v>
      </x:c>
      <x:c r="Q98" s="19" t="str">
        <x:v>否</x:v>
      </x:c>
      <x:c r="R98" s="19" t="str"/>
      <x:c r="S98" s="19" t="n">
        <x:f>IF(Q98="是",0,MIN(10,2+IF(C98="高",2,1)+IF(K98&gt;=3%,3,IF(K98&gt;=1%,2,1))+IF(L98="新出现",2,IF(M98&gt;=100%,3,IF(M98&gt;0,2,0)))))</x:f>
        <x:v>5</x:v>
      </x:c>
      <x:c r="T98" s="21"/>
      <x:c r="U98" s="20"/>
      <x:c r="V98" s="19" t="str">
        <x:v>http://tryalcove.com/</x:v>
      </x:c>
      <x:c r="W98" s="19" t="str">
        <x:v>https://pro.similarweb.com/#/digitalsuite/websiteanalysis/referrals/*/999/1m?webSource=Total&amp;selectedTab=incomingTraffic&amp;key=buy.stripe.com</x:v>
      </x:c>
      <x:c r="X98" s="20" t="n">
        <x:f>IF(Q98="是",0,IFERROR(P98/SUMIFS($P$2:$P$964,$A$2:$A$964,A98,$Q$2:$Q$964,"否"),0))</x:f>
        <x:v>0.002551453370216886</x:v>
      </x:c>
      <x:c r="Y98" s="22" t="str">
        <x:f>IF(OR(M98="",U98=""),"未交叉",IF(M98*U98&gt;0,"同向",IF(M98*U98&lt;0,"背离","一侧持平")))</x:f>
        <x:v>未交叉</x:v>
      </x:c>
    </x:row>
    <x:row r="99">
      <x:c r="A99" s="18" t="str">
        <x:v>buy.stripe.com</x:v>
      </x:c>
      <x:c r="B99" s="19" t="str">
        <x:v>专用支付/结账入口</x:v>
      </x:c>
      <x:c r="C99" s="19" t="str">
        <x:v>高</x:v>
      </x:c>
      <x:c r="D99" s="19" t="str">
        <x:v>Jul 2026</x:v>
      </x:c>
      <x:c r="E99" s="19" t="n">
        <x:v>98</x:v>
      </x:c>
      <x:c r="F99" s="19" t="str">
        <x:v>tools.kassenklingeln.de</x:v>
      </x:c>
      <x:c r="G99" s="19" t="str">
        <x:v>Unknown</x:v>
      </x:c>
      <x:c r="H99" s="19" t="str">
        <x:v>其他/待核查</x:v>
      </x:c>
      <x:c r="I99" s="19" t="str">
        <x:v>Similarweb 未分类</x:v>
      </x:c>
      <x:c r="J99" s="19"/>
      <x:c r="K99" s="20" t="n">
        <x:v>0.0015</x:v>
      </x:c>
      <x:c r="L99" s="19" t="str">
        <x:v>新出现</x:v>
      </x:c>
      <x:c r="M99" s="20"/>
      <x:c r="N99" s="21" t="n">
        <x:v>2716000</x:v>
      </x:c>
      <x:c r="O99" s="21" t="n">
        <x:v>4074</x:v>
      </x:c>
      <x:c r="P99" s="21" t="n">
        <x:f>ROUND(N99*K99,0)</x:f>
        <x:v>4074</x:v>
      </x:c>
      <x:c r="Q99" s="19" t="str">
        <x:v>否</x:v>
      </x:c>
      <x:c r="R99" s="19" t="str"/>
      <x:c r="S99" s="19" t="n">
        <x:f>IF(Q99="是",0,MIN(10,2+IF(C99="高",2,1)+IF(K99&gt;=3%,3,IF(K99&gt;=1%,2,1))+IF(L99="新出现",2,IF(M99&gt;=100%,3,IF(M99&gt;0,2,0)))))</x:f>
        <x:v>7</x:v>
      </x:c>
      <x:c r="T99" s="21"/>
      <x:c r="U99" s="20"/>
      <x:c r="V99" s="19" t="str">
        <x:v>http://tools.kassenklingeln.de/</x:v>
      </x:c>
      <x:c r="W99" s="19" t="str">
        <x:v>https://pro.similarweb.com/#/digitalsuite/websiteanalysis/referrals/*/999/1m?webSource=Total&amp;selectedTab=incomingTraffic&amp;key=buy.stripe.com</x:v>
      </x:c>
      <x:c r="X99" s="20" t="n">
        <x:f>IF(Q99="是",0,IFERROR(P99/SUMIFS($P$2:$P$964,$A$2:$A$964,A99,$Q$2:$Q$964,"否"),0))</x:f>
        <x:v>0.002551453370216886</x:v>
      </x:c>
      <x:c r="Y99" s="22" t="str">
        <x:f>IF(OR(M99="",U99=""),"未交叉",IF(M99*U99&gt;0,"同向",IF(M99*U99&lt;0,"背离","一侧持平")))</x:f>
        <x:v>未交叉</x:v>
      </x:c>
    </x:row>
    <x:row r="100">
      <x:c r="A100" s="18" t="str">
        <x:v>buy.stripe.com</x:v>
      </x:c>
      <x:c r="B100" s="19" t="str">
        <x:v>专用支付/结账入口</x:v>
      </x:c>
      <x:c r="C100" s="19" t="str">
        <x:v>高</x:v>
      </x:c>
      <x:c r="D100" s="19" t="str">
        <x:v>Jul 2026</x:v>
      </x:c>
      <x:c r="E100" s="19" t="n">
        <x:v>99</x:v>
      </x:c>
      <x:c r="F100" s="19" t="str">
        <x:v>nextadmit.com</x:v>
      </x:c>
      <x:c r="G100" s="19" t="str">
        <x:v>Universities and Colleges</x:v>
      </x:c>
      <x:c r="H100" s="19" t="str">
        <x:v>其他/待核查</x:v>
      </x:c>
      <x:c r="I100" s="19" t="str">
        <x:v>保守归类</x:v>
      </x:c>
      <x:c r="J100" s="19" t="n">
        <x:v>425996</x:v>
      </x:c>
      <x:c r="K100" s="20" t="n">
        <x:v>0.0015</x:v>
      </x:c>
      <x:c r="L100" s="19" t="str">
        <x:v>新出现</x:v>
      </x:c>
      <x:c r="M100" s="20"/>
      <x:c r="N100" s="21" t="n">
        <x:v>2716000</x:v>
      </x:c>
      <x:c r="O100" s="21" t="n">
        <x:v>4074</x:v>
      </x:c>
      <x:c r="P100" s="21" t="n">
        <x:f>ROUND(N100*K100,0)</x:f>
        <x:v>4074</x:v>
      </x:c>
      <x:c r="Q100" s="19" t="str">
        <x:v>否</x:v>
      </x:c>
      <x:c r="R100" s="19" t="str"/>
      <x:c r="S100" s="19" t="n">
        <x:f>IF(Q100="是",0,MIN(10,2+IF(C100="高",2,1)+IF(K100&gt;=3%,3,IF(K100&gt;=1%,2,1))+IF(L100="新出现",2,IF(M100&gt;=100%,3,IF(M100&gt;0,2,0)))))</x:f>
        <x:v>7</x:v>
      </x:c>
      <x:c r="T100" s="21"/>
      <x:c r="U100" s="20"/>
      <x:c r="V100" s="19" t="str">
        <x:v>http://nextadmit.com/</x:v>
      </x:c>
      <x:c r="W100" s="19" t="str">
        <x:v>https://pro.similarweb.com/#/digitalsuite/websiteanalysis/referrals/*/999/1m?webSource=Total&amp;selectedTab=incomingTraffic&amp;key=buy.stripe.com</x:v>
      </x:c>
      <x:c r="X100" s="20" t="n">
        <x:f>IF(Q100="是",0,IFERROR(P100/SUMIFS($P$2:$P$964,$A$2:$A$964,A100,$Q$2:$Q$964,"否"),0))</x:f>
        <x:v>0.002551453370216886</x:v>
      </x:c>
      <x:c r="Y100" s="22" t="str">
        <x:f>IF(OR(M100="",U100=""),"未交叉",IF(M100*U100&gt;0,"同向",IF(M100*U100&lt;0,"背离","一侧持平")))</x:f>
        <x:v>未交叉</x:v>
      </x:c>
    </x:row>
    <x:row r="101">
      <x:c r="A101" s="18" t="str">
        <x:v>buy.stripe.com</x:v>
      </x:c>
      <x:c r="B101" s="19" t="str">
        <x:v>专用支付/结账入口</x:v>
      </x:c>
      <x:c r="C101" s="19" t="str">
        <x:v>高</x:v>
      </x:c>
      <x:c r="D101" s="19" t="str">
        <x:v>Jul 2026</x:v>
      </x:c>
      <x:c r="E101" s="19" t="n">
        <x:v>100</x:v>
      </x:c>
      <x:c r="F101" s="19" t="str">
        <x:v>app.growbotik.com</x:v>
      </x:c>
      <x:c r="G101" s="19" t="str">
        <x:v>Unknown</x:v>
      </x:c>
      <x:c r="H101" s="19" t="str">
        <x:v>其他/待核查</x:v>
      </x:c>
      <x:c r="I101" s="19" t="str">
        <x:v>Similarweb 未分类</x:v>
      </x:c>
      <x:c r="J101" s="19"/>
      <x:c r="K101" s="20" t="n">
        <x:v>0.0015</x:v>
      </x:c>
      <x:c r="L101" s="19" t="str">
        <x:v>新出现</x:v>
      </x:c>
      <x:c r="M101" s="20"/>
      <x:c r="N101" s="21" t="n">
        <x:v>2716000</x:v>
      </x:c>
      <x:c r="O101" s="21" t="n">
        <x:v>4074</x:v>
      </x:c>
      <x:c r="P101" s="21" t="n">
        <x:f>ROUND(N101*K101,0)</x:f>
        <x:v>4074</x:v>
      </x:c>
      <x:c r="Q101" s="19" t="str">
        <x:v>否</x:v>
      </x:c>
      <x:c r="R101" s="19" t="str"/>
      <x:c r="S101" s="19" t="n">
        <x:f>IF(Q101="是",0,MIN(10,2+IF(C101="高",2,1)+IF(K101&gt;=3%,3,IF(K101&gt;=1%,2,1))+IF(L101="新出现",2,IF(M101&gt;=100%,3,IF(M101&gt;0,2,0)))))</x:f>
        <x:v>7</x:v>
      </x:c>
      <x:c r="T101" s="21"/>
      <x:c r="U101" s="20"/>
      <x:c r="V101" s="19" t="str">
        <x:v>http://app.growbotik.com/</x:v>
      </x:c>
      <x:c r="W101" s="19" t="str">
        <x:v>https://pro.similarweb.com/#/digitalsuite/websiteanalysis/referrals/*/999/1m?webSource=Total&amp;selectedTab=incomingTraffic&amp;key=buy.stripe.com</x:v>
      </x:c>
      <x:c r="X101" s="20" t="n">
        <x:f>IF(Q101="是",0,IFERROR(P101/SUMIFS($P$2:$P$964,$A$2:$A$964,A101,$Q$2:$Q$964,"否"),0))</x:f>
        <x:v>0.002551453370216886</x:v>
      </x:c>
      <x:c r="Y101" s="22" t="str">
        <x:f>IF(OR(M101="",U101=""),"未交叉",IF(M101*U101&gt;0,"同向",IF(M101*U101&lt;0,"背离","一侧持平")))</x:f>
        <x:v>未交叉</x:v>
      </x:c>
    </x:row>
    <x:row r="102">
      <x:c r="A102" s="18" t="str">
        <x:v>checkout.stripe.com</x:v>
      </x:c>
      <x:c r="B102" s="19" t="str">
        <x:v>专用支付/结账入口</x:v>
      </x:c>
      <x:c r="C102" s="19" t="str">
        <x:v>高</x:v>
      </x:c>
      <x:c r="D102" s="19" t="str">
        <x:v>Jul 2026</x:v>
      </x:c>
      <x:c r="E102" s="19" t="n">
        <x:v>1</x:v>
      </x:c>
      <x:c r="F102" s="19" t="str">
        <x:v>higgsfield.ai</x:v>
      </x:c>
      <x:c r="G102" s="19" t="str">
        <x:v>Computers Electronics and Technology</x:v>
      </x:c>
      <x:c r="H102" s="19" t="str">
        <x:v>AI 内容生成与创作</x:v>
      </x:c>
      <x:c r="I102" s="19" t="str">
        <x:v>域名人工/关键词识别</x:v>
      </x:c>
      <x:c r="J102" s="19" t="n">
        <x:v>1366</x:v>
      </x:c>
      <x:c r="K102" s="20" t="n">
        <x:v>0.08220000000000001</x:v>
      </x:c>
      <x:c r="L102" s="19" t="str">
        <x:v>上升</x:v>
      </x:c>
      <x:c r="M102" s="20" t="n">
        <x:v>0.6707</x:v>
      </x:c>
      <x:c r="N102" s="21" t="n">
        <x:v>42540000</x:v>
      </x:c>
      <x:c r="O102" s="21" t="n">
        <x:v>3496788</x:v>
      </x:c>
      <x:c r="P102" s="21" t="n">
        <x:f>ROUND(N102*K102,0)</x:f>
        <x:v>3496788</x:v>
      </x:c>
      <x:c r="Q102" s="19" t="str">
        <x:v>否</x:v>
      </x:c>
      <x:c r="R102" s="19" t="str"/>
      <x:c r="S102" s="19" t="n">
        <x:f>IF(Q102="是",0,MIN(10,2+IF(C102="高",2,1)+IF(K102&gt;=3%,3,IF(K102&gt;=1%,2,1))+IF(L102="新出现",2,IF(M102&gt;=100%,3,IF(M102&gt;0,2,0)))))</x:f>
        <x:v>9</x:v>
      </x:c>
      <x:c r="T102" s="21" t="n">
        <x:v>31310000</x:v>
      </x:c>
      <x:c r="U102" s="20" t="n">
        <x:v>0.168</x:v>
      </x:c>
      <x:c r="V102" s="19" t="str">
        <x:v>http://higgsfield.ai/</x:v>
      </x:c>
      <x:c r="W102" s="19" t="str">
        <x:v>https://pro.similarweb.com/#/digitalsuite/websiteanalysis/referrals/*/999/1m?webSource=Total&amp;selectedTab=incomingTraffic&amp;key=checkout.stripe.com</x:v>
      </x:c>
      <x:c r="X102" s="20" t="n">
        <x:f>IF(Q102="是",0,IFERROR(P102/SUMIFS($P$2:$P$964,$A$2:$A$964,A102,$Q$2:$Q$964,"否"),0))</x:f>
        <x:v>0.14853632092518973</x:v>
      </x:c>
      <x:c r="Y102" s="22" t="str">
        <x:f>IF(OR(M102="",U102=""),"未交叉",IF(M102*U102&gt;0,"同向",IF(M102*U102&lt;0,"背离","一侧持平")))</x:f>
        <x:v>同向</x:v>
      </x:c>
    </x:row>
    <x:row r="103">
      <x:c r="A103" s="18" t="str">
        <x:v>checkout.stripe.com</x:v>
      </x:c>
      <x:c r="B103" s="19" t="str">
        <x:v>专用支付/结账入口</x:v>
      </x:c>
      <x:c r="C103" s="19" t="str">
        <x:v>高</x:v>
      </x:c>
      <x:c r="D103" s="19" t="str">
        <x:v>Jul 2026</x:v>
      </x:c>
      <x:c r="E103" s="19" t="n">
        <x:v>2</x:v>
      </x:c>
      <x:c r="F103" s="19" t="str">
        <x:v>paypal.com</x:v>
      </x:c>
      <x:c r="G103" s="19" t="str">
        <x:v>Banking Credit and Lending</x:v>
      </x:c>
      <x:c r="H103" s="19" t="str">
        <x:v>金融、支付与交易服务</x:v>
      </x:c>
      <x:c r="I103" s="19" t="str">
        <x:v>Similarweb 行业映射</x:v>
      </x:c>
      <x:c r="J103" s="19" t="n">
        <x:v>70</x:v>
      </x:c>
      <x:c r="K103" s="20" t="n">
        <x:v>0.039</x:v>
      </x:c>
      <x:c r="L103" s="19" t="str">
        <x:v>上升</x:v>
      </x:c>
      <x:c r="M103" s="20" t="n">
        <x:v>0.048600000000000004</x:v>
      </x:c>
      <x:c r="N103" s="21" t="n">
        <x:v>42540000</x:v>
      </x:c>
      <x:c r="O103" s="21" t="n">
        <x:v>1659060</x:v>
      </x:c>
      <x:c r="P103" s="21" t="n">
        <x:f>ROUND(N103*K103,0)</x:f>
        <x:v>1659060</x:v>
      </x:c>
      <x:c r="Q103" s="19" t="str">
        <x:v>是</x:v>
      </x:c>
      <x:c r="R103" s="19" t="str">
        <x:v>支付平台、自引荐或流量中介</x:v>
      </x:c>
      <x:c r="S103" s="19" t="n">
        <x:f>IF(Q103="是",0,MIN(10,2+IF(C103="高",2,1)+IF(K103&gt;=3%,3,IF(K103&gt;=1%,2,1))+IF(L103="新出现",2,IF(M103&gt;=100%,3,IF(M103&gt;0,2,0)))))</x:f>
        <x:v>0</x:v>
      </x:c>
      <x:c r="T103" s="21"/>
      <x:c r="U103" s="20"/>
      <x:c r="V103" s="19" t="str">
        <x:v>http://paypal.com/</x:v>
      </x:c>
      <x:c r="W103" s="19" t="str">
        <x:v>https://pro.similarweb.com/#/digitalsuite/websiteanalysis/referrals/*/999/1m?webSource=Total&amp;selectedTab=incomingTraffic&amp;key=checkout.stripe.com</x:v>
      </x:c>
      <x:c r="X103" s="20" t="n">
        <x:f>IF(Q103="是",0,IFERROR(P103/SUMIFS($P$2:$P$964,$A$2:$A$964,A103,$Q$2:$Q$964,"否"),0))</x:f>
        <x:v>0</x:v>
      </x:c>
      <x:c r="Y103" s="22" t="str">
        <x:f>IF(OR(M103="",U103=""),"未交叉",IF(M103*U103&gt;0,"同向",IF(M103*U103&lt;0,"背离","一侧持平")))</x:f>
        <x:v>未交叉</x:v>
      </x:c>
    </x:row>
    <x:row r="104">
      <x:c r="A104" s="18" t="str">
        <x:v>checkout.stripe.com</x:v>
      </x:c>
      <x:c r="B104" s="19" t="str">
        <x:v>专用支付/结账入口</x:v>
      </x:c>
      <x:c r="C104" s="19" t="str">
        <x:v>高</x:v>
      </x:c>
      <x:c r="D104" s="19" t="str">
        <x:v>Jul 2026</x:v>
      </x:c>
      <x:c r="E104" s="19" t="n">
        <x:v>3</x:v>
      </x:c>
      <x:c r="F104" s="19" t="str">
        <x:v>elevenlabs.io</x:v>
      </x:c>
      <x:c r="G104" s="19" t="str">
        <x:v>Programming and Developer Software</x:v>
      </x:c>
      <x:c r="H104" s="19" t="str">
        <x:v>AI 内容生成与创作</x:v>
      </x:c>
      <x:c r="I104" s="19" t="str">
        <x:v>域名人工/关键词识别</x:v>
      </x:c>
      <x:c r="J104" s="19" t="n">
        <x:v>1132</x:v>
      </x:c>
      <x:c r="K104" s="20" t="n">
        <x:v>0.0333</x:v>
      </x:c>
      <x:c r="L104" s="19" t="str">
        <x:v>下降</x:v>
      </x:c>
      <x:c r="M104" s="20" t="n">
        <x:v>-0.021400000000000002</x:v>
      </x:c>
      <x:c r="N104" s="21" t="n">
        <x:v>42540000</x:v>
      </x:c>
      <x:c r="O104" s="21" t="n">
        <x:v>1416582</x:v>
      </x:c>
      <x:c r="P104" s="21" t="n">
        <x:f>ROUND(N104*K104,0)</x:f>
        <x:v>1416582</x:v>
      </x:c>
      <x:c r="Q104" s="19" t="str">
        <x:v>否</x:v>
      </x:c>
      <x:c r="R104" s="19" t="str"/>
      <x:c r="S104" s="19" t="n">
        <x:f>IF(Q104="是",0,MIN(10,2+IF(C104="高",2,1)+IF(K104&gt;=3%,3,IF(K104&gt;=1%,2,1))+IF(L104="新出现",2,IF(M104&gt;=100%,3,IF(M104&gt;0,2,0)))))</x:f>
        <x:v>7</x:v>
      </x:c>
      <x:c r="T104" s="21"/>
      <x:c r="U104" s="20"/>
      <x:c r="V104" s="19" t="str">
        <x:v>http://elevenlabs.io/</x:v>
      </x:c>
      <x:c r="W104" s="19" t="str">
        <x:v>https://pro.similarweb.com/#/digitalsuite/websiteanalysis/referrals/*/999/1m?webSource=Total&amp;selectedTab=incomingTraffic&amp;key=checkout.stripe.com</x:v>
      </x:c>
      <x:c r="X104" s="20" t="n">
        <x:f>IF(Q104="是",0,IFERROR(P104/SUMIFS($P$2:$P$964,$A$2:$A$964,A104,$Q$2:$Q$964,"否"),0))</x:f>
        <x:v>0.06017347307553307</x:v>
      </x:c>
      <x:c r="Y104" s="22" t="str">
        <x:f>IF(OR(M104="",U104=""),"未交叉",IF(M104*U104&gt;0,"同向",IF(M104*U104&lt;0,"背离","一侧持平")))</x:f>
        <x:v>未交叉</x:v>
      </x:c>
    </x:row>
    <x:row r="105">
      <x:c r="A105" s="18" t="str">
        <x:v>checkout.stripe.com</x:v>
      </x:c>
      <x:c r="B105" s="19" t="str">
        <x:v>专用支付/结账入口</x:v>
      </x:c>
      <x:c r="C105" s="19" t="str">
        <x:v>高</x:v>
      </x:c>
      <x:c r="D105" s="19" t="str">
        <x:v>Jul 2026</x:v>
      </x:c>
      <x:c r="E105" s="19" t="n">
        <x:v>4</x:v>
      </x:c>
      <x:c r="F105" s="19" t="str">
        <x:v>suno.com</x:v>
      </x:c>
      <x:c r="G105" s="19" t="str">
        <x:v>Computers Electronics and Technology</x:v>
      </x:c>
      <x:c r="H105" s="19" t="str">
        <x:v>AI 内容生成与创作</x:v>
      </x:c>
      <x:c r="I105" s="19" t="str">
        <x:v>域名人工/关键词识别</x:v>
      </x:c>
      <x:c r="J105" s="19" t="n">
        <x:v>547</x:v>
      </x:c>
      <x:c r="K105" s="20" t="n">
        <x:v>0.0269</x:v>
      </x:c>
      <x:c r="L105" s="19" t="str">
        <x:v>下降</x:v>
      </x:c>
      <x:c r="M105" s="20" t="n">
        <x:v>-0.0557</x:v>
      </x:c>
      <x:c r="N105" s="21" t="n">
        <x:v>42540000</x:v>
      </x:c>
      <x:c r="O105" s="21" t="n">
        <x:v>1144326</x:v>
      </x:c>
      <x:c r="P105" s="21" t="n">
        <x:f>ROUND(N105*K105,0)</x:f>
        <x:v>1144326</x:v>
      </x:c>
      <x:c r="Q105" s="19" t="str">
        <x:v>否</x:v>
      </x:c>
      <x:c r="R105" s="19" t="str"/>
      <x:c r="S105" s="19" t="n">
        <x:f>IF(Q105="是",0,MIN(10,2+IF(C105="高",2,1)+IF(K105&gt;=3%,3,IF(K105&gt;=1%,2,1))+IF(L105="新出现",2,IF(M105&gt;=100%,3,IF(M105&gt;0,2,0)))))</x:f>
        <x:v>6</x:v>
      </x:c>
      <x:c r="T105" s="21"/>
      <x:c r="U105" s="20"/>
      <x:c r="V105" s="19" t="str">
        <x:v>http://suno.com/</x:v>
      </x:c>
      <x:c r="W105" s="19" t="str">
        <x:v>https://pro.similarweb.com/#/digitalsuite/websiteanalysis/referrals/*/999/1m?webSource=Total&amp;selectedTab=incomingTraffic&amp;key=checkout.stripe.com</x:v>
      </x:c>
      <x:c r="X105" s="20" t="n">
        <x:f>IF(Q105="是",0,IFERROR(P105/SUMIFS($P$2:$P$964,$A$2:$A$964,A105,$Q$2:$Q$964,"否"),0))</x:f>
        <x:v>0.048608601373328515</x:v>
      </x:c>
      <x:c r="Y105" s="22" t="str">
        <x:f>IF(OR(M105="",U105=""),"未交叉",IF(M105*U105&gt;0,"同向",IF(M105*U105&lt;0,"背离","一侧持平")))</x:f>
        <x:v>未交叉</x:v>
      </x:c>
    </x:row>
    <x:row r="106">
      <x:c r="A106" s="18" t="str">
        <x:v>checkout.stripe.com</x:v>
      </x:c>
      <x:c r="B106" s="19" t="str">
        <x:v>专用支付/结账入口</x:v>
      </x:c>
      <x:c r="C106" s="19" t="str">
        <x:v>高</x:v>
      </x:c>
      <x:c r="D106" s="19" t="str">
        <x:v>Jul 2026</x:v>
      </x:c>
      <x:c r="E106" s="19" t="n">
        <x:v>5</x:v>
      </x:c>
      <x:c r="F106" s="19" t="str">
        <x:v>Referral</x:v>
      </x:c>
      <x:c r="G106" s="19" t="str">
        <x:v>Unknown</x:v>
      </x:c>
      <x:c r="H106" s="19" t="str">
        <x:v>其他/待核查</x:v>
      </x:c>
      <x:c r="I106" s="19" t="str">
        <x:v>Similarweb 未分类</x:v>
      </x:c>
      <x:c r="J106" s="19"/>
      <x:c r="K106" s="20" t="n">
        <x:v>0.0248</x:v>
      </x:c>
      <x:c r="L106" s="19" t="str">
        <x:v>上升</x:v>
      </x:c>
      <x:c r="M106" s="20" t="n">
        <x:v>0.0542</x:v>
      </x:c>
      <x:c r="N106" s="21" t="n">
        <x:v>42540000</x:v>
      </x:c>
      <x:c r="O106" s="21" t="n">
        <x:v>1054992</x:v>
      </x:c>
      <x:c r="P106" s="21" t="n">
        <x:f>ROUND(N106*K106,0)</x:f>
        <x:v>1054992</x:v>
      </x:c>
      <x:c r="Q106" s="19" t="str">
        <x:v>是</x:v>
      </x:c>
      <x:c r="R106" s="19" t="str">
        <x:v>无效/聚合标签</x:v>
      </x:c>
      <x:c r="S106" s="19" t="n">
        <x:f>IF(Q106="是",0,MIN(10,2+IF(C106="高",2,1)+IF(K106&gt;=3%,3,IF(K106&gt;=1%,2,1))+IF(L106="新出现",2,IF(M106&gt;=100%,3,IF(M106&gt;0,2,0)))))</x:f>
        <x:v>0</x:v>
      </x:c>
      <x:c r="T106" s="21"/>
      <x:c r="U106" s="20"/>
      <x:c r="V106" s="19" t="str">
        <x:v>http://referral/</x:v>
      </x:c>
      <x:c r="W106" s="19" t="str">
        <x:v>https://pro.similarweb.com/#/digitalsuite/websiteanalysis/referrals/*/999/1m?webSource=Total&amp;selectedTab=incomingTraffic&amp;key=checkout.stripe.com</x:v>
      </x:c>
      <x:c r="X106" s="20" t="n">
        <x:f>IF(Q106="是",0,IFERROR(P106/SUMIFS($P$2:$P$964,$A$2:$A$964,A106,$Q$2:$Q$964,"否"),0))</x:f>
        <x:v>0</x:v>
      </x:c>
      <x:c r="Y106" s="22" t="str">
        <x:f>IF(OR(M106="",U106=""),"未交叉",IF(M106*U106&gt;0,"同向",IF(M106*U106&lt;0,"背离","一侧持平")))</x:f>
        <x:v>未交叉</x:v>
      </x:c>
    </x:row>
    <x:row r="107">
      <x:c r="A107" s="18" t="str">
        <x:v>checkout.stripe.com</x:v>
      </x:c>
      <x:c r="B107" s="19" t="str">
        <x:v>专用支付/结账入口</x:v>
      </x:c>
      <x:c r="C107" s="19" t="str">
        <x:v>高</x:v>
      </x:c>
      <x:c r="D107" s="19" t="str">
        <x:v>Jul 2026</x:v>
      </x:c>
      <x:c r="E107" s="19" t="n">
        <x:v>6</x:v>
      </x:c>
      <x:c r="F107" s="19" t="str">
        <x:v>opencode.ai</x:v>
      </x:c>
      <x:c r="G107" s="19" t="str">
        <x:v>Programming and Developer Software</x:v>
      </x:c>
      <x:c r="H107" s="19" t="str">
        <x:v>AI 开发工具与基础设施</x:v>
      </x:c>
      <x:c r="I107" s="19" t="str">
        <x:v>域名人工识别</x:v>
      </x:c>
      <x:c r="J107" s="19" t="n">
        <x:v>5065</x:v>
      </x:c>
      <x:c r="K107" s="20" t="n">
        <x:v>0.0213</x:v>
      </x:c>
      <x:c r="L107" s="19" t="str">
        <x:v>上升</x:v>
      </x:c>
      <x:c r="M107" s="20" t="n">
        <x:v>0.0217</x:v>
      </x:c>
      <x:c r="N107" s="21" t="n">
        <x:v>42540000</x:v>
      </x:c>
      <x:c r="O107" s="21" t="n">
        <x:v>906102</x:v>
      </x:c>
      <x:c r="P107" s="21" t="n">
        <x:f>ROUND(N107*K107,0)</x:f>
        <x:v>906102</x:v>
      </x:c>
      <x:c r="Q107" s="19" t="str">
        <x:v>否</x:v>
      </x:c>
      <x:c r="R107" s="19" t="str"/>
      <x:c r="S107" s="19" t="n">
        <x:f>IF(Q107="是",0,MIN(10,2+IF(C107="高",2,1)+IF(K107&gt;=3%,3,IF(K107&gt;=1%,2,1))+IF(L107="新出现",2,IF(M107&gt;=100%,3,IF(M107&gt;0,2,0)))))</x:f>
        <x:v>8</x:v>
      </x:c>
      <x:c r="T107" s="21"/>
      <x:c r="U107" s="20"/>
      <x:c r="V107" s="19" t="str">
        <x:v>http://opencode.ai/</x:v>
      </x:c>
      <x:c r="W107" s="19" t="str">
        <x:v>https://pro.similarweb.com/#/digitalsuite/websiteanalysis/referrals/*/999/1m?webSource=Total&amp;selectedTab=incomingTraffic&amp;key=checkout.stripe.com</x:v>
      </x:c>
      <x:c r="X107" s="20" t="n">
        <x:f>IF(Q107="是",0,IFERROR(P107/SUMIFS($P$2:$P$964,$A$2:$A$964,A107,$Q$2:$Q$964,"否"),0))</x:f>
        <x:v>0.03848933863389953</x:v>
      </x:c>
      <x:c r="Y107" s="22" t="str">
        <x:f>IF(OR(M107="",U107=""),"未交叉",IF(M107*U107&gt;0,"同向",IF(M107*U107&lt;0,"背离","一侧持平")))</x:f>
        <x:v>未交叉</x:v>
      </x:c>
    </x:row>
    <x:row r="108">
      <x:c r="A108" s="18" t="str">
        <x:v>checkout.stripe.com</x:v>
      </x:c>
      <x:c r="B108" s="19" t="str">
        <x:v>专用支付/结账入口</x:v>
      </x:c>
      <x:c r="C108" s="19" t="str">
        <x:v>高</x:v>
      </x:c>
      <x:c r="D108" s="19" t="str">
        <x:v>Jul 2026</x:v>
      </x:c>
      <x:c r="E108" s="19" t="n">
        <x:v>7</x:v>
      </x:c>
      <x:c r="F108" s="19" t="str">
        <x:v>portal.nousresearch.com</x:v>
      </x:c>
      <x:c r="G108" s="19" t="str">
        <x:v>Investing</x:v>
      </x:c>
      <x:c r="H108" s="19" t="str">
        <x:v>AI 开发工具与基础设施</x:v>
      </x:c>
      <x:c r="I108" s="19" t="str">
        <x:v>域名人工识别</x:v>
      </x:c>
      <x:c r="J108" s="19"/>
      <x:c r="K108" s="20" t="n">
        <x:v>0.016399999999999998</x:v>
      </x:c>
      <x:c r="L108" s="19" t="str">
        <x:v>下降</x:v>
      </x:c>
      <x:c r="M108" s="20" t="n">
        <x:v>-0.3403</x:v>
      </x:c>
      <x:c r="N108" s="21" t="n">
        <x:v>42540000</x:v>
      </x:c>
      <x:c r="O108" s="21" t="n">
        <x:v>697656</x:v>
      </x:c>
      <x:c r="P108" s="21" t="n">
        <x:f>ROUND(N108*K108,0)</x:f>
        <x:v>697656</x:v>
      </x:c>
      <x:c r="Q108" s="19" t="str">
        <x:v>否</x:v>
      </x:c>
      <x:c r="R108" s="19" t="str"/>
      <x:c r="S108" s="19" t="n">
        <x:f>IF(Q108="是",0,MIN(10,2+IF(C108="高",2,1)+IF(K108&gt;=3%,3,IF(K108&gt;=1%,2,1))+IF(L108="新出现",2,IF(M108&gt;=100%,3,IF(M108&gt;0,2,0)))))</x:f>
        <x:v>6</x:v>
      </x:c>
      <x:c r="T108" s="21"/>
      <x:c r="U108" s="20"/>
      <x:c r="V108" s="19" t="str">
        <x:v>http://portal.nousresearch.com/</x:v>
      </x:c>
      <x:c r="W108" s="19" t="str">
        <x:v>https://pro.similarweb.com/#/digitalsuite/websiteanalysis/referrals/*/999/1m?webSource=Total&amp;selectedTab=incomingTraffic&amp;key=checkout.stripe.com</x:v>
      </x:c>
      <x:c r="X108" s="20" t="n">
        <x:f>IF(Q108="是",0,IFERROR(P108/SUMIFS($P$2:$P$964,$A$2:$A$964,A108,$Q$2:$Q$964,"否"),0))</x:f>
        <x:v>0.02963498373689917</x:v>
      </x:c>
      <x:c r="Y108" s="22" t="str">
        <x:f>IF(OR(M108="",U108=""),"未交叉",IF(M108*U108&gt;0,"同向",IF(M108*U108&lt;0,"背离","一侧持平")))</x:f>
        <x:v>未交叉</x:v>
      </x:c>
    </x:row>
    <x:row r="109">
      <x:c r="A109" s="18" t="str">
        <x:v>checkout.stripe.com</x:v>
      </x:c>
      <x:c r="B109" s="19" t="str">
        <x:v>专用支付/结账入口</x:v>
      </x:c>
      <x:c r="C109" s="19" t="str">
        <x:v>高</x:v>
      </x:c>
      <x:c r="D109" s="19" t="str">
        <x:v>Jul 2026</x:v>
      </x:c>
      <x:c r="E109" s="19" t="n">
        <x:v>8</x:v>
      </x:c>
      <x:c r="F109" s="19" t="str">
        <x:v>kling.ai</x:v>
      </x:c>
      <x:c r="G109" s="19" t="str">
        <x:v>Graphics Multimedia and Web Design</x:v>
      </x:c>
      <x:c r="H109" s="19" t="str">
        <x:v>AI 内容生成与创作</x:v>
      </x:c>
      <x:c r="I109" s="19" t="str">
        <x:v>域名人工/关键词识别</x:v>
      </x:c>
      <x:c r="J109" s="19" t="n">
        <x:v>3892</x:v>
      </x:c>
      <x:c r="K109" s="20" t="n">
        <x:v>0.015700000000000002</x:v>
      </x:c>
      <x:c r="L109" s="19" t="str">
        <x:v>下降</x:v>
      </x:c>
      <x:c r="M109" s="20" t="n">
        <x:v>-0.13390000000000002</x:v>
      </x:c>
      <x:c r="N109" s="21" t="n">
        <x:v>42540000</x:v>
      </x:c>
      <x:c r="O109" s="21" t="n">
        <x:v>667878</x:v>
      </x:c>
      <x:c r="P109" s="21" t="n">
        <x:f>ROUND(N109*K109,0)</x:f>
        <x:v>667878</x:v>
      </x:c>
      <x:c r="Q109" s="19" t="str">
        <x:v>否</x:v>
      </x:c>
      <x:c r="R109" s="19" t="str"/>
      <x:c r="S109" s="19" t="n">
        <x:f>IF(Q109="是",0,MIN(10,2+IF(C109="高",2,1)+IF(K109&gt;=3%,3,IF(K109&gt;=1%,2,1))+IF(L109="新出现",2,IF(M109&gt;=100%,3,IF(M109&gt;0,2,0)))))</x:f>
        <x:v>6</x:v>
      </x:c>
      <x:c r="T109" s="21"/>
      <x:c r="U109" s="20"/>
      <x:c r="V109" s="19" t="str">
        <x:v>http://kling.ai/</x:v>
      </x:c>
      <x:c r="W109" s="19" t="str">
        <x:v>https://pro.similarweb.com/#/digitalsuite/websiteanalysis/referrals/*/999/1m?webSource=Total&amp;selectedTab=incomingTraffic&amp;key=checkout.stripe.com</x:v>
      </x:c>
      <x:c r="X109" s="20" t="n">
        <x:f>IF(Q109="是",0,IFERROR(P109/SUMIFS($P$2:$P$964,$A$2:$A$964,A109,$Q$2:$Q$964,"否"),0))</x:f>
        <x:v>0.028370075894470544</x:v>
      </x:c>
      <x:c r="Y109" s="22" t="str">
        <x:f>IF(OR(M109="",U109=""),"未交叉",IF(M109*U109&gt;0,"同向",IF(M109*U109&lt;0,"背离","一侧持平")))</x:f>
        <x:v>未交叉</x:v>
      </x:c>
    </x:row>
    <x:row r="110">
      <x:c r="A110" s="18" t="str">
        <x:v>checkout.stripe.com</x:v>
      </x:c>
      <x:c r="B110" s="19" t="str">
        <x:v>专用支付/结账入口</x:v>
      </x:c>
      <x:c r="C110" s="19" t="str">
        <x:v>高</x:v>
      </x:c>
      <x:c r="D110" s="19" t="str">
        <x:v>Jul 2026</x:v>
      </x:c>
      <x:c r="E110" s="19" t="n">
        <x:v>9</x:v>
      </x:c>
      <x:c r="F110" s="19" t="str">
        <x:v>sellvia.com</x:v>
      </x:c>
      <x:c r="G110" s="19" t="str">
        <x:v>Online Marketing</x:v>
      </x:c>
      <x:c r="H110" s="19" t="str">
        <x:v>营销、电商与商业 SaaS</x:v>
      </x:c>
      <x:c r="I110" s="19" t="str">
        <x:v>域名人工识别</x:v>
      </x:c>
      <x:c r="J110" s="19" t="n">
        <x:v>30878</x:v>
      </x:c>
      <x:c r="K110" s="20" t="n">
        <x:v>0.0151</x:v>
      </x:c>
      <x:c r="L110" s="19" t="str">
        <x:v>下降</x:v>
      </x:c>
      <x:c r="M110" s="20" t="n">
        <x:v>-0.1457</x:v>
      </x:c>
      <x:c r="N110" s="21" t="n">
        <x:v>42540000</x:v>
      </x:c>
      <x:c r="O110" s="21" t="n">
        <x:v>642354</x:v>
      </x:c>
      <x:c r="P110" s="21" t="n">
        <x:f>ROUND(N110*K110,0)</x:f>
        <x:v>642354</x:v>
      </x:c>
      <x:c r="Q110" s="19" t="str">
        <x:v>否</x:v>
      </x:c>
      <x:c r="R110" s="19" t="str"/>
      <x:c r="S110" s="19" t="n">
        <x:f>IF(Q110="是",0,MIN(10,2+IF(C110="高",2,1)+IF(K110&gt;=3%,3,IF(K110&gt;=1%,2,1))+IF(L110="新出现",2,IF(M110&gt;=100%,3,IF(M110&gt;0,2,0)))))</x:f>
        <x:v>6</x:v>
      </x:c>
      <x:c r="T110" s="21"/>
      <x:c r="U110" s="20"/>
      <x:c r="V110" s="19" t="str">
        <x:v>http://sellvia.com/</x:v>
      </x:c>
      <x:c r="W110" s="19" t="str">
        <x:v>https://pro.similarweb.com/#/digitalsuite/websiteanalysis/referrals/*/999/1m?webSource=Total&amp;selectedTab=incomingTraffic&amp;key=checkout.stripe.com</x:v>
      </x:c>
      <x:c r="X110" s="20" t="n">
        <x:f>IF(Q110="是",0,IFERROR(P110/SUMIFS($P$2:$P$964,$A$2:$A$964,A110,$Q$2:$Q$964,"否"),0))</x:f>
        <x:v>0.027285869172388868</x:v>
      </x:c>
      <x:c r="Y110" s="22" t="str">
        <x:f>IF(OR(M110="",U110=""),"未交叉",IF(M110*U110&gt;0,"同向",IF(M110*U110&lt;0,"背离","一侧持平")))</x:f>
        <x:v>未交叉</x:v>
      </x:c>
    </x:row>
    <x:row r="111">
      <x:c r="A111" s="18" t="str">
        <x:v>checkout.stripe.com</x:v>
      </x:c>
      <x:c r="B111" s="19" t="str">
        <x:v>专用支付/结账入口</x:v>
      </x:c>
      <x:c r="C111" s="19" t="str">
        <x:v>高</x:v>
      </x:c>
      <x:c r="D111" s="19" t="str">
        <x:v>Jul 2026</x:v>
      </x:c>
      <x:c r="E111" s="19" t="n">
        <x:v>10</x:v>
      </x:c>
      <x:c r="F111" s="19" t="str">
        <x:v>turboscribe.ai</x:v>
      </x:c>
      <x:c r="G111" s="19" t="str">
        <x:v>Programming and Developer Software</x:v>
      </x:c>
      <x:c r="H111" s="19" t="str">
        <x:v>AI 内容生成与创作</x:v>
      </x:c>
      <x:c r="I111" s="19" t="str">
        <x:v>域名人工/关键词识别</x:v>
      </x:c>
      <x:c r="J111" s="19" t="n">
        <x:v>2121</x:v>
      </x:c>
      <x:c r="K111" s="20" t="n">
        <x:v>0.0138</x:v>
      </x:c>
      <x:c r="L111" s="19" t="str">
        <x:v>上升</x:v>
      </x:c>
      <x:c r="M111" s="20" t="n">
        <x:v>0.0088</x:v>
      </x:c>
      <x:c r="N111" s="21" t="n">
        <x:v>42540000</x:v>
      </x:c>
      <x:c r="O111" s="21" t="n">
        <x:v>587052</x:v>
      </x:c>
      <x:c r="P111" s="21" t="n">
        <x:f>ROUND(N111*K111,0)</x:f>
        <x:v>587052</x:v>
      </x:c>
      <x:c r="Q111" s="19" t="str">
        <x:v>否</x:v>
      </x:c>
      <x:c r="R111" s="19" t="str"/>
      <x:c r="S111" s="19" t="n">
        <x:f>IF(Q111="是",0,MIN(10,2+IF(C111="高",2,1)+IF(K111&gt;=3%,3,IF(K111&gt;=1%,2,1))+IF(L111="新出现",2,IF(M111&gt;=100%,3,IF(M111&gt;0,2,0)))))</x:f>
        <x:v>8</x:v>
      </x:c>
      <x:c r="T111" s="21"/>
      <x:c r="U111" s="20"/>
      <x:c r="V111" s="19" t="str">
        <x:v>http://turboscribe.ai/</x:v>
      </x:c>
      <x:c r="W111" s="19" t="str">
        <x:v>https://pro.similarweb.com/#/digitalsuite/websiteanalysis/referrals/*/999/1m?webSource=Total&amp;selectedTab=incomingTraffic&amp;key=checkout.stripe.com</x:v>
      </x:c>
      <x:c r="X111" s="20" t="n">
        <x:f>IF(Q111="是",0,IFERROR(P111/SUMIFS($P$2:$P$964,$A$2:$A$964,A111,$Q$2:$Q$964,"否"),0))</x:f>
        <x:v>0.02493675460787857</x:v>
      </x:c>
      <x:c r="Y111" s="22" t="str">
        <x:f>IF(OR(M111="",U111=""),"未交叉",IF(M111*U111&gt;0,"同向",IF(M111*U111&lt;0,"背离","一侧持平")))</x:f>
        <x:v>未交叉</x:v>
      </x:c>
    </x:row>
    <x:row r="112">
      <x:c r="A112" s="18" t="str">
        <x:v>checkout.stripe.com</x:v>
      </x:c>
      <x:c r="B112" s="19" t="str">
        <x:v>专用支付/结账入口</x:v>
      </x:c>
      <x:c r="C112" s="19" t="str">
        <x:v>高</x:v>
      </x:c>
      <x:c r="D112" s="19" t="str">
        <x:v>Jul 2026</x:v>
      </x:c>
      <x:c r="E112" s="19" t="n">
        <x:v>11</x:v>
      </x:c>
      <x:c r="F112" s="19" t="str">
        <x:v>csfloat.com</x:v>
      </x:c>
      <x:c r="G112" s="19" t="str">
        <x:v>Video Games Consoles and Accessories</x:v>
      </x:c>
      <x:c r="H112" s="19" t="str">
        <x:v>游戏、数字商品与虚拟内容</x:v>
      </x:c>
      <x:c r="I112" s="19" t="str">
        <x:v>Similarweb 行业映射</x:v>
      </x:c>
      <x:c r="J112" s="19" t="n">
        <x:v>3260</x:v>
      </x:c>
      <x:c r="K112" s="20" t="n">
        <x:v>0.0113</x:v>
      </x:c>
      <x:c r="L112" s="19" t="str">
        <x:v>下降</x:v>
      </x:c>
      <x:c r="M112" s="20" t="n">
        <x:v>-0.0351</x:v>
      </x:c>
      <x:c r="N112" s="21" t="n">
        <x:v>42540000</x:v>
      </x:c>
      <x:c r="O112" s="21" t="n">
        <x:v>480702</x:v>
      </x:c>
      <x:c r="P112" s="21" t="n">
        <x:f>ROUND(N112*K112,0)</x:f>
        <x:v>480702</x:v>
      </x:c>
      <x:c r="Q112" s="19" t="str">
        <x:v>否</x:v>
      </x:c>
      <x:c r="R112" s="19" t="str"/>
      <x:c r="S112" s="19" t="n">
        <x:f>IF(Q112="是",0,MIN(10,2+IF(C112="高",2,1)+IF(K112&gt;=3%,3,IF(K112&gt;=1%,2,1))+IF(L112="新出现",2,IF(M112&gt;=100%,3,IF(M112&gt;0,2,0)))))</x:f>
        <x:v>6</x:v>
      </x:c>
      <x:c r="T112" s="21"/>
      <x:c r="U112" s="20"/>
      <x:c r="V112" s="19" t="str">
        <x:v>http://csfloat.com/</x:v>
      </x:c>
      <x:c r="W112" s="19" t="str">
        <x:v>https://pro.similarweb.com/#/digitalsuite/websiteanalysis/referrals/*/999/1m?webSource=Total&amp;selectedTab=incomingTraffic&amp;key=checkout.stripe.com</x:v>
      </x:c>
      <x:c r="X112" s="20" t="n">
        <x:f>IF(Q112="是",0,IFERROR(P112/SUMIFS($P$2:$P$964,$A$2:$A$964,A112,$Q$2:$Q$964,"否"),0))</x:f>
        <x:v>0.020419226599204914</x:v>
      </x:c>
      <x:c r="Y112" s="22" t="str">
        <x:f>IF(OR(M112="",U112=""),"未交叉",IF(M112*U112&gt;0,"同向",IF(M112*U112&lt;0,"背离","一侧持平")))</x:f>
        <x:v>未交叉</x:v>
      </x:c>
    </x:row>
    <x:row r="113">
      <x:c r="A113" s="18" t="str">
        <x:v>checkout.stripe.com</x:v>
      </x:c>
      <x:c r="B113" s="19" t="str">
        <x:v>专用支付/结账入口</x:v>
      </x:c>
      <x:c r="C113" s="19" t="str">
        <x:v>高</x:v>
      </x:c>
      <x:c r="D113" s="19" t="str">
        <x:v>Jul 2026</x:v>
      </x:c>
      <x:c r="E113" s="19" t="n">
        <x:v>12</x:v>
      </x:c>
      <x:c r="F113" s="19" t="str">
        <x:v>openart.ai</x:v>
      </x:c>
      <x:c r="G113" s="19" t="str">
        <x:v>Computers Electronics and Technology</x:v>
      </x:c>
      <x:c r="H113" s="19" t="str">
        <x:v>AI 内容生成与创作</x:v>
      </x:c>
      <x:c r="I113" s="19" t="str">
        <x:v>域名人工/关键词识别</x:v>
      </x:c>
      <x:c r="J113" s="19" t="n">
        <x:v>5308</x:v>
      </x:c>
      <x:c r="K113" s="20" t="n">
        <x:v>0.011000000000000001</x:v>
      </x:c>
      <x:c r="L113" s="19" t="str">
        <x:v>上升</x:v>
      </x:c>
      <x:c r="M113" s="20" t="n">
        <x:v>0.21050000000000002</x:v>
      </x:c>
      <x:c r="N113" s="21" t="n">
        <x:v>42540000</x:v>
      </x:c>
      <x:c r="O113" s="21" t="n">
        <x:v>467940</x:v>
      </x:c>
      <x:c r="P113" s="21" t="n">
        <x:f>ROUND(N113*K113,0)</x:f>
        <x:v>467940</x:v>
      </x:c>
      <x:c r="Q113" s="19" t="str">
        <x:v>否</x:v>
      </x:c>
      <x:c r="R113" s="19" t="str"/>
      <x:c r="S113" s="19" t="n">
        <x:f>IF(Q113="是",0,MIN(10,2+IF(C113="高",2,1)+IF(K113&gt;=3%,3,IF(K113&gt;=1%,2,1))+IF(L113="新出现",2,IF(M113&gt;=100%,3,IF(M113&gt;0,2,0)))))</x:f>
        <x:v>8</x:v>
      </x:c>
      <x:c r="T113" s="21"/>
      <x:c r="U113" s="20"/>
      <x:c r="V113" s="19" t="str">
        <x:v>http://openart.ai/</x:v>
      </x:c>
      <x:c r="W113" s="19" t="str">
        <x:v>https://pro.similarweb.com/#/digitalsuite/websiteanalysis/referrals/*/999/1m?webSource=Total&amp;selectedTab=incomingTraffic&amp;key=checkout.stripe.com</x:v>
      </x:c>
      <x:c r="X113" s="20" t="n">
        <x:f>IF(Q113="是",0,IFERROR(P113/SUMIFS($P$2:$P$964,$A$2:$A$964,A113,$Q$2:$Q$964,"否"),0))</x:f>
        <x:v>0.019877123238164075</x:v>
      </x:c>
      <x:c r="Y113" s="22" t="str">
        <x:f>IF(OR(M113="",U113=""),"未交叉",IF(M113*U113&gt;0,"同向",IF(M113*U113&lt;0,"背离","一侧持平")))</x:f>
        <x:v>未交叉</x:v>
      </x:c>
    </x:row>
    <x:row r="114">
      <x:c r="A114" s="18" t="str">
        <x:v>checkout.stripe.com</x:v>
      </x:c>
      <x:c r="B114" s="19" t="str">
        <x:v>专用支付/结账入口</x:v>
      </x:c>
      <x:c r="C114" s="19" t="str">
        <x:v>高</x:v>
      </x:c>
      <x:c r="D114" s="19" t="str">
        <x:v>Jul 2026</x:v>
      </x:c>
      <x:c r="E114" s="19" t="n">
        <x:v>13</x:v>
      </x:c>
      <x:c r="F114" s="19" t="str">
        <x:v>app.emergent.sh</x:v>
      </x:c>
      <x:c r="G114" s="19" t="str">
        <x:v>Computers Electronics and Technology</x:v>
      </x:c>
      <x:c r="H114" s="19" t="str">
        <x:v>AI 开发工具与基础设施</x:v>
      </x:c>
      <x:c r="I114" s="19" t="str">
        <x:v>域名人工识别</x:v>
      </x:c>
      <x:c r="J114" s="19"/>
      <x:c r="K114" s="20" t="n">
        <x:v>0.0102</x:v>
      </x:c>
      <x:c r="L114" s="19" t="str">
        <x:v>上升</x:v>
      </x:c>
      <x:c r="M114" s="20" t="n">
        <x:v>0.0655</x:v>
      </x:c>
      <x:c r="N114" s="21" t="n">
        <x:v>42540000</x:v>
      </x:c>
      <x:c r="O114" s="21" t="n">
        <x:v>433908</x:v>
      </x:c>
      <x:c r="P114" s="21" t="n">
        <x:f>ROUND(N114*K114,0)</x:f>
        <x:v>433908</x:v>
      </x:c>
      <x:c r="Q114" s="19" t="str">
        <x:v>否</x:v>
      </x:c>
      <x:c r="R114" s="19" t="str"/>
      <x:c r="S114" s="19" t="n">
        <x:f>IF(Q114="是",0,MIN(10,2+IF(C114="高",2,1)+IF(K114&gt;=3%,3,IF(K114&gt;=1%,2,1))+IF(L114="新出现",2,IF(M114&gt;=100%,3,IF(M114&gt;0,2,0)))))</x:f>
        <x:v>8</x:v>
      </x:c>
      <x:c r="T114" s="21" t="n">
        <x:v>8735000</x:v>
      </x:c>
      <x:c r="U114" s="20" t="n">
        <x:v>0.2812</x:v>
      </x:c>
      <x:c r="V114" s="19" t="str">
        <x:v>http://app.emergent.sh/</x:v>
      </x:c>
      <x:c r="W114" s="19" t="str">
        <x:v>https://pro.similarweb.com/#/digitalsuite/websiteanalysis/referrals/*/999/1m?webSource=Total&amp;selectedTab=incomingTraffic&amp;key=checkout.stripe.com</x:v>
      </x:c>
      <x:c r="X114" s="20" t="n">
        <x:f>IF(Q114="是",0,IFERROR(P114/SUMIFS($P$2:$P$964,$A$2:$A$964,A114,$Q$2:$Q$964,"否"),0))</x:f>
        <x:v>0.018431514275388507</x:v>
      </x:c>
      <x:c r="Y114" s="22" t="str">
        <x:f>IF(OR(M114="",U114=""),"未交叉",IF(M114*U114&gt;0,"同向",IF(M114*U114&lt;0,"背离","一侧持平")))</x:f>
        <x:v>同向</x:v>
      </x:c>
    </x:row>
    <x:row r="115">
      <x:c r="A115" s="18" t="str">
        <x:v>checkout.stripe.com</x:v>
      </x:c>
      <x:c r="B115" s="19" t="str">
        <x:v>专用支付/结账入口</x:v>
      </x:c>
      <x:c r="C115" s="19" t="str">
        <x:v>高</x:v>
      </x:c>
      <x:c r="D115" s="19" t="str">
        <x:v>Jul 2026</x:v>
      </x:c>
      <x:c r="E115" s="19" t="n">
        <x:v>14</x:v>
      </x:c>
      <x:c r="F115" s="19" t="str">
        <x:v>fal.ai</x:v>
      </x:c>
      <x:c r="G115" s="19" t="str">
        <x:v>Programming and Developer Software</x:v>
      </x:c>
      <x:c r="H115" s="19" t="str">
        <x:v>AI 开发工具与基础设施</x:v>
      </x:c>
      <x:c r="I115" s="19" t="str">
        <x:v>域名人工识别</x:v>
      </x:c>
      <x:c r="J115" s="19" t="n">
        <x:v>19748</x:v>
      </x:c>
      <x:c r="K115" s="20" t="n">
        <x:v>0.0097</x:v>
      </x:c>
      <x:c r="L115" s="19" t="str">
        <x:v>上升</x:v>
      </x:c>
      <x:c r="M115" s="20" t="n">
        <x:v>0.1527</x:v>
      </x:c>
      <x:c r="N115" s="21" t="n">
        <x:v>42540000</x:v>
      </x:c>
      <x:c r="O115" s="21" t="n">
        <x:v>412638</x:v>
      </x:c>
      <x:c r="P115" s="21" t="n">
        <x:f>ROUND(N115*K115,0)</x:f>
        <x:v>412638</x:v>
      </x:c>
      <x:c r="Q115" s="19" t="str">
        <x:v>否</x:v>
      </x:c>
      <x:c r="R115" s="19" t="str"/>
      <x:c r="S115" s="19" t="n">
        <x:f>IF(Q115="是",0,MIN(10,2+IF(C115="高",2,1)+IF(K115&gt;=3%,3,IF(K115&gt;=1%,2,1))+IF(L115="新出现",2,IF(M115&gt;=100%,3,IF(M115&gt;0,2,0)))))</x:f>
        <x:v>7</x:v>
      </x:c>
      <x:c r="T115" s="21" t="n">
        <x:v>2380000</x:v>
      </x:c>
      <x:c r="U115" s="20" t="n">
        <x:v>-0.015</x:v>
      </x:c>
      <x:c r="V115" s="19" t="str">
        <x:v>http://fal.ai/</x:v>
      </x:c>
      <x:c r="W115" s="19" t="str">
        <x:v>https://pro.similarweb.com/#/digitalsuite/websiteanalysis/referrals/*/999/1m?webSource=Total&amp;selectedTab=incomingTraffic&amp;key=checkout.stripe.com</x:v>
      </x:c>
      <x:c r="X115" s="20" t="n">
        <x:f>IF(Q115="是",0,IFERROR(P115/SUMIFS($P$2:$P$964,$A$2:$A$964,A115,$Q$2:$Q$964,"否"),0))</x:f>
        <x:v>0.017528008673653776</x:v>
      </x:c>
      <x:c r="Y115" s="22" t="str">
        <x:f>IF(OR(M115="",U115=""),"未交叉",IF(M115*U115&gt;0,"同向",IF(M115*U115&lt;0,"背离","一侧持平")))</x:f>
        <x:v>背离</x:v>
      </x:c>
    </x:row>
    <x:row r="116">
      <x:c r="A116" s="18" t="str">
        <x:v>checkout.stripe.com</x:v>
      </x:c>
      <x:c r="B116" s="19" t="str">
        <x:v>专用支付/结账入口</x:v>
      </x:c>
      <x:c r="C116" s="19" t="str">
        <x:v>高</x:v>
      </x:c>
      <x:c r="D116" s="19" t="str">
        <x:v>Jul 2026</x:v>
      </x:c>
      <x:c r="E116" s="19" t="n">
        <x:v>15</x:v>
      </x:c>
      <x:c r="F116" s="19" t="str">
        <x:v>meshy.ai</x:v>
      </x:c>
      <x:c r="G116" s="19" t="str">
        <x:v>Programming and Developer Software</x:v>
      </x:c>
      <x:c r="H116" s="19" t="str">
        <x:v>AI 内容生成与创作</x:v>
      </x:c>
      <x:c r="I116" s="19" t="str">
        <x:v>域名人工/关键词识别</x:v>
      </x:c>
      <x:c r="J116" s="19" t="n">
        <x:v>5372</x:v>
      </x:c>
      <x:c r="K116" s="20" t="n">
        <x:v>0.0084</x:v>
      </x:c>
      <x:c r="L116" s="19" t="str">
        <x:v>上升</x:v>
      </x:c>
      <x:c r="M116" s="20" t="n">
        <x:v>0.2789</x:v>
      </x:c>
      <x:c r="N116" s="21" t="n">
        <x:v>42540000</x:v>
      </x:c>
      <x:c r="O116" s="21" t="n">
        <x:v>357336</x:v>
      </x:c>
      <x:c r="P116" s="21" t="n">
        <x:f>ROUND(N116*K116,0)</x:f>
        <x:v>357336</x:v>
      </x:c>
      <x:c r="Q116" s="19" t="str">
        <x:v>否</x:v>
      </x:c>
      <x:c r="R116" s="19" t="str"/>
      <x:c r="S116" s="19" t="n">
        <x:f>IF(Q116="是",0,MIN(10,2+IF(C116="高",2,1)+IF(K116&gt;=3%,3,IF(K116&gt;=1%,2,1))+IF(L116="新出现",2,IF(M116&gt;=100%,3,IF(M116&gt;0,2,0)))))</x:f>
        <x:v>7</x:v>
      </x:c>
      <x:c r="T116" s="21" t="n">
        <x:v>11130000</x:v>
      </x:c>
      <x:c r="U116" s="20" t="n">
        <x:v>0.1707</x:v>
      </x:c>
      <x:c r="V116" s="19" t="str">
        <x:v>http://meshy.ai/</x:v>
      </x:c>
      <x:c r="W116" s="19" t="str">
        <x:v>https://pro.similarweb.com/#/digitalsuite/websiteanalysis/referrals/*/999/1m?webSource=Total&amp;selectedTab=incomingTraffic&amp;key=checkout.stripe.com</x:v>
      </x:c>
      <x:c r="X116" s="20" t="n">
        <x:f>IF(Q116="是",0,IFERROR(P116/SUMIFS($P$2:$P$964,$A$2:$A$964,A116,$Q$2:$Q$964,"否"),0))</x:f>
        <x:v>0.015178894109143477</x:v>
      </x:c>
      <x:c r="Y116" s="22" t="str">
        <x:f>IF(OR(M116="",U116=""),"未交叉",IF(M116*U116&gt;0,"同向",IF(M116*U116&lt;0,"背离","一侧持平")))</x:f>
        <x:v>同向</x:v>
      </x:c>
    </x:row>
    <x:row r="117">
      <x:c r="A117" s="18" t="str">
        <x:v>checkout.stripe.com</x:v>
      </x:c>
      <x:c r="B117" s="19" t="str">
        <x:v>专用支付/结账入口</x:v>
      </x:c>
      <x:c r="C117" s="19" t="str">
        <x:v>高</x:v>
      </x:c>
      <x:c r="D117" s="19" t="str">
        <x:v>Jul 2026</x:v>
      </x:c>
      <x:c r="E117" s="19" t="n">
        <x:v>16</x:v>
      </x:c>
      <x:c r="F117" s="19" t="str">
        <x:v>forgegui.com</x:v>
      </x:c>
      <x:c r="G117" s="19" t="str">
        <x:v>Video Games Consoles and Accessories</x:v>
      </x:c>
      <x:c r="H117" s="19" t="str">
        <x:v>游戏、数字商品与虚拟内容</x:v>
      </x:c>
      <x:c r="I117" s="19" t="str">
        <x:v>Similarweb 行业映射</x:v>
      </x:c>
      <x:c r="J117" s="19" t="n">
        <x:v>55342</x:v>
      </x:c>
      <x:c r="K117" s="20" t="n">
        <x:v>0.008100000000000001</x:v>
      </x:c>
      <x:c r="L117" s="19" t="str">
        <x:v>上升</x:v>
      </x:c>
      <x:c r="M117" s="20" t="n">
        <x:v>1.3121</x:v>
      </x:c>
      <x:c r="N117" s="21" t="n">
        <x:v>42540000</x:v>
      </x:c>
      <x:c r="O117" s="21" t="n">
        <x:v>344574</x:v>
      </x:c>
      <x:c r="P117" s="21" t="n">
        <x:f>ROUND(N117*K117,0)</x:f>
        <x:v>344574</x:v>
      </x:c>
      <x:c r="Q117" s="19" t="str">
        <x:v>否</x:v>
      </x:c>
      <x:c r="R117" s="19" t="str"/>
      <x:c r="S117" s="19" t="n">
        <x:f>IF(Q117="是",0,MIN(10,2+IF(C117="高",2,1)+IF(K117&gt;=3%,3,IF(K117&gt;=1%,2,1))+IF(L117="新出现",2,IF(M117&gt;=100%,3,IF(M117&gt;0,2,0)))))</x:f>
        <x:v>8</x:v>
      </x:c>
      <x:c r="T117" s="21"/>
      <x:c r="U117" s="20"/>
      <x:c r="V117" s="19" t="str">
        <x:v>http://forgegui.com/</x:v>
      </x:c>
      <x:c r="W117" s="19" t="str">
        <x:v>https://pro.similarweb.com/#/digitalsuite/websiteanalysis/referrals/*/999/1m?webSource=Total&amp;selectedTab=incomingTraffic&amp;key=checkout.stripe.com</x:v>
      </x:c>
      <x:c r="X117" s="20" t="n">
        <x:f>IF(Q117="是",0,IFERROR(P117/SUMIFS($P$2:$P$964,$A$2:$A$964,A117,$Q$2:$Q$964,"否"),0))</x:f>
        <x:v>0.014636790748102639</x:v>
      </x:c>
      <x:c r="Y117" s="22" t="str">
        <x:f>IF(OR(M117="",U117=""),"未交叉",IF(M117*U117&gt;0,"同向",IF(M117*U117&lt;0,"背离","一侧持平")))</x:f>
        <x:v>未交叉</x:v>
      </x:c>
    </x:row>
    <x:row r="118">
      <x:c r="A118" s="18" t="str">
        <x:v>checkout.stripe.com</x:v>
      </x:c>
      <x:c r="B118" s="19" t="str">
        <x:v>专用支付/结账入口</x:v>
      </x:c>
      <x:c r="C118" s="19" t="str">
        <x:v>高</x:v>
      </x:c>
      <x:c r="D118" s="19" t="str">
        <x:v>Jul 2026</x:v>
      </x:c>
      <x:c r="E118" s="19" t="n">
        <x:v>17</x:v>
      </x:c>
      <x:c r="F118" s="19" t="str">
        <x:v>midjourney.com</x:v>
      </x:c>
      <x:c r="G118" s="19" t="str">
        <x:v>Graphics Multimedia and Web Design</x:v>
      </x:c>
      <x:c r="H118" s="19" t="str">
        <x:v>AI 内容生成与创作</x:v>
      </x:c>
      <x:c r="I118" s="19" t="str">
        <x:v>域名人工/关键词识别</x:v>
      </x:c>
      <x:c r="J118" s="19" t="n">
        <x:v>2020</x:v>
      </x:c>
      <x:c r="K118" s="20" t="n">
        <x:v>0.008</x:v>
      </x:c>
      <x:c r="L118" s="19" t="str">
        <x:v>下降</x:v>
      </x:c>
      <x:c r="M118" s="20" t="n">
        <x:v>-0.02</x:v>
      </x:c>
      <x:c r="N118" s="21" t="n">
        <x:v>42540000</x:v>
      </x:c>
      <x:c r="O118" s="21" t="n">
        <x:v>340320</x:v>
      </x:c>
      <x:c r="P118" s="21" t="n">
        <x:f>ROUND(N118*K118,0)</x:f>
        <x:v>340320</x:v>
      </x:c>
      <x:c r="Q118" s="19" t="str">
        <x:v>否</x:v>
      </x:c>
      <x:c r="R118" s="19" t="str"/>
      <x:c r="S118" s="19" t="n">
        <x:f>IF(Q118="是",0,MIN(10,2+IF(C118="高",2,1)+IF(K118&gt;=3%,3,IF(K118&gt;=1%,2,1))+IF(L118="新出现",2,IF(M118&gt;=100%,3,IF(M118&gt;0,2,0)))))</x:f>
        <x:v>5</x:v>
      </x:c>
      <x:c r="T118" s="21"/>
      <x:c r="U118" s="20"/>
      <x:c r="V118" s="19" t="str">
        <x:v>http://midjourney.com/</x:v>
      </x:c>
      <x:c r="W118" s="19" t="str">
        <x:v>https://pro.similarweb.com/#/digitalsuite/websiteanalysis/referrals/*/999/1m?webSource=Total&amp;selectedTab=incomingTraffic&amp;key=checkout.stripe.com</x:v>
      </x:c>
      <x:c r="X118" s="20" t="n">
        <x:f>IF(Q118="是",0,IFERROR(P118/SUMIFS($P$2:$P$964,$A$2:$A$964,A118,$Q$2:$Q$964,"否"),0))</x:f>
        <x:v>0.014456089627755691</x:v>
      </x:c>
      <x:c r="Y118" s="22" t="str">
        <x:f>IF(OR(M118="",U118=""),"未交叉",IF(M118*U118&gt;0,"同向",IF(M118*U118&lt;0,"背离","一侧持平")))</x:f>
        <x:v>未交叉</x:v>
      </x:c>
    </x:row>
    <x:row r="119">
      <x:c r="A119" s="18" t="str">
        <x:v>checkout.stripe.com</x:v>
      </x:c>
      <x:c r="B119" s="19" t="str">
        <x:v>专用支付/结账入口</x:v>
      </x:c>
      <x:c r="C119" s="19" t="str">
        <x:v>高</x:v>
      </x:c>
      <x:c r="D119" s="19" t="str">
        <x:v>Jul 2026</x:v>
      </x:c>
      <x:c r="E119" s="19" t="n">
        <x:v>18</x:v>
      </x:c>
      <x:c r="F119" s="19" t="str">
        <x:v>cults3d.com</x:v>
      </x:c>
      <x:c r="G119" s="19" t="str">
        <x:v>Computers Electronics and Technology</x:v>
      </x:c>
      <x:c r="H119" s="19" t="str">
        <x:v>创作者资产、模板与设计工具</x:v>
      </x:c>
      <x:c r="I119" s="19" t="str">
        <x:v>域名人工识别</x:v>
      </x:c>
      <x:c r="J119" s="19" t="n">
        <x:v>2588</x:v>
      </x:c>
      <x:c r="K119" s="20" t="n">
        <x:v>0.0079</x:v>
      </x:c>
      <x:c r="L119" s="19" t="str">
        <x:v>上升</x:v>
      </x:c>
      <x:c r="M119" s="20" t="n">
        <x:v>0.1065</x:v>
      </x:c>
      <x:c r="N119" s="21" t="n">
        <x:v>42540000</x:v>
      </x:c>
      <x:c r="O119" s="21" t="n">
        <x:v>336066</x:v>
      </x:c>
      <x:c r="P119" s="21" t="n">
        <x:f>ROUND(N119*K119,0)</x:f>
        <x:v>336066</x:v>
      </x:c>
      <x:c r="Q119" s="19" t="str">
        <x:v>否</x:v>
      </x:c>
      <x:c r="R119" s="19" t="str"/>
      <x:c r="S119" s="19" t="n">
        <x:f>IF(Q119="是",0,MIN(10,2+IF(C119="高",2,1)+IF(K119&gt;=3%,3,IF(K119&gt;=1%,2,1))+IF(L119="新出现",2,IF(M119&gt;=100%,3,IF(M119&gt;0,2,0)))))</x:f>
        <x:v>7</x:v>
      </x:c>
      <x:c r="T119" s="21"/>
      <x:c r="U119" s="20"/>
      <x:c r="V119" s="19" t="str">
        <x:v>http://cults3d.com/</x:v>
      </x:c>
      <x:c r="W119" s="19" t="str">
        <x:v>https://pro.similarweb.com/#/digitalsuite/websiteanalysis/referrals/*/999/1m?webSource=Total&amp;selectedTab=incomingTraffic&amp;key=checkout.stripe.com</x:v>
      </x:c>
      <x:c r="X119" s="20" t="n">
        <x:f>IF(Q119="是",0,IFERROR(P119/SUMIFS($P$2:$P$964,$A$2:$A$964,A119,$Q$2:$Q$964,"否"),0))</x:f>
        <x:v>0.014275388507408745</x:v>
      </x:c>
      <x:c r="Y119" s="22" t="str">
        <x:f>IF(OR(M119="",U119=""),"未交叉",IF(M119*U119&gt;0,"同向",IF(M119*U119&lt;0,"背离","一侧持平")))</x:f>
        <x:v>未交叉</x:v>
      </x:c>
    </x:row>
    <x:row r="120">
      <x:c r="A120" s="18" t="str">
        <x:v>checkout.stripe.com</x:v>
      </x:c>
      <x:c r="B120" s="19" t="str">
        <x:v>专用支付/结账入口</x:v>
      </x:c>
      <x:c r="C120" s="19" t="str">
        <x:v>高</x:v>
      </x:c>
      <x:c r="D120" s="19" t="str">
        <x:v>Jul 2026</x:v>
      </x:c>
      <x:c r="E120" s="19" t="n">
        <x:v>19</x:v>
      </x:c>
      <x:c r="F120" s="19" t="str">
        <x:v>app.gethookd.ai</x:v>
      </x:c>
      <x:c r="G120" s="19" t="str">
        <x:v>Online Marketing</x:v>
      </x:c>
      <x:c r="H120" s="19" t="str">
        <x:v>AI 内容生成与创作</x:v>
      </x:c>
      <x:c r="I120" s="19" t="str">
        <x:v>域名人工/关键词识别</x:v>
      </x:c>
      <x:c r="J120" s="19"/>
      <x:c r="K120" s="20" t="n">
        <x:v>0.0078000000000000005</x:v>
      </x:c>
      <x:c r="L120" s="19" t="str">
        <x:v>下降</x:v>
      </x:c>
      <x:c r="M120" s="20" t="n">
        <x:v>-0.0169</x:v>
      </x:c>
      <x:c r="N120" s="21" t="n">
        <x:v>42540000</x:v>
      </x:c>
      <x:c r="O120" s="21" t="n">
        <x:v>331812</x:v>
      </x:c>
      <x:c r="P120" s="21" t="n">
        <x:f>ROUND(N120*K120,0)</x:f>
        <x:v>331812</x:v>
      </x:c>
      <x:c r="Q120" s="19" t="str">
        <x:v>否</x:v>
      </x:c>
      <x:c r="R120" s="19" t="str"/>
      <x:c r="S120" s="19" t="n">
        <x:f>IF(Q120="是",0,MIN(10,2+IF(C120="高",2,1)+IF(K120&gt;=3%,3,IF(K120&gt;=1%,2,1))+IF(L120="新出现",2,IF(M120&gt;=100%,3,IF(M120&gt;0,2,0)))))</x:f>
        <x:v>5</x:v>
      </x:c>
      <x:c r="T120" s="21"/>
      <x:c r="U120" s="20"/>
      <x:c r="V120" s="19" t="str">
        <x:v>http://app.gethookd.ai/</x:v>
      </x:c>
      <x:c r="W120" s="19" t="str">
        <x:v>https://pro.similarweb.com/#/digitalsuite/websiteanalysis/referrals/*/999/1m?webSource=Total&amp;selectedTab=incomingTraffic&amp;key=checkout.stripe.com</x:v>
      </x:c>
      <x:c r="X120" s="20" t="n">
        <x:f>IF(Q120="是",0,IFERROR(P120/SUMIFS($P$2:$P$964,$A$2:$A$964,A120,$Q$2:$Q$964,"否"),0))</x:f>
        <x:v>0.014094687387061799</x:v>
      </x:c>
      <x:c r="Y120" s="22" t="str">
        <x:f>IF(OR(M120="",U120=""),"未交叉",IF(M120*U120&gt;0,"同向",IF(M120*U120&lt;0,"背离","一侧持平")))</x:f>
        <x:v>未交叉</x:v>
      </x:c>
    </x:row>
    <x:row r="121">
      <x:c r="A121" s="18" t="str">
        <x:v>checkout.stripe.com</x:v>
      </x:c>
      <x:c r="B121" s="19" t="str">
        <x:v>专用支付/结账入口</x:v>
      </x:c>
      <x:c r="C121" s="19" t="str">
        <x:v>高</x:v>
      </x:c>
      <x:c r="D121" s="19" t="str">
        <x:v>Jul 2026</x:v>
      </x:c>
      <x:c r="E121" s="19" t="n">
        <x:v>20</x:v>
      </x:c>
      <x:c r="F121" s="19" t="str">
        <x:v>humblebundle.com</x:v>
      </x:c>
      <x:c r="G121" s="19" t="str">
        <x:v>Games</x:v>
      </x:c>
      <x:c r="H121" s="19" t="str">
        <x:v>游戏、数字商品与虚拟内容</x:v>
      </x:c>
      <x:c r="I121" s="19" t="str">
        <x:v>Similarweb 行业映射</x:v>
      </x:c>
      <x:c r="J121" s="19" t="n">
        <x:v>4586</x:v>
      </x:c>
      <x:c r="K121" s="20" t="n">
        <x:v>0.0076</x:v>
      </x:c>
      <x:c r="L121" s="19" t="str">
        <x:v>上升</x:v>
      </x:c>
      <x:c r="M121" s="20" t="n">
        <x:v>0.0484</x:v>
      </x:c>
      <x:c r="N121" s="21" t="n">
        <x:v>42540000</x:v>
      </x:c>
      <x:c r="O121" s="21" t="n">
        <x:v>323304</x:v>
      </x:c>
      <x:c r="P121" s="21" t="n">
        <x:f>ROUND(N121*K121,0)</x:f>
        <x:v>323304</x:v>
      </x:c>
      <x:c r="Q121" s="19" t="str">
        <x:v>否</x:v>
      </x:c>
      <x:c r="R121" s="19" t="str"/>
      <x:c r="S121" s="19" t="n">
        <x:f>IF(Q121="是",0,MIN(10,2+IF(C121="高",2,1)+IF(K121&gt;=3%,3,IF(K121&gt;=1%,2,1))+IF(L121="新出现",2,IF(M121&gt;=100%,3,IF(M121&gt;0,2,0)))))</x:f>
        <x:v>7</x:v>
      </x:c>
      <x:c r="T121" s="21"/>
      <x:c r="U121" s="20"/>
      <x:c r="V121" s="19" t="str">
        <x:v>http://humblebundle.com/</x:v>
      </x:c>
      <x:c r="W121" s="19" t="str">
        <x:v>https://pro.similarweb.com/#/digitalsuite/websiteanalysis/referrals/*/999/1m?webSource=Total&amp;selectedTab=incomingTraffic&amp;key=checkout.stripe.com</x:v>
      </x:c>
      <x:c r="X121" s="20" t="n">
        <x:f>IF(Q121="是",0,IFERROR(P121/SUMIFS($P$2:$P$964,$A$2:$A$964,A121,$Q$2:$Q$964,"否"),0))</x:f>
        <x:v>0.013733285146367907</x:v>
      </x:c>
      <x:c r="Y121" s="22" t="str">
        <x:f>IF(OR(M121="",U121=""),"未交叉",IF(M121*U121&gt;0,"同向",IF(M121*U121&lt;0,"背离","一侧持平")))</x:f>
        <x:v>未交叉</x:v>
      </x:c>
    </x:row>
    <x:row r="122">
      <x:c r="A122" s="18" t="str">
        <x:v>checkout.stripe.com</x:v>
      </x:c>
      <x:c r="B122" s="19" t="str">
        <x:v>专用支付/结账入口</x:v>
      </x:c>
      <x:c r="C122" s="19" t="str">
        <x:v>高</x:v>
      </x:c>
      <x:c r="D122" s="19" t="str">
        <x:v>Jul 2026</x:v>
      </x:c>
      <x:c r="E122" s="19" t="n">
        <x:v>21</x:v>
      </x:c>
      <x:c r="F122" s="19" t="str">
        <x:v>pay.nicepay.co.kr</x:v>
      </x:c>
      <x:c r="G122" s="19" t="str">
        <x:v>Graphics Multimedia and Web Design</x:v>
      </x:c>
      <x:c r="H122" s="19" t="str">
        <x:v>创作、设计与多媒体工具</x:v>
      </x:c>
      <x:c r="I122" s="19" t="str">
        <x:v>Similarweb 行业映射</x:v>
      </x:c>
      <x:c r="J122" s="19"/>
      <x:c r="K122" s="20" t="n">
        <x:v>0.0075</x:v>
      </x:c>
      <x:c r="L122" s="19" t="str">
        <x:v>上升</x:v>
      </x:c>
      <x:c r="M122" s="20" t="n">
        <x:v>0.38189999999999996</x:v>
      </x:c>
      <x:c r="N122" s="21" t="n">
        <x:v>42540000</x:v>
      </x:c>
      <x:c r="O122" s="21" t="n">
        <x:v>319050</x:v>
      </x:c>
      <x:c r="P122" s="21" t="n">
        <x:f>ROUND(N122*K122,0)</x:f>
        <x:v>319050</x:v>
      </x:c>
      <x:c r="Q122" s="19" t="str">
        <x:v>是</x:v>
      </x:c>
      <x:c r="R122" s="19" t="str">
        <x:v>支付平台、自引荐或流量中介</x:v>
      </x:c>
      <x:c r="S122" s="19" t="n">
        <x:f>IF(Q122="是",0,MIN(10,2+IF(C122="高",2,1)+IF(K122&gt;=3%,3,IF(K122&gt;=1%,2,1))+IF(L122="新出现",2,IF(M122&gt;=100%,3,IF(M122&gt;0,2,0)))))</x:f>
        <x:v>0</x:v>
      </x:c>
      <x:c r="T122" s="21"/>
      <x:c r="U122" s="20"/>
      <x:c r="V122" s="19" t="str">
        <x:v>http://pay.nicepay.co.kr/</x:v>
      </x:c>
      <x:c r="W122" s="19" t="str">
        <x:v>https://pro.similarweb.com/#/digitalsuite/websiteanalysis/referrals/*/999/1m?webSource=Total&amp;selectedTab=incomingTraffic&amp;key=checkout.stripe.com</x:v>
      </x:c>
      <x:c r="X122" s="20" t="n">
        <x:f>IF(Q122="是",0,IFERROR(P122/SUMIFS($P$2:$P$964,$A$2:$A$964,A122,$Q$2:$Q$964,"否"),0))</x:f>
        <x:v>0</x:v>
      </x:c>
      <x:c r="Y122" s="22" t="str">
        <x:f>IF(OR(M122="",U122=""),"未交叉",IF(M122*U122&gt;0,"同向",IF(M122*U122&lt;0,"背离","一侧持平")))</x:f>
        <x:v>未交叉</x:v>
      </x:c>
    </x:row>
    <x:row r="123">
      <x:c r="A123" s="18" t="str">
        <x:v>checkout.stripe.com</x:v>
      </x:c>
      <x:c r="B123" s="19" t="str">
        <x:v>专用支付/结账入口</x:v>
      </x:c>
      <x:c r="C123" s="19" t="str">
        <x:v>高</x:v>
      </x:c>
      <x:c r="D123" s="19" t="str">
        <x:v>Jul 2026</x:v>
      </x:c>
      <x:c r="E123" s="19" t="n">
        <x:v>22</x:v>
      </x:c>
      <x:c r="F123" s="19" t="str">
        <x:v>app.manychat.com</x:v>
      </x:c>
      <x:c r="G123" s="19" t="str">
        <x:v>Graphics Multimedia and Web Design</x:v>
      </x:c>
      <x:c r="H123" s="19" t="str">
        <x:v>营销、电商与商业 SaaS</x:v>
      </x:c>
      <x:c r="I123" s="19" t="str">
        <x:v>域名人工识别</x:v>
      </x:c>
      <x:c r="J123" s="19"/>
      <x:c r="K123" s="20" t="n">
        <x:v>0.0074</x:v>
      </x:c>
      <x:c r="L123" s="19" t="str">
        <x:v>上升</x:v>
      </x:c>
      <x:c r="M123" s="20" t="n">
        <x:v>0.11320000000000001</x:v>
      </x:c>
      <x:c r="N123" s="21" t="n">
        <x:v>42540000</x:v>
      </x:c>
      <x:c r="O123" s="21" t="n">
        <x:v>314796</x:v>
      </x:c>
      <x:c r="P123" s="21" t="n">
        <x:f>ROUND(N123*K123,0)</x:f>
        <x:v>314796</x:v>
      </x:c>
      <x:c r="Q123" s="19" t="str">
        <x:v>否</x:v>
      </x:c>
      <x:c r="R123" s="19" t="str"/>
      <x:c r="S123" s="19" t="n">
        <x:f>IF(Q123="是",0,MIN(10,2+IF(C123="高",2,1)+IF(K123&gt;=3%,3,IF(K123&gt;=1%,2,1))+IF(L123="新出现",2,IF(M123&gt;=100%,3,IF(M123&gt;0,2,0)))))</x:f>
        <x:v>7</x:v>
      </x:c>
      <x:c r="T123" s="21"/>
      <x:c r="U123" s="20"/>
      <x:c r="V123" s="19" t="str">
        <x:v>http://app.manychat.com/</x:v>
      </x:c>
      <x:c r="W123" s="19" t="str">
        <x:v>https://pro.similarweb.com/#/digitalsuite/websiteanalysis/referrals/*/999/1m?webSource=Total&amp;selectedTab=incomingTraffic&amp;key=checkout.stripe.com</x:v>
      </x:c>
      <x:c r="X123" s="20" t="n">
        <x:f>IF(Q123="是",0,IFERROR(P123/SUMIFS($P$2:$P$964,$A$2:$A$964,A123,$Q$2:$Q$964,"否"),0))</x:f>
        <x:v>0.013371882905674015</x:v>
      </x:c>
      <x:c r="Y123" s="22" t="str">
        <x:f>IF(OR(M123="",U123=""),"未交叉",IF(M123*U123&gt;0,"同向",IF(M123*U123&lt;0,"背离","一侧持平")))</x:f>
        <x:v>未交叉</x:v>
      </x:c>
    </x:row>
    <x:row r="124">
      <x:c r="A124" s="18" t="str">
        <x:v>checkout.stripe.com</x:v>
      </x:c>
      <x:c r="B124" s="19" t="str">
        <x:v>专用支付/结账入口</x:v>
      </x:c>
      <x:c r="C124" s="19" t="str">
        <x:v>高</x:v>
      </x:c>
      <x:c r="D124" s="19" t="str">
        <x:v>Jul 2026</x:v>
      </x:c>
      <x:c r="E124" s="19" t="n">
        <x:v>23</x:v>
      </x:c>
      <x:c r="F124" s="19" t="str">
        <x:v>brave.com</x:v>
      </x:c>
      <x:c r="G124" s="19" t="str">
        <x:v>Computers Electronics and Technology</x:v>
      </x:c>
      <x:c r="H124" s="19" t="str">
        <x:v>通用数字产品与技术服务</x:v>
      </x:c>
      <x:c r="I124" s="19" t="str">
        <x:v>Similarweb 行业映射</x:v>
      </x:c>
      <x:c r="J124" s="19" t="n">
        <x:v>68</x:v>
      </x:c>
      <x:c r="K124" s="20" t="n">
        <x:v>0.0069</x:v>
      </x:c>
      <x:c r="L124" s="19" t="str">
        <x:v>上升</x:v>
      </x:c>
      <x:c r="M124" s="20" t="n">
        <x:v>0.0765</x:v>
      </x:c>
      <x:c r="N124" s="21" t="n">
        <x:v>42540000</x:v>
      </x:c>
      <x:c r="O124" s="21" t="n">
        <x:v>293526</x:v>
      </x:c>
      <x:c r="P124" s="21" t="n">
        <x:f>ROUND(N124*K124,0)</x:f>
        <x:v>293526</x:v>
      </x:c>
      <x:c r="Q124" s="19" t="str">
        <x:v>否</x:v>
      </x:c>
      <x:c r="R124" s="19" t="str"/>
      <x:c r="S124" s="19" t="n">
        <x:f>IF(Q124="是",0,MIN(10,2+IF(C124="高",2,1)+IF(K124&gt;=3%,3,IF(K124&gt;=1%,2,1))+IF(L124="新出现",2,IF(M124&gt;=100%,3,IF(M124&gt;0,2,0)))))</x:f>
        <x:v>7</x:v>
      </x:c>
      <x:c r="T124" s="21"/>
      <x:c r="U124" s="20"/>
      <x:c r="V124" s="19" t="str">
        <x:v>http://brave.com/</x:v>
      </x:c>
      <x:c r="W124" s="19" t="str">
        <x:v>https://pro.similarweb.com/#/digitalsuite/websiteanalysis/referrals/*/999/1m?webSource=Total&amp;selectedTab=incomingTraffic&amp;key=checkout.stripe.com</x:v>
      </x:c>
      <x:c r="X124" s="20" t="n">
        <x:f>IF(Q124="是",0,IFERROR(P124/SUMIFS($P$2:$P$964,$A$2:$A$964,A124,$Q$2:$Q$964,"否"),0))</x:f>
        <x:v>0.012468377303939284</x:v>
      </x:c>
      <x:c r="Y124" s="22" t="str">
        <x:f>IF(OR(M124="",U124=""),"未交叉",IF(M124*U124&gt;0,"同向",IF(M124*U124&lt;0,"背离","一侧持平")))</x:f>
        <x:v>未交叉</x:v>
      </x:c>
    </x:row>
    <x:row r="125">
      <x:c r="A125" s="18" t="str">
        <x:v>checkout.stripe.com</x:v>
      </x:c>
      <x:c r="B125" s="19" t="str">
        <x:v>专用支付/结账入口</x:v>
      </x:c>
      <x:c r="C125" s="19" t="str">
        <x:v>高</x:v>
      </x:c>
      <x:c r="D125" s="19" t="str">
        <x:v>Jul 2026</x:v>
      </x:c>
      <x:c r="E125" s="19" t="n">
        <x:v>24</x:v>
      </x:c>
      <x:c r="F125" s="19" t="str">
        <x:v>dearkellyfilm.com</x:v>
      </x:c>
      <x:c r="G125" s="19" t="str">
        <x:v>Music</x:v>
      </x:c>
      <x:c r="H125" s="19" t="str">
        <x:v>创作、设计与多媒体工具</x:v>
      </x:c>
      <x:c r="I125" s="19" t="str">
        <x:v>Similarweb 行业映射</x:v>
      </x:c>
      <x:c r="J125" s="19" t="n">
        <x:v>94804</x:v>
      </x:c>
      <x:c r="K125" s="20" t="n">
        <x:v>0.0068000000000000005</x:v>
      </x:c>
      <x:c r="L125" s="19" t="str">
        <x:v>新出现</x:v>
      </x:c>
      <x:c r="M125" s="20"/>
      <x:c r="N125" s="21" t="n">
        <x:v>42540000</x:v>
      </x:c>
      <x:c r="O125" s="21" t="n">
        <x:v>289272</x:v>
      </x:c>
      <x:c r="P125" s="21" t="n">
        <x:f>ROUND(N125*K125,0)</x:f>
        <x:v>289272</x:v>
      </x:c>
      <x:c r="Q125" s="19" t="str">
        <x:v>否</x:v>
      </x:c>
      <x:c r="R125" s="19" t="str"/>
      <x:c r="S125" s="19" t="n">
        <x:f>IF(Q125="是",0,MIN(10,2+IF(C125="高",2,1)+IF(K125&gt;=3%,3,IF(K125&gt;=1%,2,1))+IF(L125="新出现",2,IF(M125&gt;=100%,3,IF(M125&gt;0,2,0)))))</x:f>
        <x:v>7</x:v>
      </x:c>
      <x:c r="T125" s="21"/>
      <x:c r="U125" s="20"/>
      <x:c r="V125" s="19" t="str">
        <x:v>http://dearkellyfilm.com/</x:v>
      </x:c>
      <x:c r="W125" s="19" t="str">
        <x:v>https://pro.similarweb.com/#/digitalsuite/websiteanalysis/referrals/*/999/1m?webSource=Total&amp;selectedTab=incomingTraffic&amp;key=checkout.stripe.com</x:v>
      </x:c>
      <x:c r="X125" s="20" t="n">
        <x:f>IF(Q125="是",0,IFERROR(P125/SUMIFS($P$2:$P$964,$A$2:$A$964,A125,$Q$2:$Q$964,"否"),0))</x:f>
        <x:v>0.012287676183592338</x:v>
      </x:c>
      <x:c r="Y125" s="22" t="str">
        <x:f>IF(OR(M125="",U125=""),"未交叉",IF(M125*U125&gt;0,"同向",IF(M125*U125&lt;0,"背离","一侧持平")))</x:f>
        <x:v>未交叉</x:v>
      </x:c>
    </x:row>
    <x:row r="126">
      <x:c r="A126" s="18" t="str">
        <x:v>checkout.stripe.com</x:v>
      </x:c>
      <x:c r="B126" s="19" t="str">
        <x:v>专用支付/结账入口</x:v>
      </x:c>
      <x:c r="C126" s="19" t="str">
        <x:v>高</x:v>
      </x:c>
      <x:c r="D126" s="19" t="str">
        <x:v>Jul 2026</x:v>
      </x:c>
      <x:c r="E126" s="19" t="n">
        <x:v>25</x:v>
      </x:c>
      <x:c r="F126" s="19" t="str">
        <x:v>runwayml.com</x:v>
      </x:c>
      <x:c r="G126" s="19" t="str">
        <x:v>Graphics Multimedia and Web Design</x:v>
      </x:c>
      <x:c r="H126" s="19" t="str">
        <x:v>AI 内容生成与创作</x:v>
      </x:c>
      <x:c r="I126" s="19" t="str">
        <x:v>域名人工/关键词识别</x:v>
      </x:c>
      <x:c r="J126" s="19" t="n">
        <x:v>6941</x:v>
      </x:c>
      <x:c r="K126" s="20" t="n">
        <x:v>0.0067</x:v>
      </x:c>
      <x:c r="L126" s="19" t="str">
        <x:v>下降</x:v>
      </x:c>
      <x:c r="M126" s="20" t="n">
        <x:v>-0.14150000000000001</x:v>
      </x:c>
      <x:c r="N126" s="21" t="n">
        <x:v>42540000</x:v>
      </x:c>
      <x:c r="O126" s="21" t="n">
        <x:v>285018</x:v>
      </x:c>
      <x:c r="P126" s="21" t="n">
        <x:f>ROUND(N126*K126,0)</x:f>
        <x:v>285018</x:v>
      </x:c>
      <x:c r="Q126" s="19" t="str">
        <x:v>否</x:v>
      </x:c>
      <x:c r="R126" s="19" t="str"/>
      <x:c r="S126" s="19" t="n">
        <x:f>IF(Q126="是",0,MIN(10,2+IF(C126="高",2,1)+IF(K126&gt;=3%,3,IF(K126&gt;=1%,2,1))+IF(L126="新出现",2,IF(M126&gt;=100%,3,IF(M126&gt;0,2,0)))))</x:f>
        <x:v>5</x:v>
      </x:c>
      <x:c r="T126" s="21"/>
      <x:c r="U126" s="20"/>
      <x:c r="V126" s="19" t="str">
        <x:v>http://runwayml.com/</x:v>
      </x:c>
      <x:c r="W126" s="19" t="str">
        <x:v>https://pro.similarweb.com/#/digitalsuite/websiteanalysis/referrals/*/999/1m?webSource=Total&amp;selectedTab=incomingTraffic&amp;key=checkout.stripe.com</x:v>
      </x:c>
      <x:c r="X126" s="20" t="n">
        <x:f>IF(Q126="是",0,IFERROR(P126/SUMIFS($P$2:$P$964,$A$2:$A$964,A126,$Q$2:$Q$964,"否"),0))</x:f>
        <x:v>0.012106975063245392</x:v>
      </x:c>
      <x:c r="Y126" s="22" t="str">
        <x:f>IF(OR(M126="",U126=""),"未交叉",IF(M126*U126&gt;0,"同向",IF(M126*U126&lt;0,"背离","一侧持平")))</x:f>
        <x:v>未交叉</x:v>
      </x:c>
    </x:row>
    <x:row r="127">
      <x:c r="A127" s="18" t="str">
        <x:v>checkout.stripe.com</x:v>
      </x:c>
      <x:c r="B127" s="19" t="str">
        <x:v>专用支付/结账入口</x:v>
      </x:c>
      <x:c r="C127" s="19" t="str">
        <x:v>高</x:v>
      </x:c>
      <x:c r="D127" s="19" t="str">
        <x:v>Jul 2026</x:v>
      </x:c>
      <x:c r="E127" s="19" t="n">
        <x:v>26</x:v>
      </x:c>
      <x:c r="F127" s="19" t="str">
        <x:v>app.trendtrack.io</x:v>
      </x:c>
      <x:c r="G127" s="19" t="str">
        <x:v>Graphics Multimedia and Web Design</x:v>
      </x:c>
      <x:c r="H127" s="19" t="str">
        <x:v>营销、电商与商业 SaaS</x:v>
      </x:c>
      <x:c r="I127" s="19" t="str">
        <x:v>域名人工识别</x:v>
      </x:c>
      <x:c r="J127" s="19"/>
      <x:c r="K127" s="20" t="n">
        <x:v>0.0062</x:v>
      </x:c>
      <x:c r="L127" s="19" t="str">
        <x:v>上升</x:v>
      </x:c>
      <x:c r="M127" s="20" t="n">
        <x:v>0.3035</x:v>
      </x:c>
      <x:c r="N127" s="21" t="n">
        <x:v>42540000</x:v>
      </x:c>
      <x:c r="O127" s="21" t="n">
        <x:v>263748</x:v>
      </x:c>
      <x:c r="P127" s="21" t="n">
        <x:f>ROUND(N127*K127,0)</x:f>
        <x:v>263748</x:v>
      </x:c>
      <x:c r="Q127" s="19" t="str">
        <x:v>否</x:v>
      </x:c>
      <x:c r="R127" s="19" t="str"/>
      <x:c r="S127" s="19" t="n">
        <x:f>IF(Q127="是",0,MIN(10,2+IF(C127="高",2,1)+IF(K127&gt;=3%,3,IF(K127&gt;=1%,2,1))+IF(L127="新出现",2,IF(M127&gt;=100%,3,IF(M127&gt;0,2,0)))))</x:f>
        <x:v>7</x:v>
      </x:c>
      <x:c r="T127" s="21"/>
      <x:c r="U127" s="20"/>
      <x:c r="V127" s="19" t="str">
        <x:v>http://app.trendtrack.io/</x:v>
      </x:c>
      <x:c r="W127" s="19" t="str">
        <x:v>https://pro.similarweb.com/#/digitalsuite/websiteanalysis/referrals/*/999/1m?webSource=Total&amp;selectedTab=incomingTraffic&amp;key=checkout.stripe.com</x:v>
      </x:c>
      <x:c r="X127" s="20" t="n">
        <x:f>IF(Q127="是",0,IFERROR(P127/SUMIFS($P$2:$P$964,$A$2:$A$964,A127,$Q$2:$Q$964,"否"),0))</x:f>
        <x:v>0.011203469461510662</x:v>
      </x:c>
      <x:c r="Y127" s="22" t="str">
        <x:f>IF(OR(M127="",U127=""),"未交叉",IF(M127*U127&gt;0,"同向",IF(M127*U127&lt;0,"背离","一侧持平")))</x:f>
        <x:v>未交叉</x:v>
      </x:c>
    </x:row>
    <x:row r="128">
      <x:c r="A128" s="18" t="str">
        <x:v>checkout.stripe.com</x:v>
      </x:c>
      <x:c r="B128" s="19" t="str">
        <x:v>专用支付/结账入口</x:v>
      </x:c>
      <x:c r="C128" s="19" t="str">
        <x:v>高</x:v>
      </x:c>
      <x:c r="D128" s="19" t="str">
        <x:v>Jul 2026</x:v>
      </x:c>
      <x:c r="E128" s="19" t="n">
        <x:v>27</x:v>
      </x:c>
      <x:c r="F128" s="19" t="str">
        <x:v>app.uare.ai</x:v>
      </x:c>
      <x:c r="G128" s="19" t="str">
        <x:v>Unknown</x:v>
      </x:c>
      <x:c r="H128" s="19" t="str">
        <x:v>AI 内容生成与创作</x:v>
      </x:c>
      <x:c r="I128" s="19" t="str">
        <x:v>域名人工/关键词识别</x:v>
      </x:c>
      <x:c r="J128" s="19"/>
      <x:c r="K128" s="20" t="n">
        <x:v>0.0059</x:v>
      </x:c>
      <x:c r="L128" s="19" t="str">
        <x:v>上升</x:v>
      </x:c>
      <x:c r="M128" s="20" t="n">
        <x:v>2.4417</x:v>
      </x:c>
      <x:c r="N128" s="21" t="n">
        <x:v>42540000</x:v>
      </x:c>
      <x:c r="O128" s="21" t="n">
        <x:v>250986</x:v>
      </x:c>
      <x:c r="P128" s="21" t="n">
        <x:f>ROUND(N128*K128,0)</x:f>
        <x:v>250986</x:v>
      </x:c>
      <x:c r="Q128" s="19" t="str">
        <x:v>否</x:v>
      </x:c>
      <x:c r="R128" s="19" t="str"/>
      <x:c r="S128" s="19" t="n">
        <x:f>IF(Q128="是",0,MIN(10,2+IF(C128="高",2,1)+IF(K128&gt;=3%,3,IF(K128&gt;=1%,2,1))+IF(L128="新出现",2,IF(M128&gt;=100%,3,IF(M128&gt;0,2,0)))))</x:f>
        <x:v>8</x:v>
      </x:c>
      <x:c r="T128" s="21" t="n">
        <x:v>30756</x:v>
      </x:c>
      <x:c r="U128" s="20" t="n">
        <x:v>2.5221999999999998</x:v>
      </x:c>
      <x:c r="V128" s="19" t="str">
        <x:v>http://app.uare.ai/</x:v>
      </x:c>
      <x:c r="W128" s="19" t="str">
        <x:v>https://pro.similarweb.com/#/digitalsuite/websiteanalysis/referrals/*/999/1m?webSource=Total&amp;selectedTab=incomingTraffic&amp;key=checkout.stripe.com</x:v>
      </x:c>
      <x:c r="X128" s="20" t="n">
        <x:f>IF(Q128="是",0,IFERROR(P128/SUMIFS($P$2:$P$964,$A$2:$A$964,A128,$Q$2:$Q$964,"否"),0))</x:f>
        <x:v>0.010661366100469824</x:v>
      </x:c>
      <x:c r="Y128" s="22" t="str">
        <x:f>IF(OR(M128="",U128=""),"未交叉",IF(M128*U128&gt;0,"同向",IF(M128*U128&lt;0,"背离","一侧持平")))</x:f>
        <x:v>同向</x:v>
      </x:c>
    </x:row>
    <x:row r="129">
      <x:c r="A129" s="18" t="str">
        <x:v>checkout.stripe.com</x:v>
      </x:c>
      <x:c r="B129" s="19" t="str">
        <x:v>专用支付/结账入口</x:v>
      </x:c>
      <x:c r="C129" s="19" t="str">
        <x:v>高</x:v>
      </x:c>
      <x:c r="D129" s="19" t="str">
        <x:v>Jul 2026</x:v>
      </x:c>
      <x:c r="E129" s="19" t="n">
        <x:v>28</x:v>
      </x:c>
      <x:c r="F129" s="19" t="str">
        <x:v>wavespeed.ai</x:v>
      </x:c>
      <x:c r="G129" s="19" t="str">
        <x:v>Programming and Developer Software</x:v>
      </x:c>
      <x:c r="H129" s="19" t="str">
        <x:v>AI 内容生成与创作</x:v>
      </x:c>
      <x:c r="I129" s="19" t="str">
        <x:v>域名人工/关键词识别</x:v>
      </x:c>
      <x:c r="J129" s="19" t="n">
        <x:v>25205</x:v>
      </x:c>
      <x:c r="K129" s="20" t="n">
        <x:v>0.0059</x:v>
      </x:c>
      <x:c r="L129" s="19" t="str">
        <x:v>上升</x:v>
      </x:c>
      <x:c r="M129" s="20" t="n">
        <x:v>0.1686</x:v>
      </x:c>
      <x:c r="N129" s="21" t="n">
        <x:v>42540000</x:v>
      </x:c>
      <x:c r="O129" s="21" t="n">
        <x:v>250986</x:v>
      </x:c>
      <x:c r="P129" s="21" t="n">
        <x:f>ROUND(N129*K129,0)</x:f>
        <x:v>250986</x:v>
      </x:c>
      <x:c r="Q129" s="19" t="str">
        <x:v>否</x:v>
      </x:c>
      <x:c r="R129" s="19" t="str"/>
      <x:c r="S129" s="19" t="n">
        <x:f>IF(Q129="是",0,MIN(10,2+IF(C129="高",2,1)+IF(K129&gt;=3%,3,IF(K129&gt;=1%,2,1))+IF(L129="新出现",2,IF(M129&gt;=100%,3,IF(M129&gt;0,2,0)))))</x:f>
        <x:v>7</x:v>
      </x:c>
      <x:c r="T129" s="21"/>
      <x:c r="U129" s="20"/>
      <x:c r="V129" s="19" t="str">
        <x:v>http://wavespeed.ai/</x:v>
      </x:c>
      <x:c r="W129" s="19" t="str">
        <x:v>https://pro.similarweb.com/#/digitalsuite/websiteanalysis/referrals/*/999/1m?webSource=Total&amp;selectedTab=incomingTraffic&amp;key=checkout.stripe.com</x:v>
      </x:c>
      <x:c r="X129" s="20" t="n">
        <x:f>IF(Q129="是",0,IFERROR(P129/SUMIFS($P$2:$P$964,$A$2:$A$964,A129,$Q$2:$Q$964,"否"),0))</x:f>
        <x:v>0.010661366100469824</x:v>
      </x:c>
      <x:c r="Y129" s="22" t="str">
        <x:f>IF(OR(M129="",U129=""),"未交叉",IF(M129*U129&gt;0,"同向",IF(M129*U129&lt;0,"背离","一侧持平")))</x:f>
        <x:v>未交叉</x:v>
      </x:c>
    </x:row>
    <x:row r="130">
      <x:c r="A130" s="18" t="str">
        <x:v>checkout.stripe.com</x:v>
      </x:c>
      <x:c r="B130" s="19" t="str">
        <x:v>专用支付/结账入口</x:v>
      </x:c>
      <x:c r="C130" s="19" t="str">
        <x:v>高</x:v>
      </x:c>
      <x:c r="D130" s="19" t="str">
        <x:v>Jul 2026</x:v>
      </x:c>
      <x:c r="E130" s="19" t="n">
        <x:v>29</x:v>
      </x:c>
      <x:c r="F130" s="19" t="str">
        <x:v>arenaclub.com</x:v>
      </x:c>
      <x:c r="G130" s="19" t="str">
        <x:v>Sports</x:v>
      </x:c>
      <x:c r="H130" s="19" t="str">
        <x:v>健康、生活方式与消费服务</x:v>
      </x:c>
      <x:c r="I130" s="19" t="str">
        <x:v>Similarweb 行业映射</x:v>
      </x:c>
      <x:c r="J130" s="19" t="n">
        <x:v>26593</x:v>
      </x:c>
      <x:c r="K130" s="20" t="n">
        <x:v>0.005600000000000001</x:v>
      </x:c>
      <x:c r="L130" s="19" t="str">
        <x:v>上升</x:v>
      </x:c>
      <x:c r="M130" s="20" t="n">
        <x:v>1.0682</x:v>
      </x:c>
      <x:c r="N130" s="21" t="n">
        <x:v>42540000</x:v>
      </x:c>
      <x:c r="O130" s="21" t="n">
        <x:v>238224</x:v>
      </x:c>
      <x:c r="P130" s="21" t="n">
        <x:f>ROUND(N130*K130,0)</x:f>
        <x:v>238224</x:v>
      </x:c>
      <x:c r="Q130" s="19" t="str">
        <x:v>否</x:v>
      </x:c>
      <x:c r="R130" s="19" t="str"/>
      <x:c r="S130" s="19" t="n">
        <x:f>IF(Q130="是",0,MIN(10,2+IF(C130="高",2,1)+IF(K130&gt;=3%,3,IF(K130&gt;=1%,2,1))+IF(L130="新出现",2,IF(M130&gt;=100%,3,IF(M130&gt;0,2,0)))))</x:f>
        <x:v>8</x:v>
      </x:c>
      <x:c r="T130" s="21"/>
      <x:c r="U130" s="20"/>
      <x:c r="V130" s="19" t="str">
        <x:v>http://arenaclub.com/</x:v>
      </x:c>
      <x:c r="W130" s="19" t="str">
        <x:v>https://pro.similarweb.com/#/digitalsuite/websiteanalysis/referrals/*/999/1m?webSource=Total&amp;selectedTab=incomingTraffic&amp;key=checkout.stripe.com</x:v>
      </x:c>
      <x:c r="X130" s="20" t="n">
        <x:f>IF(Q130="是",0,IFERROR(P130/SUMIFS($P$2:$P$964,$A$2:$A$964,A130,$Q$2:$Q$964,"否"),0))</x:f>
        <x:v>0.010119262739428984</x:v>
      </x:c>
      <x:c r="Y130" s="22" t="str">
        <x:f>IF(OR(M130="",U130=""),"未交叉",IF(M130*U130&gt;0,"同向",IF(M130*U130&lt;0,"背离","一侧持平")))</x:f>
        <x:v>未交叉</x:v>
      </x:c>
    </x:row>
    <x:row r="131">
      <x:c r="A131" s="18" t="str">
        <x:v>checkout.stripe.com</x:v>
      </x:c>
      <x:c r="B131" s="19" t="str">
        <x:v>专用支付/结账入口</x:v>
      </x:c>
      <x:c r="C131" s="19" t="str">
        <x:v>高</x:v>
      </x:c>
      <x:c r="D131" s="19" t="str">
        <x:v>Jul 2026</x:v>
      </x:c>
      <x:c r="E131" s="19" t="n">
        <x:v>30</x:v>
      </x:c>
      <x:c r="F131" s="19" t="str">
        <x:v>porkbun.com</x:v>
      </x:c>
      <x:c r="G131" s="19" t="str">
        <x:v>Web Hosting and Domain Names</x:v>
      </x:c>
      <x:c r="H131" s="19" t="str">
        <x:v>开发者工具与互联网基础设施</x:v>
      </x:c>
      <x:c r="I131" s="19" t="str">
        <x:v>Similarweb 行业映射</x:v>
      </x:c>
      <x:c r="J131" s="19" t="n">
        <x:v>17467</x:v>
      </x:c>
      <x:c r="K131" s="20" t="n">
        <x:v>0.004699999999999999</x:v>
      </x:c>
      <x:c r="L131" s="19" t="str">
        <x:v>下降</x:v>
      </x:c>
      <x:c r="M131" s="20" t="n">
        <x:v>-0.0977</x:v>
      </x:c>
      <x:c r="N131" s="21" t="n">
        <x:v>42540000</x:v>
      </x:c>
      <x:c r="O131" s="21" t="n">
        <x:v>199938</x:v>
      </x:c>
      <x:c r="P131" s="21" t="n">
        <x:f>ROUND(N131*K131,0)</x:f>
        <x:v>199938</x:v>
      </x:c>
      <x:c r="Q131" s="19" t="str">
        <x:v>否</x:v>
      </x:c>
      <x:c r="R131" s="19" t="str"/>
      <x:c r="S131" s="19" t="n">
        <x:f>IF(Q131="是",0,MIN(10,2+IF(C131="高",2,1)+IF(K131&gt;=3%,3,IF(K131&gt;=1%,2,1))+IF(L131="新出现",2,IF(M131&gt;=100%,3,IF(M131&gt;0,2,0)))))</x:f>
        <x:v>5</x:v>
      </x:c>
      <x:c r="T131" s="21"/>
      <x:c r="U131" s="20"/>
      <x:c r="V131" s="19" t="str">
        <x:v>http://porkbun.com/</x:v>
      </x:c>
      <x:c r="W131" s="19" t="str">
        <x:v>https://pro.similarweb.com/#/digitalsuite/websiteanalysis/referrals/*/999/1m?webSource=Total&amp;selectedTab=incomingTraffic&amp;key=checkout.stripe.com</x:v>
      </x:c>
      <x:c r="X131" s="20" t="n">
        <x:f>IF(Q131="是",0,IFERROR(P131/SUMIFS($P$2:$P$964,$A$2:$A$964,A131,$Q$2:$Q$964,"否"),0))</x:f>
        <x:v>0.008492952656306469</x:v>
      </x:c>
      <x:c r="Y131" s="22" t="str">
        <x:f>IF(OR(M131="",U131=""),"未交叉",IF(M131*U131&gt;0,"同向",IF(M131*U131&lt;0,"背离","一侧持平")))</x:f>
        <x:v>未交叉</x:v>
      </x:c>
    </x:row>
    <x:row r="132">
      <x:c r="A132" s="18" t="str">
        <x:v>checkout.stripe.com</x:v>
      </x:c>
      <x:c r="B132" s="19" t="str">
        <x:v>专用支付/结账入口</x:v>
      </x:c>
      <x:c r="C132" s="19" t="str">
        <x:v>高</x:v>
      </x:c>
      <x:c r="D132" s="19" t="str">
        <x:v>Jul 2026</x:v>
      </x:c>
      <x:c r="E132" s="19" t="n">
        <x:v>31</x:v>
      </x:c>
      <x:c r="F132" s="19" t="str">
        <x:v>linternaute.com</x:v>
      </x:c>
      <x:c r="G132" s="19" t="str">
        <x:v>News and Media</x:v>
      </x:c>
      <x:c r="H132" s="19" t="str">
        <x:v>内容媒体、线下与实体消费</x:v>
      </x:c>
      <x:c r="I132" s="19" t="str">
        <x:v>Similarweb 行业映射</x:v>
      </x:c>
      <x:c r="J132" s="19" t="n">
        <x:v>1690</x:v>
      </x:c>
      <x:c r="K132" s="20" t="n">
        <x:v>0.004699999999999999</x:v>
      </x:c>
      <x:c r="L132" s="19" t="str">
        <x:v>上升</x:v>
      </x:c>
      <x:c r="M132" s="20" t="n">
        <x:v>0.2339</x:v>
      </x:c>
      <x:c r="N132" s="21" t="n">
        <x:v>42540000</x:v>
      </x:c>
      <x:c r="O132" s="21" t="n">
        <x:v>199938</x:v>
      </x:c>
      <x:c r="P132" s="21" t="n">
        <x:f>ROUND(N132*K132,0)</x:f>
        <x:v>199938</x:v>
      </x:c>
      <x:c r="Q132" s="19" t="str">
        <x:v>否</x:v>
      </x:c>
      <x:c r="R132" s="19" t="str"/>
      <x:c r="S132" s="19" t="n">
        <x:f>IF(Q132="是",0,MIN(10,2+IF(C132="高",2,1)+IF(K132&gt;=3%,3,IF(K132&gt;=1%,2,1))+IF(L132="新出现",2,IF(M132&gt;=100%,3,IF(M132&gt;0,2,0)))))</x:f>
        <x:v>7</x:v>
      </x:c>
      <x:c r="T132" s="21"/>
      <x:c r="U132" s="20"/>
      <x:c r="V132" s="19" t="str">
        <x:v>http://linternaute.com/</x:v>
      </x:c>
      <x:c r="W132" s="19" t="str">
        <x:v>https://pro.similarweb.com/#/digitalsuite/websiteanalysis/referrals/*/999/1m?webSource=Total&amp;selectedTab=incomingTraffic&amp;key=checkout.stripe.com</x:v>
      </x:c>
      <x:c r="X132" s="20" t="n">
        <x:f>IF(Q132="是",0,IFERROR(P132/SUMIFS($P$2:$P$964,$A$2:$A$964,A132,$Q$2:$Q$964,"否"),0))</x:f>
        <x:v>0.008492952656306469</x:v>
      </x:c>
      <x:c r="Y132" s="22" t="str">
        <x:f>IF(OR(M132="",U132=""),"未交叉",IF(M132*U132&gt;0,"同向",IF(M132*U132&lt;0,"背离","一侧持平")))</x:f>
        <x:v>未交叉</x:v>
      </x:c>
    </x:row>
    <x:row r="133">
      <x:c r="A133" s="18" t="str">
        <x:v>checkout.stripe.com</x:v>
      </x:c>
      <x:c r="B133" s="19" t="str">
        <x:v>专用支付/结账入口</x:v>
      </x:c>
      <x:c r="C133" s="19" t="str">
        <x:v>高</x:v>
      </x:c>
      <x:c r="D133" s="19" t="str">
        <x:v>Jul 2026</x:v>
      </x:c>
      <x:c r="E133" s="19" t="n">
        <x:v>32</x:v>
      </x:c>
      <x:c r="F133" s="19" t="str">
        <x:v>mtcgame.com</x:v>
      </x:c>
      <x:c r="G133" s="19" t="str">
        <x:v>Video Games Consoles and Accessories</x:v>
      </x:c>
      <x:c r="H133" s="19" t="str">
        <x:v>游戏、数字商品与虚拟内容</x:v>
      </x:c>
      <x:c r="I133" s="19" t="str">
        <x:v>Similarweb 行业映射</x:v>
      </x:c>
      <x:c r="J133" s="19" t="n">
        <x:v>52737</x:v>
      </x:c>
      <x:c r="K133" s="20" t="n">
        <x:v>0.0046</x:v>
      </x:c>
      <x:c r="L133" s="19" t="str">
        <x:v>上升</x:v>
      </x:c>
      <x:c r="M133" s="20" t="n">
        <x:v>0.24050000000000002</x:v>
      </x:c>
      <x:c r="N133" s="21" t="n">
        <x:v>42540000</x:v>
      </x:c>
      <x:c r="O133" s="21" t="n">
        <x:v>195684</x:v>
      </x:c>
      <x:c r="P133" s="21" t="n">
        <x:f>ROUND(N133*K133,0)</x:f>
        <x:v>195684</x:v>
      </x:c>
      <x:c r="Q133" s="19" t="str">
        <x:v>否</x:v>
      </x:c>
      <x:c r="R133" s="19" t="str"/>
      <x:c r="S133" s="19" t="n">
        <x:f>IF(Q133="是",0,MIN(10,2+IF(C133="高",2,1)+IF(K133&gt;=3%,3,IF(K133&gt;=1%,2,1))+IF(L133="新出现",2,IF(M133&gt;=100%,3,IF(M133&gt;0,2,0)))))</x:f>
        <x:v>7</x:v>
      </x:c>
      <x:c r="T133" s="21"/>
      <x:c r="U133" s="20"/>
      <x:c r="V133" s="19" t="str">
        <x:v>http://mtcgame.com/</x:v>
      </x:c>
      <x:c r="W133" s="19" t="str">
        <x:v>https://pro.similarweb.com/#/digitalsuite/websiteanalysis/referrals/*/999/1m?webSource=Total&amp;selectedTab=incomingTraffic&amp;key=checkout.stripe.com</x:v>
      </x:c>
      <x:c r="X133" s="20" t="n">
        <x:f>IF(Q133="是",0,IFERROR(P133/SUMIFS($P$2:$P$964,$A$2:$A$964,A133,$Q$2:$Q$964,"否"),0))</x:f>
        <x:v>0.008312251535959523</x:v>
      </x:c>
      <x:c r="Y133" s="22" t="str">
        <x:f>IF(OR(M133="",U133=""),"未交叉",IF(M133*U133&gt;0,"同向",IF(M133*U133&lt;0,"背离","一侧持平")))</x:f>
        <x:v>未交叉</x:v>
      </x:c>
    </x:row>
    <x:row r="134">
      <x:c r="A134" s="18" t="str">
        <x:v>checkout.stripe.com</x:v>
      </x:c>
      <x:c r="B134" s="19" t="str">
        <x:v>专用支付/结账入口</x:v>
      </x:c>
      <x:c r="C134" s="19" t="str">
        <x:v>高</x:v>
      </x:c>
      <x:c r="D134" s="19" t="str">
        <x:v>Jul 2026</x:v>
      </x:c>
      <x:c r="E134" s="19" t="n">
        <x:v>33</x:v>
      </x:c>
      <x:c r="F134" s="19" t="str">
        <x:v>platform.kimi.ai</x:v>
      </x:c>
      <x:c r="G134" s="19" t="str">
        <x:v>Programming and Developer Software</x:v>
      </x:c>
      <x:c r="H134" s="19" t="str">
        <x:v>AI 开发工具与基础设施</x:v>
      </x:c>
      <x:c r="I134" s="19" t="str">
        <x:v>域名人工识别</x:v>
      </x:c>
      <x:c r="J134" s="19"/>
      <x:c r="K134" s="20" t="n">
        <x:v>0.0046</x:v>
      </x:c>
      <x:c r="L134" s="19" t="str">
        <x:v>上升</x:v>
      </x:c>
      <x:c r="M134" s="20" t="n">
        <x:v>4.9987</x:v>
      </x:c>
      <x:c r="N134" s="21" t="n">
        <x:v>42540000</x:v>
      </x:c>
      <x:c r="O134" s="21" t="n">
        <x:v>195684</x:v>
      </x:c>
      <x:c r="P134" s="21" t="n">
        <x:f>ROUND(N134*K134,0)</x:f>
        <x:v>195684</x:v>
      </x:c>
      <x:c r="Q134" s="19" t="str">
        <x:v>否</x:v>
      </x:c>
      <x:c r="R134" s="19" t="str"/>
      <x:c r="S134" s="19" t="n">
        <x:f>IF(Q134="是",0,MIN(10,2+IF(C134="高",2,1)+IF(K134&gt;=3%,3,IF(K134&gt;=1%,2,1))+IF(L134="新出现",2,IF(M134&gt;=100%,3,IF(M134&gt;0,2,0)))))</x:f>
        <x:v>8</x:v>
      </x:c>
      <x:c r="T134" s="21"/>
      <x:c r="U134" s="20"/>
      <x:c r="V134" s="19" t="str">
        <x:v>http://platform.kimi.ai/</x:v>
      </x:c>
      <x:c r="W134" s="19" t="str">
        <x:v>https://pro.similarweb.com/#/digitalsuite/websiteanalysis/referrals/*/999/1m?webSource=Total&amp;selectedTab=incomingTraffic&amp;key=checkout.stripe.com</x:v>
      </x:c>
      <x:c r="X134" s="20" t="n">
        <x:f>IF(Q134="是",0,IFERROR(P134/SUMIFS($P$2:$P$964,$A$2:$A$964,A134,$Q$2:$Q$964,"否"),0))</x:f>
        <x:v>0.008312251535959523</x:v>
      </x:c>
      <x:c r="Y134" s="22" t="str">
        <x:f>IF(OR(M134="",U134=""),"未交叉",IF(M134*U134&gt;0,"同向",IF(M134*U134&lt;0,"背离","一侧持平")))</x:f>
        <x:v>未交叉</x:v>
      </x:c>
    </x:row>
    <x:row r="135">
      <x:c r="A135" s="18" t="str">
        <x:v>checkout.stripe.com</x:v>
      </x:c>
      <x:c r="B135" s="19" t="str">
        <x:v>专用支付/结账入口</x:v>
      </x:c>
      <x:c r="C135" s="19" t="str">
        <x:v>高</x:v>
      </x:c>
      <x:c r="D135" s="19" t="str">
        <x:v>Jul 2026</x:v>
      </x:c>
      <x:c r="E135" s="19" t="n">
        <x:v>34</x:v>
      </x:c>
      <x:c r="F135" s="19" t="str">
        <x:v>covergirl.maxim.com</x:v>
      </x:c>
      <x:c r="G135" s="19" t="str">
        <x:v>TV Movies and Streaming</x:v>
      </x:c>
      <x:c r="H135" s="19" t="str">
        <x:v>内容媒体、线下与实体消费</x:v>
      </x:c>
      <x:c r="I135" s="19" t="str">
        <x:v>Similarweb 行业映射</x:v>
      </x:c>
      <x:c r="J135" s="19"/>
      <x:c r="K135" s="20" t="n">
        <x:v>0.0043</x:v>
      </x:c>
      <x:c r="L135" s="19" t="str">
        <x:v>新出现</x:v>
      </x:c>
      <x:c r="M135" s="20"/>
      <x:c r="N135" s="21" t="n">
        <x:v>42540000</x:v>
      </x:c>
      <x:c r="O135" s="21" t="n">
        <x:v>182922</x:v>
      </x:c>
      <x:c r="P135" s="21" t="n">
        <x:f>ROUND(N135*K135,0)</x:f>
        <x:v>182922</x:v>
      </x:c>
      <x:c r="Q135" s="19" t="str">
        <x:v>否</x:v>
      </x:c>
      <x:c r="R135" s="19" t="str"/>
      <x:c r="S135" s="19" t="n">
        <x:f>IF(Q135="是",0,MIN(10,2+IF(C135="高",2,1)+IF(K135&gt;=3%,3,IF(K135&gt;=1%,2,1))+IF(L135="新出现",2,IF(M135&gt;=100%,3,IF(M135&gt;0,2,0)))))</x:f>
        <x:v>7</x:v>
      </x:c>
      <x:c r="T135" s="21"/>
      <x:c r="U135" s="20"/>
      <x:c r="V135" s="19" t="str">
        <x:v>http://covergirl.maxim.com/</x:v>
      </x:c>
      <x:c r="W135" s="19" t="str">
        <x:v>https://pro.similarweb.com/#/digitalsuite/websiteanalysis/referrals/*/999/1m?webSource=Total&amp;selectedTab=incomingTraffic&amp;key=checkout.stripe.com</x:v>
      </x:c>
      <x:c r="X135" s="20" t="n">
        <x:f>IF(Q135="是",0,IFERROR(P135/SUMIFS($P$2:$P$964,$A$2:$A$964,A135,$Q$2:$Q$964,"否"),0))</x:f>
        <x:v>0.007770148174918685</x:v>
      </x:c>
      <x:c r="Y135" s="22" t="str">
        <x:f>IF(OR(M135="",U135=""),"未交叉",IF(M135*U135&gt;0,"同向",IF(M135*U135&lt;0,"背离","一侧持平")))</x:f>
        <x:v>未交叉</x:v>
      </x:c>
    </x:row>
    <x:row r="136">
      <x:c r="A136" s="18" t="str">
        <x:v>checkout.stripe.com</x:v>
      </x:c>
      <x:c r="B136" s="19" t="str">
        <x:v>专用支付/结账入口</x:v>
      </x:c>
      <x:c r="C136" s="19" t="str">
        <x:v>高</x:v>
      </x:c>
      <x:c r="D136" s="19" t="str">
        <x:v>Jul 2026</x:v>
      </x:c>
      <x:c r="E136" s="19" t="n">
        <x:v>35</x:v>
      </x:c>
      <x:c r="F136" s="19" t="str">
        <x:v>app.kiro.dev</x:v>
      </x:c>
      <x:c r="G136" s="19" t="str">
        <x:v>Banking Credit and Lending</x:v>
      </x:c>
      <x:c r="H136" s="19" t="str">
        <x:v>AI 开发工具与基础设施</x:v>
      </x:c>
      <x:c r="I136" s="19" t="str">
        <x:v>域名人工识别</x:v>
      </x:c>
      <x:c r="J136" s="19"/>
      <x:c r="K136" s="20" t="n">
        <x:v>0.0043</x:v>
      </x:c>
      <x:c r="L136" s="19" t="str">
        <x:v>下降</x:v>
      </x:c>
      <x:c r="M136" s="20" t="n">
        <x:v>-0.405</x:v>
      </x:c>
      <x:c r="N136" s="21" t="n">
        <x:v>42540000</x:v>
      </x:c>
      <x:c r="O136" s="21" t="n">
        <x:v>182922</x:v>
      </x:c>
      <x:c r="P136" s="21" t="n">
        <x:f>ROUND(N136*K136,0)</x:f>
        <x:v>182922</x:v>
      </x:c>
      <x:c r="Q136" s="19" t="str">
        <x:v>否</x:v>
      </x:c>
      <x:c r="R136" s="19" t="str"/>
      <x:c r="S136" s="19" t="n">
        <x:f>IF(Q136="是",0,MIN(10,2+IF(C136="高",2,1)+IF(K136&gt;=3%,3,IF(K136&gt;=1%,2,1))+IF(L136="新出现",2,IF(M136&gt;=100%,3,IF(M136&gt;0,2,0)))))</x:f>
        <x:v>5</x:v>
      </x:c>
      <x:c r="T136" s="21"/>
      <x:c r="U136" s="20"/>
      <x:c r="V136" s="19" t="str">
        <x:v>http://app.kiro.dev/</x:v>
      </x:c>
      <x:c r="W136" s="19" t="str">
        <x:v>https://pro.similarweb.com/#/digitalsuite/websiteanalysis/referrals/*/999/1m?webSource=Total&amp;selectedTab=incomingTraffic&amp;key=checkout.stripe.com</x:v>
      </x:c>
      <x:c r="X136" s="20" t="n">
        <x:f>IF(Q136="是",0,IFERROR(P136/SUMIFS($P$2:$P$964,$A$2:$A$964,A136,$Q$2:$Q$964,"否"),0))</x:f>
        <x:v>0.007770148174918685</x:v>
      </x:c>
      <x:c r="Y136" s="22" t="str">
        <x:f>IF(OR(M136="",U136=""),"未交叉",IF(M136*U136&gt;0,"同向",IF(M136*U136&lt;0,"背离","一侧持平")))</x:f>
        <x:v>未交叉</x:v>
      </x:c>
    </x:row>
    <x:row r="137">
      <x:c r="A137" s="18" t="str">
        <x:v>checkout.stripe.com</x:v>
      </x:c>
      <x:c r="B137" s="19" t="str">
        <x:v>专用支付/结账入口</x:v>
      </x:c>
      <x:c r="C137" s="19" t="str">
        <x:v>高</x:v>
      </x:c>
      <x:c r="D137" s="19" t="str">
        <x:v>Jul 2026</x:v>
      </x:c>
      <x:c r="E137" s="19" t="n">
        <x:v>36</x:v>
      </x:c>
      <x:c r="F137" s="19" t="str">
        <x:v>hyperagent.com</x:v>
      </x:c>
      <x:c r="G137" s="19" t="str">
        <x:v>Computers Electronics and Technology</x:v>
      </x:c>
      <x:c r="H137" s="19" t="str">
        <x:v>AI 开发工具与基础设施</x:v>
      </x:c>
      <x:c r="I137" s="19" t="str">
        <x:v>域名人工识别</x:v>
      </x:c>
      <x:c r="J137" s="19" t="n">
        <x:v>74669</x:v>
      </x:c>
      <x:c r="K137" s="20" t="n">
        <x:v>0.0042</x:v>
      </x:c>
      <x:c r="L137" s="19" t="str">
        <x:v>上升</x:v>
      </x:c>
      <x:c r="M137" s="20" t="n">
        <x:v>1.3865</x:v>
      </x:c>
      <x:c r="N137" s="21" t="n">
        <x:v>42540000</x:v>
      </x:c>
      <x:c r="O137" s="21" t="n">
        <x:v>178668</x:v>
      </x:c>
      <x:c r="P137" s="21" t="n">
        <x:f>ROUND(N137*K137,0)</x:f>
        <x:v>178668</x:v>
      </x:c>
      <x:c r="Q137" s="19" t="str">
        <x:v>否</x:v>
      </x:c>
      <x:c r="R137" s="19" t="str"/>
      <x:c r="S137" s="19" t="n">
        <x:f>IF(Q137="是",0,MIN(10,2+IF(C137="高",2,1)+IF(K137&gt;=3%,3,IF(K137&gt;=1%,2,1))+IF(L137="新出现",2,IF(M137&gt;=100%,3,IF(M137&gt;0,2,0)))))</x:f>
        <x:v>8</x:v>
      </x:c>
      <x:c r="T137" s="21"/>
      <x:c r="U137" s="20"/>
      <x:c r="V137" s="19" t="str">
        <x:v>http://hyperagent.com/</x:v>
      </x:c>
      <x:c r="W137" s="19" t="str">
        <x:v>https://pro.similarweb.com/#/digitalsuite/websiteanalysis/referrals/*/999/1m?webSource=Total&amp;selectedTab=incomingTraffic&amp;key=checkout.stripe.com</x:v>
      </x:c>
      <x:c r="X137" s="20" t="n">
        <x:f>IF(Q137="是",0,IFERROR(P137/SUMIFS($P$2:$P$964,$A$2:$A$964,A137,$Q$2:$Q$964,"否"),0))</x:f>
        <x:v>0.007589447054571739</x:v>
      </x:c>
      <x:c r="Y137" s="22" t="str">
        <x:f>IF(OR(M137="",U137=""),"未交叉",IF(M137*U137&gt;0,"同向",IF(M137*U137&lt;0,"背离","一侧持平")))</x:f>
        <x:v>未交叉</x:v>
      </x:c>
    </x:row>
    <x:row r="138">
      <x:c r="A138" s="18" t="str">
        <x:v>checkout.stripe.com</x:v>
      </x:c>
      <x:c r="B138" s="19" t="str">
        <x:v>专用支付/结账入口</x:v>
      </x:c>
      <x:c r="C138" s="19" t="str">
        <x:v>高</x:v>
      </x:c>
      <x:c r="D138" s="19" t="str">
        <x:v>Jul 2026</x:v>
      </x:c>
      <x:c r="E138" s="19" t="n">
        <x:v>37</x:v>
      </x:c>
      <x:c r="F138" s="19" t="str">
        <x:v>drmax.it</x:v>
      </x:c>
      <x:c r="G138" s="19" t="str">
        <x:v>Health</x:v>
      </x:c>
      <x:c r="H138" s="19" t="str">
        <x:v>健康、生活方式与消费服务</x:v>
      </x:c>
      <x:c r="I138" s="19" t="str">
        <x:v>Similarweb 行业映射</x:v>
      </x:c>
      <x:c r="J138" s="19" t="n">
        <x:v>13610</x:v>
      </x:c>
      <x:c r="K138" s="20" t="n">
        <x:v>0.004</x:v>
      </x:c>
      <x:c r="L138" s="19" t="str">
        <x:v>上升</x:v>
      </x:c>
      <x:c r="M138" s="20" t="n">
        <x:v>0.0036</x:v>
      </x:c>
      <x:c r="N138" s="21" t="n">
        <x:v>42540000</x:v>
      </x:c>
      <x:c r="O138" s="21" t="n">
        <x:v>170160</x:v>
      </x:c>
      <x:c r="P138" s="21" t="n">
        <x:f>ROUND(N138*K138,0)</x:f>
        <x:v>170160</x:v>
      </x:c>
      <x:c r="Q138" s="19" t="str">
        <x:v>否</x:v>
      </x:c>
      <x:c r="R138" s="19" t="str"/>
      <x:c r="S138" s="19" t="n">
        <x:f>IF(Q138="是",0,MIN(10,2+IF(C138="高",2,1)+IF(K138&gt;=3%,3,IF(K138&gt;=1%,2,1))+IF(L138="新出现",2,IF(M138&gt;=100%,3,IF(M138&gt;0,2,0)))))</x:f>
        <x:v>7</x:v>
      </x:c>
      <x:c r="T138" s="21"/>
      <x:c r="U138" s="20"/>
      <x:c r="V138" s="19" t="str">
        <x:v>http://drmax.it/</x:v>
      </x:c>
      <x:c r="W138" s="19" t="str">
        <x:v>https://pro.similarweb.com/#/digitalsuite/websiteanalysis/referrals/*/999/1m?webSource=Total&amp;selectedTab=incomingTraffic&amp;key=checkout.stripe.com</x:v>
      </x:c>
      <x:c r="X138" s="20" t="n">
        <x:f>IF(Q138="是",0,IFERROR(P138/SUMIFS($P$2:$P$964,$A$2:$A$964,A138,$Q$2:$Q$964,"否"),0))</x:f>
        <x:v>0.007228044813877846</x:v>
      </x:c>
      <x:c r="Y138" s="22" t="str">
        <x:f>IF(OR(M138="",U138=""),"未交叉",IF(M138*U138&gt;0,"同向",IF(M138*U138&lt;0,"背离","一侧持平")))</x:f>
        <x:v>未交叉</x:v>
      </x:c>
    </x:row>
    <x:row r="139">
      <x:c r="A139" s="18" t="str">
        <x:v>checkout.stripe.com</x:v>
      </x:c>
      <x:c r="B139" s="19" t="str">
        <x:v>专用支付/结账入口</x:v>
      </x:c>
      <x:c r="C139" s="19" t="str">
        <x:v>高</x:v>
      </x:c>
      <x:c r="D139" s="19" t="str">
        <x:v>Jul 2026</x:v>
      </x:c>
      <x:c r="E139" s="19" t="n">
        <x:v>38</x:v>
      </x:c>
      <x:c r="F139" s="19" t="str">
        <x:v>app.gptzero.me</x:v>
      </x:c>
      <x:c r="G139" s="19" t="str">
        <x:v>Education</x:v>
      </x:c>
      <x:c r="H139" s="19" t="str">
        <x:v>AI 工具与应用（未细分）</x:v>
      </x:c>
      <x:c r="I139" s="19" t="str">
        <x:v>域名人工/交叉验证修正</x:v>
      </x:c>
      <x:c r="J139" s="19"/>
      <x:c r="K139" s="20" t="n">
        <x:v>0.004</x:v>
      </x:c>
      <x:c r="L139" s="19" t="str">
        <x:v>上升</x:v>
      </x:c>
      <x:c r="M139" s="20" t="n">
        <x:v>0.2077</x:v>
      </x:c>
      <x:c r="N139" s="21" t="n">
        <x:v>42540000</x:v>
      </x:c>
      <x:c r="O139" s="21" t="n">
        <x:v>170160</x:v>
      </x:c>
      <x:c r="P139" s="21" t="n">
        <x:f>ROUND(N139*K139,0)</x:f>
        <x:v>170160</x:v>
      </x:c>
      <x:c r="Q139" s="19" t="str">
        <x:v>否</x:v>
      </x:c>
      <x:c r="R139" s="19" t="str"/>
      <x:c r="S139" s="19" t="n">
        <x:f>IF(Q139="是",0,MIN(10,2+IF(C139="高",2,1)+IF(K139&gt;=3%,3,IF(K139&gt;=1%,2,1))+IF(L139="新出现",2,IF(M139&gt;=100%,3,IF(M139&gt;0,2,0)))))</x:f>
        <x:v>7</x:v>
      </x:c>
      <x:c r="T139" s="21"/>
      <x:c r="U139" s="20"/>
      <x:c r="V139" s="19" t="str">
        <x:v>http://app.gptzero.me/</x:v>
      </x:c>
      <x:c r="W139" s="19" t="str">
        <x:v>https://pro.similarweb.com/#/digitalsuite/websiteanalysis/referrals/*/999/1m?webSource=Total&amp;selectedTab=incomingTraffic&amp;key=checkout.stripe.com</x:v>
      </x:c>
      <x:c r="X139" s="20" t="n">
        <x:f>IF(Q139="是",0,IFERROR(P139/SUMIFS($P$2:$P$964,$A$2:$A$964,A139,$Q$2:$Q$964,"否"),0))</x:f>
        <x:v>0.007228044813877846</x:v>
      </x:c>
      <x:c r="Y139" s="22" t="str">
        <x:f>IF(OR(M139="",U139=""),"未交叉",IF(M139*U139&gt;0,"同向",IF(M139*U139&lt;0,"背离","一侧持平")))</x:f>
        <x:v>未交叉</x:v>
      </x:c>
    </x:row>
    <x:row r="140">
      <x:c r="A140" s="18" t="str">
        <x:v>checkout.stripe.com</x:v>
      </x:c>
      <x:c r="B140" s="19" t="str">
        <x:v>专用支付/结账入口</x:v>
      </x:c>
      <x:c r="C140" s="19" t="str">
        <x:v>高</x:v>
      </x:c>
      <x:c r="D140" s="19" t="str">
        <x:v>Jul 2026</x:v>
      </x:c>
      <x:c r="E140" s="19" t="n">
        <x:v>39</x:v>
      </x:c>
      <x:c r="F140" s="19" t="str">
        <x:v>inmatecanteen.com</x:v>
      </x:c>
      <x:c r="G140" s="19" t="str">
        <x:v>Law and Government</x:v>
      </x:c>
      <x:c r="H140" s="19" t="str">
        <x:v>其他/待核查</x:v>
      </x:c>
      <x:c r="I140" s="19" t="str">
        <x:v>保守归类</x:v>
      </x:c>
      <x:c r="J140" s="19" t="n">
        <x:v>179894</x:v>
      </x:c>
      <x:c r="K140" s="20" t="n">
        <x:v>0.0039000000000000003</x:v>
      </x:c>
      <x:c r="L140" s="19" t="str">
        <x:v>下降</x:v>
      </x:c>
      <x:c r="M140" s="20" t="n">
        <x:v>-0.10550000000000001</x:v>
      </x:c>
      <x:c r="N140" s="21" t="n">
        <x:v>42540000</x:v>
      </x:c>
      <x:c r="O140" s="21" t="n">
        <x:v>165906</x:v>
      </x:c>
      <x:c r="P140" s="21" t="n">
        <x:f>ROUND(N140*K140,0)</x:f>
        <x:v>165906</x:v>
      </x:c>
      <x:c r="Q140" s="19" t="str">
        <x:v>否</x:v>
      </x:c>
      <x:c r="R140" s="19" t="str"/>
      <x:c r="S140" s="19" t="n">
        <x:f>IF(Q140="是",0,MIN(10,2+IF(C140="高",2,1)+IF(K140&gt;=3%,3,IF(K140&gt;=1%,2,1))+IF(L140="新出现",2,IF(M140&gt;=100%,3,IF(M140&gt;0,2,0)))))</x:f>
        <x:v>5</x:v>
      </x:c>
      <x:c r="T140" s="21"/>
      <x:c r="U140" s="20"/>
      <x:c r="V140" s="19" t="str">
        <x:v>http://inmatecanteen.com/</x:v>
      </x:c>
      <x:c r="W140" s="19" t="str">
        <x:v>https://pro.similarweb.com/#/digitalsuite/websiteanalysis/referrals/*/999/1m?webSource=Total&amp;selectedTab=incomingTraffic&amp;key=checkout.stripe.com</x:v>
      </x:c>
      <x:c r="X140" s="20" t="n">
        <x:f>IF(Q140="是",0,IFERROR(P140/SUMIFS($P$2:$P$964,$A$2:$A$964,A140,$Q$2:$Q$964,"否"),0))</x:f>
        <x:v>0.0070473436935308996</x:v>
      </x:c>
      <x:c r="Y140" s="22" t="str">
        <x:f>IF(OR(M140="",U140=""),"未交叉",IF(M140*U140&gt;0,"同向",IF(M140*U140&lt;0,"背离","一侧持平")))</x:f>
        <x:v>未交叉</x:v>
      </x:c>
    </x:row>
    <x:row r="141">
      <x:c r="A141" s="18" t="str">
        <x:v>checkout.stripe.com</x:v>
      </x:c>
      <x:c r="B141" s="19" t="str">
        <x:v>专用支付/结账入口</x:v>
      </x:c>
      <x:c r="C141" s="19" t="str">
        <x:v>高</x:v>
      </x:c>
      <x:c r="D141" s="19" t="str">
        <x:v>Jul 2026</x:v>
      </x:c>
      <x:c r="E141" s="19" t="n">
        <x:v>40</x:v>
      </x:c>
      <x:c r="F141" s="19" t="str">
        <x:v>support.image-line.com</x:v>
      </x:c>
      <x:c r="G141" s="19" t="str">
        <x:v>Graphics Multimedia and Web Design</x:v>
      </x:c>
      <x:c r="H141" s="19" t="str">
        <x:v>桌面/移动端专业工具</x:v>
      </x:c>
      <x:c r="I141" s="19" t="str">
        <x:v>域名人工识别</x:v>
      </x:c>
      <x:c r="J141" s="19"/>
      <x:c r="K141" s="20" t="n">
        <x:v>0.0039000000000000003</x:v>
      </x:c>
      <x:c r="L141" s="19" t="str">
        <x:v>上升</x:v>
      </x:c>
      <x:c r="M141" s="20" t="n">
        <x:v>0.6706</x:v>
      </x:c>
      <x:c r="N141" s="21" t="n">
        <x:v>42540000</x:v>
      </x:c>
      <x:c r="O141" s="21" t="n">
        <x:v>165906</x:v>
      </x:c>
      <x:c r="P141" s="21" t="n">
        <x:f>ROUND(N141*K141,0)</x:f>
        <x:v>165906</x:v>
      </x:c>
      <x:c r="Q141" s="19" t="str">
        <x:v>否</x:v>
      </x:c>
      <x:c r="R141" s="19" t="str"/>
      <x:c r="S141" s="19" t="n">
        <x:f>IF(Q141="是",0,MIN(10,2+IF(C141="高",2,1)+IF(K141&gt;=3%,3,IF(K141&gt;=1%,2,1))+IF(L141="新出现",2,IF(M141&gt;=100%,3,IF(M141&gt;0,2,0)))))</x:f>
        <x:v>7</x:v>
      </x:c>
      <x:c r="T141" s="21"/>
      <x:c r="U141" s="20"/>
      <x:c r="V141" s="19" t="str">
        <x:v>http://support.image-line.com/</x:v>
      </x:c>
      <x:c r="W141" s="19" t="str">
        <x:v>https://pro.similarweb.com/#/digitalsuite/websiteanalysis/referrals/*/999/1m?webSource=Total&amp;selectedTab=incomingTraffic&amp;key=checkout.stripe.com</x:v>
      </x:c>
      <x:c r="X141" s="20" t="n">
        <x:f>IF(Q141="是",0,IFERROR(P141/SUMIFS($P$2:$P$964,$A$2:$A$964,A141,$Q$2:$Q$964,"否"),0))</x:f>
        <x:v>0.0070473436935308996</x:v>
      </x:c>
      <x:c r="Y141" s="22" t="str">
        <x:f>IF(OR(M141="",U141=""),"未交叉",IF(M141*U141&gt;0,"同向",IF(M141*U141&lt;0,"背离","一侧持平")))</x:f>
        <x:v>未交叉</x:v>
      </x:c>
    </x:row>
    <x:row r="142">
      <x:c r="A142" s="18" t="str">
        <x:v>checkout.stripe.com</x:v>
      </x:c>
      <x:c r="B142" s="19" t="str">
        <x:v>专用支付/结账入口</x:v>
      </x:c>
      <x:c r="C142" s="19" t="str">
        <x:v>高</x:v>
      </x:c>
      <x:c r="D142" s="19" t="str">
        <x:v>Jul 2026</x:v>
      </x:c>
      <x:c r="E142" s="19" t="n">
        <x:v>41</x:v>
      </x:c>
      <x:c r="F142" s="19" t="str">
        <x:v>atlascloud.ai</x:v>
      </x:c>
      <x:c r="G142" s="19" t="str">
        <x:v>Social Networks and Online Communities</x:v>
      </x:c>
      <x:c r="H142" s="19" t="str">
        <x:v>AI 开发工具与基础设施</x:v>
      </x:c>
      <x:c r="I142" s="19" t="str">
        <x:v>域名人工/交叉验证修正</x:v>
      </x:c>
      <x:c r="J142" s="19" t="n">
        <x:v>29296</x:v>
      </x:c>
      <x:c r="K142" s="20" t="n">
        <x:v>0.0039000000000000003</x:v>
      </x:c>
      <x:c r="L142" s="19" t="str">
        <x:v>上升</x:v>
      </x:c>
      <x:c r="M142" s="20" t="n">
        <x:v>0.0344</x:v>
      </x:c>
      <x:c r="N142" s="21" t="n">
        <x:v>42540000</x:v>
      </x:c>
      <x:c r="O142" s="21" t="n">
        <x:v>165906</x:v>
      </x:c>
      <x:c r="P142" s="21" t="n">
        <x:f>ROUND(N142*K142,0)</x:f>
        <x:v>165906</x:v>
      </x:c>
      <x:c r="Q142" s="19" t="str">
        <x:v>否</x:v>
      </x:c>
      <x:c r="R142" s="19" t="str"/>
      <x:c r="S142" s="19" t="n">
        <x:f>IF(Q142="是",0,MIN(10,2+IF(C142="高",2,1)+IF(K142&gt;=3%,3,IF(K142&gt;=1%,2,1))+IF(L142="新出现",2,IF(M142&gt;=100%,3,IF(M142&gt;0,2,0)))))</x:f>
        <x:v>7</x:v>
      </x:c>
      <x:c r="T142" s="21"/>
      <x:c r="U142" s="20"/>
      <x:c r="V142" s="19" t="str">
        <x:v>http://atlascloud.ai/</x:v>
      </x:c>
      <x:c r="W142" s="19" t="str">
        <x:v>https://pro.similarweb.com/#/digitalsuite/websiteanalysis/referrals/*/999/1m?webSource=Total&amp;selectedTab=incomingTraffic&amp;key=checkout.stripe.com</x:v>
      </x:c>
      <x:c r="X142" s="20" t="n">
        <x:f>IF(Q142="是",0,IFERROR(P142/SUMIFS($P$2:$P$964,$A$2:$A$964,A142,$Q$2:$Q$964,"否"),0))</x:f>
        <x:v>0.0070473436935308996</x:v>
      </x:c>
      <x:c r="Y142" s="22" t="str">
        <x:f>IF(OR(M142="",U142=""),"未交叉",IF(M142*U142&gt;0,"同向",IF(M142*U142&lt;0,"背离","一侧持平")))</x:f>
        <x:v>未交叉</x:v>
      </x:c>
    </x:row>
    <x:row r="143">
      <x:c r="A143" s="18" t="str">
        <x:v>checkout.stripe.com</x:v>
      </x:c>
      <x:c r="B143" s="19" t="str">
        <x:v>专用支付/结账入口</x:v>
      </x:c>
      <x:c r="C143" s="19" t="str">
        <x:v>高</x:v>
      </x:c>
      <x:c r="D143" s="19" t="str">
        <x:v>Jul 2026</x:v>
      </x:c>
      <x:c r="E143" s="19" t="n">
        <x:v>42</x:v>
      </x:c>
      <x:c r="F143" s="19" t="str">
        <x:v>rugs.com</x:v>
      </x:c>
      <x:c r="G143" s="19" t="str">
        <x:v>Home and Garden</x:v>
      </x:c>
      <x:c r="H143" s="19" t="str">
        <x:v>内容媒体、线下与实体消费</x:v>
      </x:c>
      <x:c r="I143" s="19" t="str">
        <x:v>Similarweb 行业映射</x:v>
      </x:c>
      <x:c r="J143" s="19" t="n">
        <x:v>7462</x:v>
      </x:c>
      <x:c r="K143" s="20" t="n">
        <x:v>0.0039000000000000003</x:v>
      </x:c>
      <x:c r="L143" s="19" t="str">
        <x:v>上升</x:v>
      </x:c>
      <x:c r="M143" s="20" t="n">
        <x:v>0.49689999999999995</x:v>
      </x:c>
      <x:c r="N143" s="21" t="n">
        <x:v>42540000</x:v>
      </x:c>
      <x:c r="O143" s="21" t="n">
        <x:v>165906</x:v>
      </x:c>
      <x:c r="P143" s="21" t="n">
        <x:f>ROUND(N143*K143,0)</x:f>
        <x:v>165906</x:v>
      </x:c>
      <x:c r="Q143" s="19" t="str">
        <x:v>否</x:v>
      </x:c>
      <x:c r="R143" s="19" t="str"/>
      <x:c r="S143" s="19" t="n">
        <x:f>IF(Q143="是",0,MIN(10,2+IF(C143="高",2,1)+IF(K143&gt;=3%,3,IF(K143&gt;=1%,2,1))+IF(L143="新出现",2,IF(M143&gt;=100%,3,IF(M143&gt;0,2,0)))))</x:f>
        <x:v>7</x:v>
      </x:c>
      <x:c r="T143" s="21"/>
      <x:c r="U143" s="20"/>
      <x:c r="V143" s="19" t="str">
        <x:v>http://rugs.com/</x:v>
      </x:c>
      <x:c r="W143" s="19" t="str">
        <x:v>https://pro.similarweb.com/#/digitalsuite/websiteanalysis/referrals/*/999/1m?webSource=Total&amp;selectedTab=incomingTraffic&amp;key=checkout.stripe.com</x:v>
      </x:c>
      <x:c r="X143" s="20" t="n">
        <x:f>IF(Q143="是",0,IFERROR(P143/SUMIFS($P$2:$P$964,$A$2:$A$964,A143,$Q$2:$Q$964,"否"),0))</x:f>
        <x:v>0.0070473436935308996</x:v>
      </x:c>
      <x:c r="Y143" s="22" t="str">
        <x:f>IF(OR(M143="",U143=""),"未交叉",IF(M143*U143&gt;0,"同向",IF(M143*U143&lt;0,"背离","一侧持平")))</x:f>
        <x:v>未交叉</x:v>
      </x:c>
    </x:row>
    <x:row r="144">
      <x:c r="A144" s="18" t="str">
        <x:v>checkout.stripe.com</x:v>
      </x:c>
      <x:c r="B144" s="19" t="str">
        <x:v>专用支付/结账入口</x:v>
      </x:c>
      <x:c r="C144" s="19" t="str">
        <x:v>高</x:v>
      </x:c>
      <x:c r="D144" s="19" t="str">
        <x:v>Jul 2026</x:v>
      </x:c>
      <x:c r="E144" s="19" t="n">
        <x:v>43</x:v>
      </x:c>
      <x:c r="F144" s="19" t="str">
        <x:v>undetectable.ai</x:v>
      </x:c>
      <x:c r="G144" s="19" t="str">
        <x:v>Education</x:v>
      </x:c>
      <x:c r="H144" s="19" t="str">
        <x:v>AI 工具与应用（未细分）</x:v>
      </x:c>
      <x:c r="I144" s="19" t="str">
        <x:v>域名人工/交叉验证修正</x:v>
      </x:c>
      <x:c r="J144" s="19" t="n">
        <x:v>29768</x:v>
      </x:c>
      <x:c r="K144" s="20" t="n">
        <x:v>0.0038</x:v>
      </x:c>
      <x:c r="L144" s="19" t="str">
        <x:v>下降</x:v>
      </x:c>
      <x:c r="M144" s="20" t="n">
        <x:v>-0.09369999999999999</x:v>
      </x:c>
      <x:c r="N144" s="21" t="n">
        <x:v>42540000</x:v>
      </x:c>
      <x:c r="O144" s="21" t="n">
        <x:v>161652</x:v>
      </x:c>
      <x:c r="P144" s="21" t="n">
        <x:f>ROUND(N144*K144,0)</x:f>
        <x:v>161652</x:v>
      </x:c>
      <x:c r="Q144" s="19" t="str">
        <x:v>否</x:v>
      </x:c>
      <x:c r="R144" s="19" t="str"/>
      <x:c r="S144" s="19" t="n">
        <x:f>IF(Q144="是",0,MIN(10,2+IF(C144="高",2,1)+IF(K144&gt;=3%,3,IF(K144&gt;=1%,2,1))+IF(L144="新出现",2,IF(M144&gt;=100%,3,IF(M144&gt;0,2,0)))))</x:f>
        <x:v>5</x:v>
      </x:c>
      <x:c r="T144" s="21"/>
      <x:c r="U144" s="20"/>
      <x:c r="V144" s="19" t="str">
        <x:v>http://undetectable.ai/</x:v>
      </x:c>
      <x:c r="W144" s="19" t="str">
        <x:v>https://pro.similarweb.com/#/digitalsuite/websiteanalysis/referrals/*/999/1m?webSource=Total&amp;selectedTab=incomingTraffic&amp;key=checkout.stripe.com</x:v>
      </x:c>
      <x:c r="X144" s="20" t="n">
        <x:f>IF(Q144="是",0,IFERROR(P144/SUMIFS($P$2:$P$964,$A$2:$A$964,A144,$Q$2:$Q$964,"否"),0))</x:f>
        <x:v>0.0068666425731839535</x:v>
      </x:c>
      <x:c r="Y144" s="22" t="str">
        <x:f>IF(OR(M144="",U144=""),"未交叉",IF(M144*U144&gt;0,"同向",IF(M144*U144&lt;0,"背离","一侧持平")))</x:f>
        <x:v>未交叉</x:v>
      </x:c>
    </x:row>
    <x:row r="145">
      <x:c r="A145" s="18" t="str">
        <x:v>checkout.stripe.com</x:v>
      </x:c>
      <x:c r="B145" s="19" t="str">
        <x:v>专用支付/结账入口</x:v>
      </x:c>
      <x:c r="C145" s="19" t="str">
        <x:v>高</x:v>
      </x:c>
      <x:c r="D145" s="19" t="str">
        <x:v>Jul 2026</x:v>
      </x:c>
      <x:c r="E145" s="19" t="n">
        <x:v>44</x:v>
      </x:c>
      <x:c r="F145" s="19" t="str">
        <x:v>mage.space</x:v>
      </x:c>
      <x:c r="G145" s="19" t="str">
        <x:v>Social Networks and Online Communities</x:v>
      </x:c>
      <x:c r="H145" s="19" t="str">
        <x:v>AI 内容生成与创作</x:v>
      </x:c>
      <x:c r="I145" s="19" t="str">
        <x:v>域名人工/关键词识别</x:v>
      </x:c>
      <x:c r="J145" s="19" t="n">
        <x:v>15914</x:v>
      </x:c>
      <x:c r="K145" s="20" t="n">
        <x:v>0.0037</x:v>
      </x:c>
      <x:c r="L145" s="19" t="str">
        <x:v>上升</x:v>
      </x:c>
      <x:c r="M145" s="20" t="n">
        <x:v>1.9613</x:v>
      </x:c>
      <x:c r="N145" s="21" t="n">
        <x:v>42540000</x:v>
      </x:c>
      <x:c r="O145" s="21" t="n">
        <x:v>157398</x:v>
      </x:c>
      <x:c r="P145" s="21" t="n">
        <x:f>ROUND(N145*K145,0)</x:f>
        <x:v>157398</x:v>
      </x:c>
      <x:c r="Q145" s="19" t="str">
        <x:v>否</x:v>
      </x:c>
      <x:c r="R145" s="19" t="str"/>
      <x:c r="S145" s="19" t="n">
        <x:f>IF(Q145="是",0,MIN(10,2+IF(C145="高",2,1)+IF(K145&gt;=3%,3,IF(K145&gt;=1%,2,1))+IF(L145="新出现",2,IF(M145&gt;=100%,3,IF(M145&gt;0,2,0)))))</x:f>
        <x:v>8</x:v>
      </x:c>
      <x:c r="T145" s="21"/>
      <x:c r="U145" s="20"/>
      <x:c r="V145" s="19" t="str">
        <x:v>http://mage.space/</x:v>
      </x:c>
      <x:c r="W145" s="19" t="str">
        <x:v>https://pro.similarweb.com/#/digitalsuite/websiteanalysis/referrals/*/999/1m?webSource=Total&amp;selectedTab=incomingTraffic&amp;key=checkout.stripe.com</x:v>
      </x:c>
      <x:c r="X145" s="20" t="n">
        <x:f>IF(Q145="是",0,IFERROR(P145/SUMIFS($P$2:$P$964,$A$2:$A$964,A145,$Q$2:$Q$964,"否"),0))</x:f>
        <x:v>0.006685941452837007</x:v>
      </x:c>
      <x:c r="Y145" s="22" t="str">
        <x:f>IF(OR(M145="",U145=""),"未交叉",IF(M145*U145&gt;0,"同向",IF(M145*U145&lt;0,"背离","一侧持平")))</x:f>
        <x:v>未交叉</x:v>
      </x:c>
    </x:row>
    <x:row r="146">
      <x:c r="A146" s="18" t="str">
        <x:v>checkout.stripe.com</x:v>
      </x:c>
      <x:c r="B146" s="19" t="str">
        <x:v>专用支付/结账入口</x:v>
      </x:c>
      <x:c r="C146" s="19" t="str">
        <x:v>高</x:v>
      </x:c>
      <x:c r="D146" s="19" t="str">
        <x:v>Jul 2026</x:v>
      </x:c>
      <x:c r="E146" s="19" t="n">
        <x:v>45</x:v>
      </x:c>
      <x:c r="F146" s="19" t="str">
        <x:v>skywork.ai</x:v>
      </x:c>
      <x:c r="G146" s="19" t="str">
        <x:v>Programming and Developer Software</x:v>
      </x:c>
      <x:c r="H146" s="19" t="str">
        <x:v>AI 开发工具与基础设施</x:v>
      </x:c>
      <x:c r="I146" s="19" t="str">
        <x:v>域名人工识别</x:v>
      </x:c>
      <x:c r="J146" s="19" t="n">
        <x:v>22484</x:v>
      </x:c>
      <x:c r="K146" s="20" t="n">
        <x:v>0.0037</x:v>
      </x:c>
      <x:c r="L146" s="19" t="str">
        <x:v>下降</x:v>
      </x:c>
      <x:c r="M146" s="20" t="n">
        <x:v>-0.5347999999999999</x:v>
      </x:c>
      <x:c r="N146" s="21" t="n">
        <x:v>42540000</x:v>
      </x:c>
      <x:c r="O146" s="21" t="n">
        <x:v>157398</x:v>
      </x:c>
      <x:c r="P146" s="21" t="n">
        <x:f>ROUND(N146*K146,0)</x:f>
        <x:v>157398</x:v>
      </x:c>
      <x:c r="Q146" s="19" t="str">
        <x:v>否</x:v>
      </x:c>
      <x:c r="R146" s="19" t="str"/>
      <x:c r="S146" s="19" t="n">
        <x:f>IF(Q146="是",0,MIN(10,2+IF(C146="高",2,1)+IF(K146&gt;=3%,3,IF(K146&gt;=1%,2,1))+IF(L146="新出现",2,IF(M146&gt;=100%,3,IF(M146&gt;0,2,0)))))</x:f>
        <x:v>5</x:v>
      </x:c>
      <x:c r="T146" s="21"/>
      <x:c r="U146" s="20"/>
      <x:c r="V146" s="19" t="str">
        <x:v>http://skywork.ai/</x:v>
      </x:c>
      <x:c r="W146" s="19" t="str">
        <x:v>https://pro.similarweb.com/#/digitalsuite/websiteanalysis/referrals/*/999/1m?webSource=Total&amp;selectedTab=incomingTraffic&amp;key=checkout.stripe.com</x:v>
      </x:c>
      <x:c r="X146" s="20" t="n">
        <x:f>IF(Q146="是",0,IFERROR(P146/SUMIFS($P$2:$P$964,$A$2:$A$964,A146,$Q$2:$Q$964,"否"),0))</x:f>
        <x:v>0.006685941452837007</x:v>
      </x:c>
      <x:c r="Y146" s="22" t="str">
        <x:f>IF(OR(M146="",U146=""),"未交叉",IF(M146*U146&gt;0,"同向",IF(M146*U146&lt;0,"背离","一侧持平")))</x:f>
        <x:v>未交叉</x:v>
      </x:c>
    </x:row>
    <x:row r="147">
      <x:c r="A147" s="18" t="str">
        <x:v>checkout.stripe.com</x:v>
      </x:c>
      <x:c r="B147" s="19" t="str">
        <x:v>专用支付/结账入口</x:v>
      </x:c>
      <x:c r="C147" s="19" t="str">
        <x:v>高</x:v>
      </x:c>
      <x:c r="D147" s="19" t="str">
        <x:v>Jul 2026</x:v>
      </x:c>
      <x:c r="E147" s="19" t="n">
        <x:v>46</x:v>
      </x:c>
      <x:c r="F147" s="19" t="str">
        <x:v>studio.tripo3d.ai</x:v>
      </x:c>
      <x:c r="G147" s="19" t="str">
        <x:v>Programming and Developer Software</x:v>
      </x:c>
      <x:c r="H147" s="19" t="str">
        <x:v>AI 内容生成与创作</x:v>
      </x:c>
      <x:c r="I147" s="19" t="str">
        <x:v>域名人工/关键词识别</x:v>
      </x:c>
      <x:c r="J147" s="19"/>
      <x:c r="K147" s="20" t="n">
        <x:v>0.0037</x:v>
      </x:c>
      <x:c r="L147" s="19" t="str">
        <x:v>下降</x:v>
      </x:c>
      <x:c r="M147" s="20" t="n">
        <x:v>-0.0432</x:v>
      </x:c>
      <x:c r="N147" s="21" t="n">
        <x:v>42540000</x:v>
      </x:c>
      <x:c r="O147" s="21" t="n">
        <x:v>157398</x:v>
      </x:c>
      <x:c r="P147" s="21" t="n">
        <x:f>ROUND(N147*K147,0)</x:f>
        <x:v>157398</x:v>
      </x:c>
      <x:c r="Q147" s="19" t="str">
        <x:v>否</x:v>
      </x:c>
      <x:c r="R147" s="19" t="str"/>
      <x:c r="S147" s="19" t="n">
        <x:f>IF(Q147="是",0,MIN(10,2+IF(C147="高",2,1)+IF(K147&gt;=3%,3,IF(K147&gt;=1%,2,1))+IF(L147="新出现",2,IF(M147&gt;=100%,3,IF(M147&gt;0,2,0)))))</x:f>
        <x:v>5</x:v>
      </x:c>
      <x:c r="T147" s="21"/>
      <x:c r="U147" s="20"/>
      <x:c r="V147" s="19" t="str">
        <x:v>http://studio.tripo3d.ai/</x:v>
      </x:c>
      <x:c r="W147" s="19" t="str">
        <x:v>https://pro.similarweb.com/#/digitalsuite/websiteanalysis/referrals/*/999/1m?webSource=Total&amp;selectedTab=incomingTraffic&amp;key=checkout.stripe.com</x:v>
      </x:c>
      <x:c r="X147" s="20" t="n">
        <x:f>IF(Q147="是",0,IFERROR(P147/SUMIFS($P$2:$P$964,$A$2:$A$964,A147,$Q$2:$Q$964,"否"),0))</x:f>
        <x:v>0.006685941452837007</x:v>
      </x:c>
      <x:c r="Y147" s="22" t="str">
        <x:f>IF(OR(M147="",U147=""),"未交叉",IF(M147*U147&gt;0,"同向",IF(M147*U147&lt;0,"背离","一侧持平")))</x:f>
        <x:v>未交叉</x:v>
      </x:c>
    </x:row>
    <x:row r="148">
      <x:c r="A148" s="18" t="str">
        <x:v>checkout.stripe.com</x:v>
      </x:c>
      <x:c r="B148" s="19" t="str">
        <x:v>专用支付/结账入口</x:v>
      </x:c>
      <x:c r="C148" s="19" t="str">
        <x:v>高</x:v>
      </x:c>
      <x:c r="D148" s="19" t="str">
        <x:v>Jul 2026</x:v>
      </x:c>
      <x:c r="E148" s="19" t="n">
        <x:v>47</x:v>
      </x:c>
      <x:c r="F148" s="19" t="str">
        <x:v>render.alipay.com</x:v>
      </x:c>
      <x:c r="G148" s="19" t="str">
        <x:v>Marketplace</x:v>
      </x:c>
      <x:c r="H148" s="19" t="str">
        <x:v>金融、支付与交易服务</x:v>
      </x:c>
      <x:c r="I148" s="19" t="str">
        <x:v>Similarweb 行业映射</x:v>
      </x:c>
      <x:c r="J148" s="19"/>
      <x:c r="K148" s="20" t="n">
        <x:v>0.0034000000000000002</x:v>
      </x:c>
      <x:c r="L148" s="19" t="str">
        <x:v>上升</x:v>
      </x:c>
      <x:c r="M148" s="20" t="n">
        <x:v>0.41729999999999995</x:v>
      </x:c>
      <x:c r="N148" s="21" t="n">
        <x:v>42540000</x:v>
      </x:c>
      <x:c r="O148" s="21" t="n">
        <x:v>144636</x:v>
      </x:c>
      <x:c r="P148" s="21" t="n">
        <x:f>ROUND(N148*K148,0)</x:f>
        <x:v>144636</x:v>
      </x:c>
      <x:c r="Q148" s="19" t="str">
        <x:v>是</x:v>
      </x:c>
      <x:c r="R148" s="19" t="str">
        <x:v>支付平台、自引荐或流量中介</x:v>
      </x:c>
      <x:c r="S148" s="19" t="n">
        <x:f>IF(Q148="是",0,MIN(10,2+IF(C148="高",2,1)+IF(K148&gt;=3%,3,IF(K148&gt;=1%,2,1))+IF(L148="新出现",2,IF(M148&gt;=100%,3,IF(M148&gt;0,2,0)))))</x:f>
        <x:v>0</x:v>
      </x:c>
      <x:c r="T148" s="21"/>
      <x:c r="U148" s="20"/>
      <x:c r="V148" s="19" t="str">
        <x:v>http://render.alipay.com/</x:v>
      </x:c>
      <x:c r="W148" s="19" t="str">
        <x:v>https://pro.similarweb.com/#/digitalsuite/websiteanalysis/referrals/*/999/1m?webSource=Total&amp;selectedTab=incomingTraffic&amp;key=checkout.stripe.com</x:v>
      </x:c>
      <x:c r="X148" s="20" t="n">
        <x:f>IF(Q148="是",0,IFERROR(P148/SUMIFS($P$2:$P$964,$A$2:$A$964,A148,$Q$2:$Q$964,"否"),0))</x:f>
        <x:v>0</x:v>
      </x:c>
      <x:c r="Y148" s="22" t="str">
        <x:f>IF(OR(M148="",U148=""),"未交叉",IF(M148*U148&gt;0,"同向",IF(M148*U148&lt;0,"背离","一侧持平")))</x:f>
        <x:v>未交叉</x:v>
      </x:c>
    </x:row>
    <x:row r="149">
      <x:c r="A149" s="18" t="str">
        <x:v>checkout.stripe.com</x:v>
      </x:c>
      <x:c r="B149" s="19" t="str">
        <x:v>专用支付/结账入口</x:v>
      </x:c>
      <x:c r="C149" s="19" t="str">
        <x:v>高</x:v>
      </x:c>
      <x:c r="D149" s="19" t="str">
        <x:v>Jul 2026</x:v>
      </x:c>
      <x:c r="E149" s="19" t="n">
        <x:v>48</x:v>
      </x:c>
      <x:c r="F149" s="19" t="str">
        <x:v>paxhistoria.co</x:v>
      </x:c>
      <x:c r="G149" s="19" t="str">
        <x:v>Video Games Consoles and Accessories</x:v>
      </x:c>
      <x:c r="H149" s="19" t="str">
        <x:v>游戏、数字商品与虚拟内容</x:v>
      </x:c>
      <x:c r="I149" s="19" t="str">
        <x:v>Similarweb 行业映射</x:v>
      </x:c>
      <x:c r="J149" s="19" t="n">
        <x:v>7224</x:v>
      </x:c>
      <x:c r="K149" s="20" t="n">
        <x:v>0.0034000000000000002</x:v>
      </x:c>
      <x:c r="L149" s="19" t="str">
        <x:v>上升</x:v>
      </x:c>
      <x:c r="M149" s="20" t="n">
        <x:v>0.4581</x:v>
      </x:c>
      <x:c r="N149" s="21" t="n">
        <x:v>42540000</x:v>
      </x:c>
      <x:c r="O149" s="21" t="n">
        <x:v>144636</x:v>
      </x:c>
      <x:c r="P149" s="21" t="n">
        <x:f>ROUND(N149*K149,0)</x:f>
        <x:v>144636</x:v>
      </x:c>
      <x:c r="Q149" s="19" t="str">
        <x:v>否</x:v>
      </x:c>
      <x:c r="R149" s="19" t="str"/>
      <x:c r="S149" s="19" t="n">
        <x:f>IF(Q149="是",0,MIN(10,2+IF(C149="高",2,1)+IF(K149&gt;=3%,3,IF(K149&gt;=1%,2,1))+IF(L149="新出现",2,IF(M149&gt;=100%,3,IF(M149&gt;0,2,0)))))</x:f>
        <x:v>7</x:v>
      </x:c>
      <x:c r="T149" s="21"/>
      <x:c r="U149" s="20"/>
      <x:c r="V149" s="19" t="str">
        <x:v>http://paxhistoria.co/</x:v>
      </x:c>
      <x:c r="W149" s="19" t="str">
        <x:v>https://pro.similarweb.com/#/digitalsuite/websiteanalysis/referrals/*/999/1m?webSource=Total&amp;selectedTab=incomingTraffic&amp;key=checkout.stripe.com</x:v>
      </x:c>
      <x:c r="X149" s="20" t="n">
        <x:f>IF(Q149="是",0,IFERROR(P149/SUMIFS($P$2:$P$964,$A$2:$A$964,A149,$Q$2:$Q$964,"否"),0))</x:f>
        <x:v>0.006143838091796169</x:v>
      </x:c>
      <x:c r="Y149" s="22" t="str">
        <x:f>IF(OR(M149="",U149=""),"未交叉",IF(M149*U149&gt;0,"同向",IF(M149*U149&lt;0,"背离","一侧持平")))</x:f>
        <x:v>未交叉</x:v>
      </x:c>
    </x:row>
    <x:row r="150">
      <x:c r="A150" s="18" t="str">
        <x:v>checkout.stripe.com</x:v>
      </x:c>
      <x:c r="B150" s="19" t="str">
        <x:v>专用支付/结账入口</x:v>
      </x:c>
      <x:c r="C150" s="19" t="str">
        <x:v>高</x:v>
      </x:c>
      <x:c r="D150" s="19" t="str">
        <x:v>Jul 2026</x:v>
      </x:c>
      <x:c r="E150" s="19" t="n">
        <x:v>49</x:v>
      </x:c>
      <x:c r="F150" s="19" t="str">
        <x:v>g.alipayplus.com</x:v>
      </x:c>
      <x:c r="G150" s="19" t="str">
        <x:v>Beauty and Cosmetics</x:v>
      </x:c>
      <x:c r="H150" s="19" t="str">
        <x:v>内容媒体、线下与实体消费</x:v>
      </x:c>
      <x:c r="I150" s="19" t="str">
        <x:v>Similarweb 行业映射</x:v>
      </x:c>
      <x:c r="J150" s="19"/>
      <x:c r="K150" s="20" t="n">
        <x:v>0.0033</x:v>
      </x:c>
      <x:c r="L150" s="19" t="str">
        <x:v>上升</x:v>
      </x:c>
      <x:c r="M150" s="20" t="n">
        <x:v>1.0894</x:v>
      </x:c>
      <x:c r="N150" s="21" t="n">
        <x:v>42540000</x:v>
      </x:c>
      <x:c r="O150" s="21" t="n">
        <x:v>140382</x:v>
      </x:c>
      <x:c r="P150" s="21" t="n">
        <x:f>ROUND(N150*K150,0)</x:f>
        <x:v>140382</x:v>
      </x:c>
      <x:c r="Q150" s="19" t="str">
        <x:v>是</x:v>
      </x:c>
      <x:c r="R150" s="19" t="str">
        <x:v>支付平台、自引荐或流量中介</x:v>
      </x:c>
      <x:c r="S150" s="19" t="n">
        <x:f>IF(Q150="是",0,MIN(10,2+IF(C150="高",2,1)+IF(K150&gt;=3%,3,IF(K150&gt;=1%,2,1))+IF(L150="新出现",2,IF(M150&gt;=100%,3,IF(M150&gt;0,2,0)))))</x:f>
        <x:v>0</x:v>
      </x:c>
      <x:c r="T150" s="21"/>
      <x:c r="U150" s="20"/>
      <x:c r="V150" s="19" t="str">
        <x:v>http://g.alipayplus.com/</x:v>
      </x:c>
      <x:c r="W150" s="19" t="str">
        <x:v>https://pro.similarweb.com/#/digitalsuite/websiteanalysis/referrals/*/999/1m?webSource=Total&amp;selectedTab=incomingTraffic&amp;key=checkout.stripe.com</x:v>
      </x:c>
      <x:c r="X150" s="20" t="n">
        <x:f>IF(Q150="是",0,IFERROR(P150/SUMIFS($P$2:$P$964,$A$2:$A$964,A150,$Q$2:$Q$964,"否"),0))</x:f>
        <x:v>0</x:v>
      </x:c>
      <x:c r="Y150" s="22" t="str">
        <x:f>IF(OR(M150="",U150=""),"未交叉",IF(M150*U150&gt;0,"同向",IF(M150*U150&lt;0,"背离","一侧持平")))</x:f>
        <x:v>未交叉</x:v>
      </x:c>
    </x:row>
    <x:row r="151">
      <x:c r="A151" s="18" t="str">
        <x:v>checkout.stripe.com</x:v>
      </x:c>
      <x:c r="B151" s="19" t="str">
        <x:v>专用支付/结账入口</x:v>
      </x:c>
      <x:c r="C151" s="19" t="str">
        <x:v>高</x:v>
      </x:c>
      <x:c r="D151" s="19" t="str">
        <x:v>Jul 2026</x:v>
      </x:c>
      <x:c r="E151" s="19" t="n">
        <x:v>50</x:v>
      </x:c>
      <x:c r="F151" s="19" t="str">
        <x:v>web-payment.starii.com</x:v>
      </x:c>
      <x:c r="G151" s="19" t="str">
        <x:v>Graphics Multimedia and Web Design</x:v>
      </x:c>
      <x:c r="H151" s="19" t="str">
        <x:v>AI 内容生成与创作</x:v>
      </x:c>
      <x:c r="I151" s="19" t="str">
        <x:v>域名人工/关键词识别</x:v>
      </x:c>
      <x:c r="J151" s="19"/>
      <x:c r="K151" s="20" t="n">
        <x:v>0.0033</x:v>
      </x:c>
      <x:c r="L151" s="19" t="str">
        <x:v>上升</x:v>
      </x:c>
      <x:c r="M151" s="20" t="n">
        <x:v>0.2948</x:v>
      </x:c>
      <x:c r="N151" s="21" t="n">
        <x:v>42540000</x:v>
      </x:c>
      <x:c r="O151" s="21" t="n">
        <x:v>140382</x:v>
      </x:c>
      <x:c r="P151" s="21" t="n">
        <x:f>ROUND(N151*K151,0)</x:f>
        <x:v>140382</x:v>
      </x:c>
      <x:c r="Q151" s="19" t="str">
        <x:v>否</x:v>
      </x:c>
      <x:c r="R151" s="19" t="str"/>
      <x:c r="S151" s="19" t="n">
        <x:f>IF(Q151="是",0,MIN(10,2+IF(C151="高",2,1)+IF(K151&gt;=3%,3,IF(K151&gt;=1%,2,1))+IF(L151="新出现",2,IF(M151&gt;=100%,3,IF(M151&gt;0,2,0)))))</x:f>
        <x:v>7</x:v>
      </x:c>
      <x:c r="T151" s="21"/>
      <x:c r="U151" s="20"/>
      <x:c r="V151" s="19" t="str">
        <x:v>http://web-payment.starii.com/</x:v>
      </x:c>
      <x:c r="W151" s="19" t="str">
        <x:v>https://pro.similarweb.com/#/digitalsuite/websiteanalysis/referrals/*/999/1m?webSource=Total&amp;selectedTab=incomingTraffic&amp;key=checkout.stripe.com</x:v>
      </x:c>
      <x:c r="X151" s="20" t="n">
        <x:f>IF(Q151="是",0,IFERROR(P151/SUMIFS($P$2:$P$964,$A$2:$A$964,A151,$Q$2:$Q$964,"否"),0))</x:f>
        <x:v>0.005963136971449223</x:v>
      </x:c>
      <x:c r="Y151" s="22" t="str">
        <x:f>IF(OR(M151="",U151=""),"未交叉",IF(M151*U151&gt;0,"同向",IF(M151*U151&lt;0,"背离","一侧持平")))</x:f>
        <x:v>未交叉</x:v>
      </x:c>
    </x:row>
    <x:row r="152">
      <x:c r="A152" s="18" t="str">
        <x:v>checkout.stripe.com</x:v>
      </x:c>
      <x:c r="B152" s="19" t="str">
        <x:v>专用支付/结账入口</x:v>
      </x:c>
      <x:c r="C152" s="19" t="str">
        <x:v>高</x:v>
      </x:c>
      <x:c r="D152" s="19" t="str">
        <x:v>Jul 2026</x:v>
      </x:c>
      <x:c r="E152" s="19" t="n">
        <x:v>51</x:v>
      </x:c>
      <x:c r="F152" s="19" t="str">
        <x:v>ai.invideo.io</x:v>
      </x:c>
      <x:c r="G152" s="19" t="str">
        <x:v>Public Records and Directories</x:v>
      </x:c>
      <x:c r="H152" s="19" t="str">
        <x:v>AI 内容生成与创作</x:v>
      </x:c>
      <x:c r="I152" s="19" t="str">
        <x:v>域名人工/关键词识别</x:v>
      </x:c>
      <x:c r="J152" s="19"/>
      <x:c r="K152" s="20" t="n">
        <x:v>0.0032</x:v>
      </x:c>
      <x:c r="L152" s="19" t="str">
        <x:v>下降</x:v>
      </x:c>
      <x:c r="M152" s="20" t="n">
        <x:v>-0.2061</x:v>
      </x:c>
      <x:c r="N152" s="21" t="n">
        <x:v>42540000</x:v>
      </x:c>
      <x:c r="O152" s="21" t="n">
        <x:v>136128</x:v>
      </x:c>
      <x:c r="P152" s="21" t="n">
        <x:f>ROUND(N152*K152,0)</x:f>
        <x:v>136128</x:v>
      </x:c>
      <x:c r="Q152" s="19" t="str">
        <x:v>否</x:v>
      </x:c>
      <x:c r="R152" s="19" t="str"/>
      <x:c r="S152" s="19" t="n">
        <x:f>IF(Q152="是",0,MIN(10,2+IF(C152="高",2,1)+IF(K152&gt;=3%,3,IF(K152&gt;=1%,2,1))+IF(L152="新出现",2,IF(M152&gt;=100%,3,IF(M152&gt;0,2,0)))))</x:f>
        <x:v>5</x:v>
      </x:c>
      <x:c r="T152" s="21"/>
      <x:c r="U152" s="20"/>
      <x:c r="V152" s="19" t="str">
        <x:v>http://ai.invideo.io/</x:v>
      </x:c>
      <x:c r="W152" s="19" t="str">
        <x:v>https://pro.similarweb.com/#/digitalsuite/websiteanalysis/referrals/*/999/1m?webSource=Total&amp;selectedTab=incomingTraffic&amp;key=checkout.stripe.com</x:v>
      </x:c>
      <x:c r="X152" s="20" t="n">
        <x:f>IF(Q152="是",0,IFERROR(P152/SUMIFS($P$2:$P$964,$A$2:$A$964,A152,$Q$2:$Q$964,"否"),0))</x:f>
        <x:v>0.005782435851102277</x:v>
      </x:c>
      <x:c r="Y152" s="22" t="str">
        <x:f>IF(OR(M152="",U152=""),"未交叉",IF(M152*U152&gt;0,"同向",IF(M152*U152&lt;0,"背离","一侧持平")))</x:f>
        <x:v>未交叉</x:v>
      </x:c>
    </x:row>
    <x:row r="153">
      <x:c r="A153" s="18" t="str">
        <x:v>checkout.stripe.com</x:v>
      </x:c>
      <x:c r="B153" s="19" t="str">
        <x:v>专用支付/结账入口</x:v>
      </x:c>
      <x:c r="C153" s="19" t="str">
        <x:v>高</x:v>
      </x:c>
      <x:c r="D153" s="19" t="str">
        <x:v>Jul 2026</x:v>
      </x:c>
      <x:c r="E153" s="19" t="n">
        <x:v>52</x:v>
      </x:c>
      <x:c r="F153" s="19" t="str">
        <x:v>withjoy.com</x:v>
      </x:c>
      <x:c r="G153" s="19" t="str">
        <x:v>Weddings</x:v>
      </x:c>
      <x:c r="H153" s="19" t="str">
        <x:v>内容媒体、线下与实体消费</x:v>
      </x:c>
      <x:c r="I153" s="19" t="str">
        <x:v>Similarweb 行业映射</x:v>
      </x:c>
      <x:c r="J153" s="19" t="n">
        <x:v>3331</x:v>
      </x:c>
      <x:c r="K153" s="20" t="n">
        <x:v>0.0032</x:v>
      </x:c>
      <x:c r="L153" s="19" t="str">
        <x:v>上升</x:v>
      </x:c>
      <x:c r="M153" s="20" t="n">
        <x:v>0.6997</x:v>
      </x:c>
      <x:c r="N153" s="21" t="n">
        <x:v>42540000</x:v>
      </x:c>
      <x:c r="O153" s="21" t="n">
        <x:v>136128</x:v>
      </x:c>
      <x:c r="P153" s="21" t="n">
        <x:f>ROUND(N153*K153,0)</x:f>
        <x:v>136128</x:v>
      </x:c>
      <x:c r="Q153" s="19" t="str">
        <x:v>否</x:v>
      </x:c>
      <x:c r="R153" s="19" t="str"/>
      <x:c r="S153" s="19" t="n">
        <x:f>IF(Q153="是",0,MIN(10,2+IF(C153="高",2,1)+IF(K153&gt;=3%,3,IF(K153&gt;=1%,2,1))+IF(L153="新出现",2,IF(M153&gt;=100%,3,IF(M153&gt;0,2,0)))))</x:f>
        <x:v>7</x:v>
      </x:c>
      <x:c r="T153" s="21"/>
      <x:c r="U153" s="20"/>
      <x:c r="V153" s="19" t="str">
        <x:v>http://withjoy.com/</x:v>
      </x:c>
      <x:c r="W153" s="19" t="str">
        <x:v>https://pro.similarweb.com/#/digitalsuite/websiteanalysis/referrals/*/999/1m?webSource=Total&amp;selectedTab=incomingTraffic&amp;key=checkout.stripe.com</x:v>
      </x:c>
      <x:c r="X153" s="20" t="n">
        <x:f>IF(Q153="是",0,IFERROR(P153/SUMIFS($P$2:$P$964,$A$2:$A$964,A153,$Q$2:$Q$964,"否"),0))</x:f>
        <x:v>0.005782435851102277</x:v>
      </x:c>
      <x:c r="Y153" s="22" t="str">
        <x:f>IF(OR(M153="",U153=""),"未交叉",IF(M153*U153&gt;0,"同向",IF(M153*U153&lt;0,"背离","一侧持平")))</x:f>
        <x:v>未交叉</x:v>
      </x:c>
    </x:row>
    <x:row r="154">
      <x:c r="A154" s="18" t="str">
        <x:v>checkout.stripe.com</x:v>
      </x:c>
      <x:c r="B154" s="19" t="str">
        <x:v>专用支付/结账入口</x:v>
      </x:c>
      <x:c r="C154" s="19" t="str">
        <x:v>高</x:v>
      </x:c>
      <x:c r="D154" s="19" t="str">
        <x:v>Jul 2026</x:v>
      </x:c>
      <x:c r="E154" s="19" t="n">
        <x:v>53</x:v>
      </x:c>
      <x:c r="F154" s="19" t="str">
        <x:v>my.brain.fm</x:v>
      </x:c>
      <x:c r="G154" s="19" t="str">
        <x:v>Email</x:v>
      </x:c>
      <x:c r="H154" s="19" t="str">
        <x:v>营销、生产力与商业服务</x:v>
      </x:c>
      <x:c r="I154" s="19" t="str">
        <x:v>Similarweb 行业映射</x:v>
      </x:c>
      <x:c r="J154" s="19"/>
      <x:c r="K154" s="20" t="n">
        <x:v>0.0032</x:v>
      </x:c>
      <x:c r="L154" s="19" t="str">
        <x:v>上升</x:v>
      </x:c>
      <x:c r="M154" s="20" t="n">
        <x:v>3.9507999999999996</x:v>
      </x:c>
      <x:c r="N154" s="21" t="n">
        <x:v>42540000</x:v>
      </x:c>
      <x:c r="O154" s="21" t="n">
        <x:v>136128</x:v>
      </x:c>
      <x:c r="P154" s="21" t="n">
        <x:f>ROUND(N154*K154,0)</x:f>
        <x:v>136128</x:v>
      </x:c>
      <x:c r="Q154" s="19" t="str">
        <x:v>否</x:v>
      </x:c>
      <x:c r="R154" s="19" t="str"/>
      <x:c r="S154" s="19" t="n">
        <x:f>IF(Q154="是",0,MIN(10,2+IF(C154="高",2,1)+IF(K154&gt;=3%,3,IF(K154&gt;=1%,2,1))+IF(L154="新出现",2,IF(M154&gt;=100%,3,IF(M154&gt;0,2,0)))))</x:f>
        <x:v>8</x:v>
      </x:c>
      <x:c r="T154" s="21"/>
      <x:c r="U154" s="20"/>
      <x:c r="V154" s="19" t="str">
        <x:v>http://my.brain.fm/</x:v>
      </x:c>
      <x:c r="W154" s="19" t="str">
        <x:v>https://pro.similarweb.com/#/digitalsuite/websiteanalysis/referrals/*/999/1m?webSource=Total&amp;selectedTab=incomingTraffic&amp;key=checkout.stripe.com</x:v>
      </x:c>
      <x:c r="X154" s="20" t="n">
        <x:f>IF(Q154="是",0,IFERROR(P154/SUMIFS($P$2:$P$964,$A$2:$A$964,A154,$Q$2:$Q$964,"否"),0))</x:f>
        <x:v>0.005782435851102277</x:v>
      </x:c>
      <x:c r="Y154" s="22" t="str">
        <x:f>IF(OR(M154="",U154=""),"未交叉",IF(M154*U154&gt;0,"同向",IF(M154*U154&lt;0,"背离","一侧持平")))</x:f>
        <x:v>未交叉</x:v>
      </x:c>
    </x:row>
    <x:row r="155">
      <x:c r="A155" s="18" t="str">
        <x:v>checkout.stripe.com</x:v>
      </x:c>
      <x:c r="B155" s="19" t="str">
        <x:v>专用支付/结账入口</x:v>
      </x:c>
      <x:c r="C155" s="19" t="str">
        <x:v>高</x:v>
      </x:c>
      <x:c r="D155" s="19" t="str">
        <x:v>Jul 2026</x:v>
      </x:c>
      <x:c r="E155" s="19" t="n">
        <x:v>54</x:v>
      </x:c>
      <x:c r="F155" s="19" t="str">
        <x:v>stripe.com</x:v>
      </x:c>
      <x:c r="G155" s="19" t="str">
        <x:v>Finance</x:v>
      </x:c>
      <x:c r="H155" s="19" t="str">
        <x:v>金融、支付与交易服务</x:v>
      </x:c>
      <x:c r="I155" s="19" t="str">
        <x:v>Similarweb 行业映射</x:v>
      </x:c>
      <x:c r="J155" s="19" t="n">
        <x:v>319</x:v>
      </x:c>
      <x:c r="K155" s="20" t="n">
        <x:v>0.0031</x:v>
      </x:c>
      <x:c r="L155" s="19" t="str">
        <x:v>下降</x:v>
      </x:c>
      <x:c r="M155" s="20" t="n">
        <x:v>-0.2285</x:v>
      </x:c>
      <x:c r="N155" s="21" t="n">
        <x:v>42540000</x:v>
      </x:c>
      <x:c r="O155" s="21" t="n">
        <x:v>131874</x:v>
      </x:c>
      <x:c r="P155" s="21" t="n">
        <x:f>ROUND(N155*K155,0)</x:f>
        <x:v>131874</x:v>
      </x:c>
      <x:c r="Q155" s="19" t="str">
        <x:v>是</x:v>
      </x:c>
      <x:c r="R155" s="19" t="str">
        <x:v>支付平台、自引荐或流量中介</x:v>
      </x:c>
      <x:c r="S155" s="19" t="n">
        <x:f>IF(Q155="是",0,MIN(10,2+IF(C155="高",2,1)+IF(K155&gt;=3%,3,IF(K155&gt;=1%,2,1))+IF(L155="新出现",2,IF(M155&gt;=100%,3,IF(M155&gt;0,2,0)))))</x:f>
        <x:v>0</x:v>
      </x:c>
      <x:c r="T155" s="21"/>
      <x:c r="U155" s="20"/>
      <x:c r="V155" s="19" t="str">
        <x:v>http://stripe.com/</x:v>
      </x:c>
      <x:c r="W155" s="19" t="str">
        <x:v>https://pro.similarweb.com/#/digitalsuite/websiteanalysis/referrals/*/999/1m?webSource=Total&amp;selectedTab=incomingTraffic&amp;key=checkout.stripe.com</x:v>
      </x:c>
      <x:c r="X155" s="20" t="n">
        <x:f>IF(Q155="是",0,IFERROR(P155/SUMIFS($P$2:$P$964,$A$2:$A$964,A155,$Q$2:$Q$964,"否"),0))</x:f>
        <x:v>0</x:v>
      </x:c>
      <x:c r="Y155" s="22" t="str">
        <x:f>IF(OR(M155="",U155=""),"未交叉",IF(M155*U155&gt;0,"同向",IF(M155*U155&lt;0,"背离","一侧持平")))</x:f>
        <x:v>未交叉</x:v>
      </x:c>
    </x:row>
    <x:row r="156">
      <x:c r="A156" s="18" t="str">
        <x:v>checkout.stripe.com</x:v>
      </x:c>
      <x:c r="B156" s="19" t="str">
        <x:v>专用支付/结账入口</x:v>
      </x:c>
      <x:c r="C156" s="19" t="str">
        <x:v>高</x:v>
      </x:c>
      <x:c r="D156" s="19" t="str">
        <x:v>Jul 2026</x:v>
      </x:c>
      <x:c r="E156" s="19" t="n">
        <x:v>55</x:v>
      </x:c>
      <x:c r="F156" s="19" t="str">
        <x:v>app.base44.com</x:v>
      </x:c>
      <x:c r="G156" s="19" t="str">
        <x:v>Graphics Multimedia and Web Design</x:v>
      </x:c>
      <x:c r="H156" s="19" t="str">
        <x:v>创作、设计与多媒体工具</x:v>
      </x:c>
      <x:c r="I156" s="19" t="str">
        <x:v>Similarweb 行业映射</x:v>
      </x:c>
      <x:c r="J156" s="19"/>
      <x:c r="K156" s="20" t="n">
        <x:v>0.003</x:v>
      </x:c>
      <x:c r="L156" s="19" t="str">
        <x:v>下降</x:v>
      </x:c>
      <x:c r="M156" s="20" t="n">
        <x:v>-0.249</x:v>
      </x:c>
      <x:c r="N156" s="21" t="n">
        <x:v>42540000</x:v>
      </x:c>
      <x:c r="O156" s="21" t="n">
        <x:v>127620</x:v>
      </x:c>
      <x:c r="P156" s="21" t="n">
        <x:f>ROUND(N156*K156,0)</x:f>
        <x:v>127620</x:v>
      </x:c>
      <x:c r="Q156" s="19" t="str">
        <x:v>否</x:v>
      </x:c>
      <x:c r="R156" s="19" t="str"/>
      <x:c r="S156" s="19" t="n">
        <x:f>IF(Q156="是",0,MIN(10,2+IF(C156="高",2,1)+IF(K156&gt;=3%,3,IF(K156&gt;=1%,2,1))+IF(L156="新出现",2,IF(M156&gt;=100%,3,IF(M156&gt;0,2,0)))))</x:f>
        <x:v>5</x:v>
      </x:c>
      <x:c r="T156" s="21"/>
      <x:c r="U156" s="20"/>
      <x:c r="V156" s="19" t="str">
        <x:v>http://app.base44.com/</x:v>
      </x:c>
      <x:c r="W156" s="19" t="str">
        <x:v>https://pro.similarweb.com/#/digitalsuite/websiteanalysis/referrals/*/999/1m?webSource=Total&amp;selectedTab=incomingTraffic&amp;key=checkout.stripe.com</x:v>
      </x:c>
      <x:c r="X156" s="20" t="n">
        <x:f>IF(Q156="是",0,IFERROR(P156/SUMIFS($P$2:$P$964,$A$2:$A$964,A156,$Q$2:$Q$964,"否"),0))</x:f>
        <x:v>0.005421033610408385</x:v>
      </x:c>
      <x:c r="Y156" s="22" t="str">
        <x:f>IF(OR(M156="",U156=""),"未交叉",IF(M156*U156&gt;0,"同向",IF(M156*U156&lt;0,"背离","一侧持平")))</x:f>
        <x:v>未交叉</x:v>
      </x:c>
    </x:row>
    <x:row r="157">
      <x:c r="A157" s="18" t="str">
        <x:v>checkout.stripe.com</x:v>
      </x:c>
      <x:c r="B157" s="19" t="str">
        <x:v>专用支付/结账入口</x:v>
      </x:c>
      <x:c r="C157" s="19" t="str">
        <x:v>高</x:v>
      </x:c>
      <x:c r="D157" s="19" t="str">
        <x:v>Jul 2026</x:v>
      </x:c>
      <x:c r="E157" s="19" t="n">
        <x:v>56</x:v>
      </x:c>
      <x:c r="F157" s="19" t="str">
        <x:v>viewmax.io</x:v>
      </x:c>
      <x:c r="G157" s="19" t="str">
        <x:v>Graphics Multimedia and Web Design</x:v>
      </x:c>
      <x:c r="H157" s="19" t="str">
        <x:v>AI 内容生成与创作</x:v>
      </x:c>
      <x:c r="I157" s="19" t="str">
        <x:v>域名人工/关键词识别</x:v>
      </x:c>
      <x:c r="J157" s="19" t="n">
        <x:v>36306</x:v>
      </x:c>
      <x:c r="K157" s="20" t="n">
        <x:v>0.003</x:v>
      </x:c>
      <x:c r="L157" s="19" t="str">
        <x:v>上升</x:v>
      </x:c>
      <x:c r="M157" s="20" t="n">
        <x:v>1.0444</x:v>
      </x:c>
      <x:c r="N157" s="21" t="n">
        <x:v>42540000</x:v>
      </x:c>
      <x:c r="O157" s="21" t="n">
        <x:v>127620</x:v>
      </x:c>
      <x:c r="P157" s="21" t="n">
        <x:f>ROUND(N157*K157,0)</x:f>
        <x:v>127620</x:v>
      </x:c>
      <x:c r="Q157" s="19" t="str">
        <x:v>否</x:v>
      </x:c>
      <x:c r="R157" s="19" t="str"/>
      <x:c r="S157" s="19" t="n">
        <x:f>IF(Q157="是",0,MIN(10,2+IF(C157="高",2,1)+IF(K157&gt;=3%,3,IF(K157&gt;=1%,2,1))+IF(L157="新出现",2,IF(M157&gt;=100%,3,IF(M157&gt;0,2,0)))))</x:f>
        <x:v>8</x:v>
      </x:c>
      <x:c r="T157" s="21"/>
      <x:c r="U157" s="20"/>
      <x:c r="V157" s="19" t="str">
        <x:v>http://viewmax.io/</x:v>
      </x:c>
      <x:c r="W157" s="19" t="str">
        <x:v>https://pro.similarweb.com/#/digitalsuite/websiteanalysis/referrals/*/999/1m?webSource=Total&amp;selectedTab=incomingTraffic&amp;key=checkout.stripe.com</x:v>
      </x:c>
      <x:c r="X157" s="20" t="n">
        <x:f>IF(Q157="是",0,IFERROR(P157/SUMIFS($P$2:$P$964,$A$2:$A$964,A157,$Q$2:$Q$964,"否"),0))</x:f>
        <x:v>0.005421033610408385</x:v>
      </x:c>
      <x:c r="Y157" s="22" t="str">
        <x:f>IF(OR(M157="",U157=""),"未交叉",IF(M157*U157&gt;0,"同向",IF(M157*U157&lt;0,"背离","一侧持平")))</x:f>
        <x:v>未交叉</x:v>
      </x:c>
    </x:row>
    <x:row r="158">
      <x:c r="A158" s="18" t="str">
        <x:v>checkout.stripe.com</x:v>
      </x:c>
      <x:c r="B158" s="19" t="str">
        <x:v>专用支付/结账入口</x:v>
      </x:c>
      <x:c r="C158" s="19" t="str">
        <x:v>高</x:v>
      </x:c>
      <x:c r="D158" s="19" t="str">
        <x:v>Jul 2026</x:v>
      </x:c>
      <x:c r="E158" s="19" t="n">
        <x:v>57</x:v>
      </x:c>
      <x:c r="F158" s="19" t="str">
        <x:v>bebee.com</x:v>
      </x:c>
      <x:c r="G158" s="19" t="str">
        <x:v>Jobs and Employment</x:v>
      </x:c>
      <x:c r="H158" s="19" t="str">
        <x:v>营销、生产力与商业服务</x:v>
      </x:c>
      <x:c r="I158" s="19" t="str">
        <x:v>Similarweb 行业映射</x:v>
      </x:c>
      <x:c r="J158" s="19" t="n">
        <x:v>6319</x:v>
      </x:c>
      <x:c r="K158" s="20" t="n">
        <x:v>0.0029</x:v>
      </x:c>
      <x:c r="L158" s="19" t="str">
        <x:v>上升</x:v>
      </x:c>
      <x:c r="M158" s="20" t="n">
        <x:v>0.24359999999999998</x:v>
      </x:c>
      <x:c r="N158" s="21" t="n">
        <x:v>42540000</x:v>
      </x:c>
      <x:c r="O158" s="21" t="n">
        <x:v>123366</x:v>
      </x:c>
      <x:c r="P158" s="21" t="n">
        <x:f>ROUND(N158*K158,0)</x:f>
        <x:v>123366</x:v>
      </x:c>
      <x:c r="Q158" s="19" t="str">
        <x:v>否</x:v>
      </x:c>
      <x:c r="R158" s="19" t="str"/>
      <x:c r="S158" s="19" t="n">
        <x:f>IF(Q158="是",0,MIN(10,2+IF(C158="高",2,1)+IF(K158&gt;=3%,3,IF(K158&gt;=1%,2,1))+IF(L158="新出现",2,IF(M158&gt;=100%,3,IF(M158&gt;0,2,0)))))</x:f>
        <x:v>7</x:v>
      </x:c>
      <x:c r="T158" s="21"/>
      <x:c r="U158" s="20"/>
      <x:c r="V158" s="19" t="str">
        <x:v>http://bebee.com/</x:v>
      </x:c>
      <x:c r="W158" s="19" t="str">
        <x:v>https://pro.similarweb.com/#/digitalsuite/websiteanalysis/referrals/*/999/1m?webSource=Total&amp;selectedTab=incomingTraffic&amp;key=checkout.stripe.com</x:v>
      </x:c>
      <x:c r="X158" s="20" t="n">
        <x:f>IF(Q158="是",0,IFERROR(P158/SUMIFS($P$2:$P$964,$A$2:$A$964,A158,$Q$2:$Q$964,"否"),0))</x:f>
        <x:v>0.005240332490061439</x:v>
      </x:c>
      <x:c r="Y158" s="22" t="str">
        <x:f>IF(OR(M158="",U158=""),"未交叉",IF(M158*U158&gt;0,"同向",IF(M158*U158&lt;0,"背离","一侧持平")))</x:f>
        <x:v>未交叉</x:v>
      </x:c>
    </x:row>
    <x:row r="159">
      <x:c r="A159" s="18" t="str">
        <x:v>checkout.stripe.com</x:v>
      </x:c>
      <x:c r="B159" s="19" t="str">
        <x:v>专用支付/结账入口</x:v>
      </x:c>
      <x:c r="C159" s="19" t="str">
        <x:v>高</x:v>
      </x:c>
      <x:c r="D159" s="19" t="str">
        <x:v>Jul 2026</x:v>
      </x:c>
      <x:c r="E159" s="19" t="n">
        <x:v>58</x:v>
      </x:c>
      <x:c r="F159" s="19" t="str">
        <x:v>viblo.ai</x:v>
      </x:c>
      <x:c r="G159" s="19" t="str">
        <x:v>Search Engines</x:v>
      </x:c>
      <x:c r="H159" s="19" t="str">
        <x:v>AI 工具与应用（未细分）</x:v>
      </x:c>
      <x:c r="I159" s="19" t="str">
        <x:v>域名人工/交叉验证修正</x:v>
      </x:c>
      <x:c r="J159" s="19" t="n">
        <x:v>72318</x:v>
      </x:c>
      <x:c r="K159" s="20" t="n">
        <x:v>0.0029</x:v>
      </x:c>
      <x:c r="L159" s="19" t="str">
        <x:v>上升</x:v>
      </x:c>
      <x:c r="M159" s="20" t="n">
        <x:v>0.5888</x:v>
      </x:c>
      <x:c r="N159" s="21" t="n">
        <x:v>42540000</x:v>
      </x:c>
      <x:c r="O159" s="21" t="n">
        <x:v>123366</x:v>
      </x:c>
      <x:c r="P159" s="21" t="n">
        <x:f>ROUND(N159*K159,0)</x:f>
        <x:v>123366</x:v>
      </x:c>
      <x:c r="Q159" s="19" t="str">
        <x:v>否</x:v>
      </x:c>
      <x:c r="R159" s="19" t="str"/>
      <x:c r="S159" s="19" t="n">
        <x:f>IF(Q159="是",0,MIN(10,2+IF(C159="高",2,1)+IF(K159&gt;=3%,3,IF(K159&gt;=1%,2,1))+IF(L159="新出现",2,IF(M159&gt;=100%,3,IF(M159&gt;0,2,0)))))</x:f>
        <x:v>7</x:v>
      </x:c>
      <x:c r="T159" s="21"/>
      <x:c r="U159" s="20"/>
      <x:c r="V159" s="19" t="str">
        <x:v>http://viblo.ai/</x:v>
      </x:c>
      <x:c r="W159" s="19" t="str">
        <x:v>https://pro.similarweb.com/#/digitalsuite/websiteanalysis/referrals/*/999/1m?webSource=Total&amp;selectedTab=incomingTraffic&amp;key=checkout.stripe.com</x:v>
      </x:c>
      <x:c r="X159" s="20" t="n">
        <x:f>IF(Q159="是",0,IFERROR(P159/SUMIFS($P$2:$P$964,$A$2:$A$964,A159,$Q$2:$Q$964,"否"),0))</x:f>
        <x:v>0.005240332490061439</x:v>
      </x:c>
      <x:c r="Y159" s="22" t="str">
        <x:f>IF(OR(M159="",U159=""),"未交叉",IF(M159*U159&gt;0,"同向",IF(M159*U159&lt;0,"背离","一侧持平")))</x:f>
        <x:v>未交叉</x:v>
      </x:c>
    </x:row>
    <x:row r="160">
      <x:c r="A160" s="18" t="str">
        <x:v>checkout.stripe.com</x:v>
      </x:c>
      <x:c r="B160" s="19" t="str">
        <x:v>专用支付/结账入口</x:v>
      </x:c>
      <x:c r="C160" s="19" t="str">
        <x:v>高</x:v>
      </x:c>
      <x:c r="D160" s="19" t="str">
        <x:v>Jul 2026</x:v>
      </x:c>
      <x:c r="E160" s="19" t="n">
        <x:v>59</x:v>
      </x:c>
      <x:c r="F160" s="19" t="str">
        <x:v>16personalities.com</x:v>
      </x:c>
      <x:c r="G160" s="19" t="str">
        <x:v>Human Resources</x:v>
      </x:c>
      <x:c r="H160" s="19" t="str">
        <x:v>教育、课程与知识产品</x:v>
      </x:c>
      <x:c r="I160" s="19" t="str">
        <x:v>域名人工识别</x:v>
      </x:c>
      <x:c r="J160" s="19" t="n">
        <x:v>4270</x:v>
      </x:c>
      <x:c r="K160" s="20" t="n">
        <x:v>0.0029</x:v>
      </x:c>
      <x:c r="L160" s="19" t="str">
        <x:v>上升</x:v>
      </x:c>
      <x:c r="M160" s="20" t="n">
        <x:v>0.3738</x:v>
      </x:c>
      <x:c r="N160" s="21" t="n">
        <x:v>42540000</x:v>
      </x:c>
      <x:c r="O160" s="21" t="n">
        <x:v>123366</x:v>
      </x:c>
      <x:c r="P160" s="21" t="n">
        <x:f>ROUND(N160*K160,0)</x:f>
        <x:v>123366</x:v>
      </x:c>
      <x:c r="Q160" s="19" t="str">
        <x:v>否</x:v>
      </x:c>
      <x:c r="R160" s="19" t="str"/>
      <x:c r="S160" s="19" t="n">
        <x:f>IF(Q160="是",0,MIN(10,2+IF(C160="高",2,1)+IF(K160&gt;=3%,3,IF(K160&gt;=1%,2,1))+IF(L160="新出现",2,IF(M160&gt;=100%,3,IF(M160&gt;0,2,0)))))</x:f>
        <x:v>7</x:v>
      </x:c>
      <x:c r="T160" s="21"/>
      <x:c r="U160" s="20"/>
      <x:c r="V160" s="19" t="str">
        <x:v>http://16personalities.com/</x:v>
      </x:c>
      <x:c r="W160" s="19" t="str">
        <x:v>https://pro.similarweb.com/#/digitalsuite/websiteanalysis/referrals/*/999/1m?webSource=Total&amp;selectedTab=incomingTraffic&amp;key=checkout.stripe.com</x:v>
      </x:c>
      <x:c r="X160" s="20" t="n">
        <x:f>IF(Q160="是",0,IFERROR(P160/SUMIFS($P$2:$P$964,$A$2:$A$964,A160,$Q$2:$Q$964,"否"),0))</x:f>
        <x:v>0.005240332490061439</x:v>
      </x:c>
      <x:c r="Y160" s="22" t="str">
        <x:f>IF(OR(M160="",U160=""),"未交叉",IF(M160*U160&gt;0,"同向",IF(M160*U160&lt;0,"背离","一侧持平")))</x:f>
        <x:v>未交叉</x:v>
      </x:c>
    </x:row>
    <x:row r="161">
      <x:c r="A161" s="18" t="str">
        <x:v>checkout.stripe.com</x:v>
      </x:c>
      <x:c r="B161" s="19" t="str">
        <x:v>专用支付/结账入口</x:v>
      </x:c>
      <x:c r="C161" s="19" t="str">
        <x:v>高</x:v>
      </x:c>
      <x:c r="D161" s="19" t="str">
        <x:v>Jul 2026</x:v>
      </x:c>
      <x:c r="E161" s="19" t="n">
        <x:v>60</x:v>
      </x:c>
      <x:c r="F161" s="19" t="str">
        <x:v>minimax.io</x:v>
      </x:c>
      <x:c r="G161" s="19" t="str">
        <x:v>Romance and Relationships</x:v>
      </x:c>
      <x:c r="H161" s="19" t="str">
        <x:v>AI 内容生成与创作</x:v>
      </x:c>
      <x:c r="I161" s="19" t="str">
        <x:v>域名人工/关键词识别</x:v>
      </x:c>
      <x:c r="J161" s="19" t="n">
        <x:v>9873</x:v>
      </x:c>
      <x:c r="K161" s="20" t="n">
        <x:v>0.0028000000000000004</x:v>
      </x:c>
      <x:c r="L161" s="19" t="str">
        <x:v>下降</x:v>
      </x:c>
      <x:c r="M161" s="20" t="n">
        <x:v>-0.1795</x:v>
      </x:c>
      <x:c r="N161" s="21" t="n">
        <x:v>42540000</x:v>
      </x:c>
      <x:c r="O161" s="21" t="n">
        <x:v>119112</x:v>
      </x:c>
      <x:c r="P161" s="21" t="n">
        <x:f>ROUND(N161*K161,0)</x:f>
        <x:v>119112</x:v>
      </x:c>
      <x:c r="Q161" s="19" t="str">
        <x:v>否</x:v>
      </x:c>
      <x:c r="R161" s="19" t="str"/>
      <x:c r="S161" s="19" t="n">
        <x:f>IF(Q161="是",0,MIN(10,2+IF(C161="高",2,1)+IF(K161&gt;=3%,3,IF(K161&gt;=1%,2,1))+IF(L161="新出现",2,IF(M161&gt;=100%,3,IF(M161&gt;0,2,0)))))</x:f>
        <x:v>5</x:v>
      </x:c>
      <x:c r="T161" s="21"/>
      <x:c r="U161" s="20"/>
      <x:c r="V161" s="19" t="str">
        <x:v>http://minimax.io/</x:v>
      </x:c>
      <x:c r="W161" s="19" t="str">
        <x:v>https://pro.similarweb.com/#/digitalsuite/websiteanalysis/referrals/*/999/1m?webSource=Total&amp;selectedTab=incomingTraffic&amp;key=checkout.stripe.com</x:v>
      </x:c>
      <x:c r="X161" s="20" t="n">
        <x:f>IF(Q161="是",0,IFERROR(P161/SUMIFS($P$2:$P$964,$A$2:$A$964,A161,$Q$2:$Q$964,"否"),0))</x:f>
        <x:v>0.005059631369714492</x:v>
      </x:c>
      <x:c r="Y161" s="22" t="str">
        <x:f>IF(OR(M161="",U161=""),"未交叉",IF(M161*U161&gt;0,"同向",IF(M161*U161&lt;0,"背离","一侧持平")))</x:f>
        <x:v>未交叉</x:v>
      </x:c>
    </x:row>
    <x:row r="162">
      <x:c r="A162" s="18" t="str">
        <x:v>checkout.stripe.com</x:v>
      </x:c>
      <x:c r="B162" s="19" t="str">
        <x:v>专用支付/结账入口</x:v>
      </x:c>
      <x:c r="C162" s="19" t="str">
        <x:v>高</x:v>
      </x:c>
      <x:c r="D162" s="19" t="str">
        <x:v>Jul 2026</x:v>
      </x:c>
      <x:c r="E162" s="19" t="n">
        <x:v>61</x:v>
      </x:c>
      <x:c r="F162" s="19" t="str">
        <x:v>app.atlasearth.com</x:v>
      </x:c>
      <x:c r="G162" s="19" t="str">
        <x:v>Games</x:v>
      </x:c>
      <x:c r="H162" s="19" t="str">
        <x:v>游戏、数字商品与虚拟内容</x:v>
      </x:c>
      <x:c r="I162" s="19" t="str">
        <x:v>Similarweb 行业映射</x:v>
      </x:c>
      <x:c r="J162" s="19"/>
      <x:c r="K162" s="20" t="n">
        <x:v>0.0028000000000000004</x:v>
      </x:c>
      <x:c r="L162" s="19" t="str">
        <x:v>新出现</x:v>
      </x:c>
      <x:c r="M162" s="20"/>
      <x:c r="N162" s="21" t="n">
        <x:v>42540000</x:v>
      </x:c>
      <x:c r="O162" s="21" t="n">
        <x:v>119112</x:v>
      </x:c>
      <x:c r="P162" s="21" t="n">
        <x:f>ROUND(N162*K162,0)</x:f>
        <x:v>119112</x:v>
      </x:c>
      <x:c r="Q162" s="19" t="str">
        <x:v>否</x:v>
      </x:c>
      <x:c r="R162" s="19" t="str"/>
      <x:c r="S162" s="19" t="n">
        <x:f>IF(Q162="是",0,MIN(10,2+IF(C162="高",2,1)+IF(K162&gt;=3%,3,IF(K162&gt;=1%,2,1))+IF(L162="新出现",2,IF(M162&gt;=100%,3,IF(M162&gt;0,2,0)))))</x:f>
        <x:v>7</x:v>
      </x:c>
      <x:c r="T162" s="21"/>
      <x:c r="U162" s="20"/>
      <x:c r="V162" s="19" t="str">
        <x:v>http://app.atlasearth.com/</x:v>
      </x:c>
      <x:c r="W162" s="19" t="str">
        <x:v>https://pro.similarweb.com/#/digitalsuite/websiteanalysis/referrals/*/999/1m?webSource=Total&amp;selectedTab=incomingTraffic&amp;key=checkout.stripe.com</x:v>
      </x:c>
      <x:c r="X162" s="20" t="n">
        <x:f>IF(Q162="是",0,IFERROR(P162/SUMIFS($P$2:$P$964,$A$2:$A$964,A162,$Q$2:$Q$964,"否"),0))</x:f>
        <x:v>0.005059631369714492</x:v>
      </x:c>
      <x:c r="Y162" s="22" t="str">
        <x:f>IF(OR(M162="",U162=""),"未交叉",IF(M162*U162&gt;0,"同向",IF(M162*U162&lt;0,"背离","一侧持平")))</x:f>
        <x:v>未交叉</x:v>
      </x:c>
    </x:row>
    <x:row r="163">
      <x:c r="A163" s="18" t="str">
        <x:v>checkout.stripe.com</x:v>
      </x:c>
      <x:c r="B163" s="19" t="str">
        <x:v>专用支付/结账入口</x:v>
      </x:c>
      <x:c r="C163" s="19" t="str">
        <x:v>高</x:v>
      </x:c>
      <x:c r="D163" s="19" t="str">
        <x:v>Jul 2026</x:v>
      </x:c>
      <x:c r="E163" s="19" t="n">
        <x:v>62</x:v>
      </x:c>
      <x:c r="F163" s="19" t="str">
        <x:v>prometric.com</x:v>
      </x:c>
      <x:c r="G163" s="19" t="str">
        <x:v>Medicine</x:v>
      </x:c>
      <x:c r="H163" s="19" t="str">
        <x:v>教育、课程与知识产品</x:v>
      </x:c>
      <x:c r="I163" s="19" t="str">
        <x:v>域名人工识别</x:v>
      </x:c>
      <x:c r="J163" s="19" t="n">
        <x:v>15685</x:v>
      </x:c>
      <x:c r="K163" s="20" t="n">
        <x:v>0.0027</x:v>
      </x:c>
      <x:c r="L163" s="19" t="str">
        <x:v>上升</x:v>
      </x:c>
      <x:c r="M163" s="20" t="n">
        <x:v>0.0623</x:v>
      </x:c>
      <x:c r="N163" s="21" t="n">
        <x:v>42540000</x:v>
      </x:c>
      <x:c r="O163" s="21" t="n">
        <x:v>114858</x:v>
      </x:c>
      <x:c r="P163" s="21" t="n">
        <x:f>ROUND(N163*K163,0)</x:f>
        <x:v>114858</x:v>
      </x:c>
      <x:c r="Q163" s="19" t="str">
        <x:v>否</x:v>
      </x:c>
      <x:c r="R163" s="19" t="str"/>
      <x:c r="S163" s="19" t="n">
        <x:f>IF(Q163="是",0,MIN(10,2+IF(C163="高",2,1)+IF(K163&gt;=3%,3,IF(K163&gt;=1%,2,1))+IF(L163="新出现",2,IF(M163&gt;=100%,3,IF(M163&gt;0,2,0)))))</x:f>
        <x:v>7</x:v>
      </x:c>
      <x:c r="T163" s="21"/>
      <x:c r="U163" s="20"/>
      <x:c r="V163" s="19" t="str">
        <x:v>http://prometric.com/</x:v>
      </x:c>
      <x:c r="W163" s="19" t="str">
        <x:v>https://pro.similarweb.com/#/digitalsuite/websiteanalysis/referrals/*/999/1m?webSource=Total&amp;selectedTab=incomingTraffic&amp;key=checkout.stripe.com</x:v>
      </x:c>
      <x:c r="X163" s="20" t="n">
        <x:f>IF(Q163="是",0,IFERROR(P163/SUMIFS($P$2:$P$964,$A$2:$A$964,A163,$Q$2:$Q$964,"否"),0))</x:f>
        <x:v>0.004878930249367546</x:v>
      </x:c>
      <x:c r="Y163" s="22" t="str">
        <x:f>IF(OR(M163="",U163=""),"未交叉",IF(M163*U163&gt;0,"同向",IF(M163*U163&lt;0,"背离","一侧持平")))</x:f>
        <x:v>未交叉</x:v>
      </x:c>
    </x:row>
    <x:row r="164">
      <x:c r="A164" s="18" t="str">
        <x:v>checkout.stripe.com</x:v>
      </x:c>
      <x:c r="B164" s="19" t="str">
        <x:v>专用支付/结账入口</x:v>
      </x:c>
      <x:c r="C164" s="19" t="str">
        <x:v>高</x:v>
      </x:c>
      <x:c r="D164" s="19" t="str">
        <x:v>Jul 2026</x:v>
      </x:c>
      <x:c r="E164" s="19" t="n">
        <x:v>63</x:v>
      </x:c>
      <x:c r="F164" s="19" t="str">
        <x:v>app.instantly.ai</x:v>
      </x:c>
      <x:c r="G164" s="19" t="str">
        <x:v>Email</x:v>
      </x:c>
      <x:c r="H164" s="19" t="str">
        <x:v>营销、电商与商业 SaaS</x:v>
      </x:c>
      <x:c r="I164" s="19" t="str">
        <x:v>域名人工识别</x:v>
      </x:c>
      <x:c r="J164" s="19"/>
      <x:c r="K164" s="20" t="n">
        <x:v>0.0027</x:v>
      </x:c>
      <x:c r="L164" s="19" t="str">
        <x:v>上升</x:v>
      </x:c>
      <x:c r="M164" s="20" t="n">
        <x:v>0.10210000000000001</x:v>
      </x:c>
      <x:c r="N164" s="21" t="n">
        <x:v>42540000</x:v>
      </x:c>
      <x:c r="O164" s="21" t="n">
        <x:v>114858</x:v>
      </x:c>
      <x:c r="P164" s="21" t="n">
        <x:f>ROUND(N164*K164,0)</x:f>
        <x:v>114858</x:v>
      </x:c>
      <x:c r="Q164" s="19" t="str">
        <x:v>否</x:v>
      </x:c>
      <x:c r="R164" s="19" t="str"/>
      <x:c r="S164" s="19" t="n">
        <x:f>IF(Q164="是",0,MIN(10,2+IF(C164="高",2,1)+IF(K164&gt;=3%,3,IF(K164&gt;=1%,2,1))+IF(L164="新出现",2,IF(M164&gt;=100%,3,IF(M164&gt;0,2,0)))))</x:f>
        <x:v>7</x:v>
      </x:c>
      <x:c r="T164" s="21"/>
      <x:c r="U164" s="20"/>
      <x:c r="V164" s="19" t="str">
        <x:v>http://app.instantly.ai/</x:v>
      </x:c>
      <x:c r="W164" s="19" t="str">
        <x:v>https://pro.similarweb.com/#/digitalsuite/websiteanalysis/referrals/*/999/1m?webSource=Total&amp;selectedTab=incomingTraffic&amp;key=checkout.stripe.com</x:v>
      </x:c>
      <x:c r="X164" s="20" t="n">
        <x:f>IF(Q164="是",0,IFERROR(P164/SUMIFS($P$2:$P$964,$A$2:$A$964,A164,$Q$2:$Q$964,"否"),0))</x:f>
        <x:v>0.004878930249367546</x:v>
      </x:c>
      <x:c r="Y164" s="22" t="str">
        <x:f>IF(OR(M164="",U164=""),"未交叉",IF(M164*U164&gt;0,"同向",IF(M164*U164&lt;0,"背离","一侧持平")))</x:f>
        <x:v>未交叉</x:v>
      </x:c>
    </x:row>
    <x:row r="165">
      <x:c r="A165" s="18" t="str">
        <x:v>checkout.stripe.com</x:v>
      </x:c>
      <x:c r="B165" s="19" t="str">
        <x:v>专用支付/结账入口</x:v>
      </x:c>
      <x:c r="C165" s="19" t="str">
        <x:v>高</x:v>
      </x:c>
      <x:c r="D165" s="19" t="str">
        <x:v>Jul 2026</x:v>
      </x:c>
      <x:c r="E165" s="19" t="n">
        <x:v>64</x:v>
      </x:c>
      <x:c r="F165" s="19" t="str">
        <x:v>tryhackme.com</x:v>
      </x:c>
      <x:c r="G165" s="19" t="str">
        <x:v>Computer Security</x:v>
      </x:c>
      <x:c r="H165" s="19" t="str">
        <x:v>教育、课程与知识产品</x:v>
      </x:c>
      <x:c r="I165" s="19" t="str">
        <x:v>域名人工识别</x:v>
      </x:c>
      <x:c r="J165" s="19" t="n">
        <x:v>7386</x:v>
      </x:c>
      <x:c r="K165" s="20" t="n">
        <x:v>0.0026</x:v>
      </x:c>
      <x:c r="L165" s="19" t="str">
        <x:v>下降</x:v>
      </x:c>
      <x:c r="M165" s="20" t="n">
        <x:v>-0.0678</x:v>
      </x:c>
      <x:c r="N165" s="21" t="n">
        <x:v>42540000</x:v>
      </x:c>
      <x:c r="O165" s="21" t="n">
        <x:v>110604</x:v>
      </x:c>
      <x:c r="P165" s="21" t="n">
        <x:f>ROUND(N165*K165,0)</x:f>
        <x:v>110604</x:v>
      </x:c>
      <x:c r="Q165" s="19" t="str">
        <x:v>否</x:v>
      </x:c>
      <x:c r="R165" s="19" t="str"/>
      <x:c r="S165" s="19" t="n">
        <x:f>IF(Q165="是",0,MIN(10,2+IF(C165="高",2,1)+IF(K165&gt;=3%,3,IF(K165&gt;=1%,2,1))+IF(L165="新出现",2,IF(M165&gt;=100%,3,IF(M165&gt;0,2,0)))))</x:f>
        <x:v>5</x:v>
      </x:c>
      <x:c r="T165" s="21"/>
      <x:c r="U165" s="20"/>
      <x:c r="V165" s="19" t="str">
        <x:v>http://tryhackme.com/</x:v>
      </x:c>
      <x:c r="W165" s="19" t="str">
        <x:v>https://pro.similarweb.com/#/digitalsuite/websiteanalysis/referrals/*/999/1m?webSource=Total&amp;selectedTab=incomingTraffic&amp;key=checkout.stripe.com</x:v>
      </x:c>
      <x:c r="X165" s="20" t="n">
        <x:f>IF(Q165="是",0,IFERROR(P165/SUMIFS($P$2:$P$964,$A$2:$A$964,A165,$Q$2:$Q$964,"否"),0))</x:f>
        <x:v>0.0046982291290206</x:v>
      </x:c>
      <x:c r="Y165" s="22" t="str">
        <x:f>IF(OR(M165="",U165=""),"未交叉",IF(M165*U165&gt;0,"同向",IF(M165*U165&lt;0,"背离","一侧持平")))</x:f>
        <x:v>未交叉</x:v>
      </x:c>
    </x:row>
    <x:row r="166">
      <x:c r="A166" s="18" t="str">
        <x:v>checkout.stripe.com</x:v>
      </x:c>
      <x:c r="B166" s="19" t="str">
        <x:v>专用支付/结账入口</x:v>
      </x:c>
      <x:c r="C166" s="19" t="str">
        <x:v>高</x:v>
      </x:c>
      <x:c r="D166" s="19" t="str">
        <x:v>Jul 2026</x:v>
      </x:c>
      <x:c r="E166" s="19" t="n">
        <x:v>65</x:v>
      </x:c>
      <x:c r="F166" s="19" t="str">
        <x:v>mobbin.com</x:v>
      </x:c>
      <x:c r="G166" s="19" t="str">
        <x:v>Graphics Multimedia and Web Design</x:v>
      </x:c>
      <x:c r="H166" s="19" t="str">
        <x:v>营销、电商与商业 SaaS</x:v>
      </x:c>
      <x:c r="I166" s="19" t="str">
        <x:v>域名人工识别</x:v>
      </x:c>
      <x:c r="J166" s="19" t="n">
        <x:v>16921</x:v>
      </x:c>
      <x:c r="K166" s="20" t="n">
        <x:v>0.0026</x:v>
      </x:c>
      <x:c r="L166" s="19" t="str">
        <x:v>上升</x:v>
      </x:c>
      <x:c r="M166" s="20" t="n">
        <x:v>0.43320000000000003</x:v>
      </x:c>
      <x:c r="N166" s="21" t="n">
        <x:v>42540000</x:v>
      </x:c>
      <x:c r="O166" s="21" t="n">
        <x:v>110604</x:v>
      </x:c>
      <x:c r="P166" s="21" t="n">
        <x:f>ROUND(N166*K166,0)</x:f>
        <x:v>110604</x:v>
      </x:c>
      <x:c r="Q166" s="19" t="str">
        <x:v>否</x:v>
      </x:c>
      <x:c r="R166" s="19" t="str"/>
      <x:c r="S166" s="19" t="n">
        <x:f>IF(Q166="是",0,MIN(10,2+IF(C166="高",2,1)+IF(K166&gt;=3%,3,IF(K166&gt;=1%,2,1))+IF(L166="新出现",2,IF(M166&gt;=100%,3,IF(M166&gt;0,2,0)))))</x:f>
        <x:v>7</x:v>
      </x:c>
      <x:c r="T166" s="21"/>
      <x:c r="U166" s="20"/>
      <x:c r="V166" s="19" t="str">
        <x:v>http://mobbin.com/</x:v>
      </x:c>
      <x:c r="W166" s="19" t="str">
        <x:v>https://pro.similarweb.com/#/digitalsuite/websiteanalysis/referrals/*/999/1m?webSource=Total&amp;selectedTab=incomingTraffic&amp;key=checkout.stripe.com</x:v>
      </x:c>
      <x:c r="X166" s="20" t="n">
        <x:f>IF(Q166="是",0,IFERROR(P166/SUMIFS($P$2:$P$964,$A$2:$A$964,A166,$Q$2:$Q$964,"否"),0))</x:f>
        <x:v>0.0046982291290206</x:v>
      </x:c>
      <x:c r="Y166" s="22" t="str">
        <x:f>IF(OR(M166="",U166=""),"未交叉",IF(M166*U166&gt;0,"同向",IF(M166*U166&lt;0,"背离","一侧持平")))</x:f>
        <x:v>未交叉</x:v>
      </x:c>
    </x:row>
    <x:row r="167">
      <x:c r="A167" s="18" t="str">
        <x:v>checkout.stripe.com</x:v>
      </x:c>
      <x:c r="B167" s="19" t="str">
        <x:v>专用支付/结账入口</x:v>
      </x:c>
      <x:c r="C167" s="19" t="str">
        <x:v>高</x:v>
      </x:c>
      <x:c r="D167" s="19" t="str">
        <x:v>Jul 2026</x:v>
      </x:c>
      <x:c r="E167" s="19" t="n">
        <x:v>66</x:v>
      </x:c>
      <x:c r="F167" s="19" t="str">
        <x:v>framer.com</x:v>
      </x:c>
      <x:c r="G167" s="19" t="str">
        <x:v>Computers Electronics and Technology</x:v>
      </x:c>
      <x:c r="H167" s="19" t="str">
        <x:v>通用数字产品与技术服务</x:v>
      </x:c>
      <x:c r="I167" s="19" t="str">
        <x:v>Similarweb 行业映射</x:v>
      </x:c>
      <x:c r="J167" s="19" t="n">
        <x:v>5933</x:v>
      </x:c>
      <x:c r="K167" s="20" t="n">
        <x:v>0.0026</x:v>
      </x:c>
      <x:c r="L167" s="19" t="str">
        <x:v>上升</x:v>
      </x:c>
      <x:c r="M167" s="20" t="n">
        <x:v>0.2962</x:v>
      </x:c>
      <x:c r="N167" s="21" t="n">
        <x:v>42540000</x:v>
      </x:c>
      <x:c r="O167" s="21" t="n">
        <x:v>110604</x:v>
      </x:c>
      <x:c r="P167" s="21" t="n">
        <x:f>ROUND(N167*K167,0)</x:f>
        <x:v>110604</x:v>
      </x:c>
      <x:c r="Q167" s="19" t="str">
        <x:v>否</x:v>
      </x:c>
      <x:c r="R167" s="19" t="str"/>
      <x:c r="S167" s="19" t="n">
        <x:f>IF(Q167="是",0,MIN(10,2+IF(C167="高",2,1)+IF(K167&gt;=3%,3,IF(K167&gt;=1%,2,1))+IF(L167="新出现",2,IF(M167&gt;=100%,3,IF(M167&gt;0,2,0)))))</x:f>
        <x:v>7</x:v>
      </x:c>
      <x:c r="T167" s="21"/>
      <x:c r="U167" s="20"/>
      <x:c r="V167" s="19" t="str">
        <x:v>http://framer.com/</x:v>
      </x:c>
      <x:c r="W167" s="19" t="str">
        <x:v>https://pro.similarweb.com/#/digitalsuite/websiteanalysis/referrals/*/999/1m?webSource=Total&amp;selectedTab=incomingTraffic&amp;key=checkout.stripe.com</x:v>
      </x:c>
      <x:c r="X167" s="20" t="n">
        <x:f>IF(Q167="是",0,IFERROR(P167/SUMIFS($P$2:$P$964,$A$2:$A$964,A167,$Q$2:$Q$964,"否"),0))</x:f>
        <x:v>0.0046982291290206</x:v>
      </x:c>
      <x:c r="Y167" s="22" t="str">
        <x:f>IF(OR(M167="",U167=""),"未交叉",IF(M167*U167&gt;0,"同向",IF(M167*U167&lt;0,"背离","一侧持平")))</x:f>
        <x:v>未交叉</x:v>
      </x:c>
    </x:row>
    <x:row r="168">
      <x:c r="A168" s="18" t="str">
        <x:v>checkout.stripe.com</x:v>
      </x:c>
      <x:c r="B168" s="19" t="str">
        <x:v>专用支付/结账入口</x:v>
      </x:c>
      <x:c r="C168" s="19" t="str">
        <x:v>高</x:v>
      </x:c>
      <x:c r="D168" s="19" t="str">
        <x:v>Jul 2026</x:v>
      </x:c>
      <x:c r="E168" s="19" t="n">
        <x:v>67</x:v>
      </x:c>
      <x:c r="F168" s="19" t="str">
        <x:v>polsia.com</x:v>
      </x:c>
      <x:c r="G168" s="19" t="str">
        <x:v>Web Hosting and Domain Names</x:v>
      </x:c>
      <x:c r="H168" s="19" t="str">
        <x:v>开发者工具与互联网基础设施</x:v>
      </x:c>
      <x:c r="I168" s="19" t="str">
        <x:v>Similarweb 行业映射</x:v>
      </x:c>
      <x:c r="J168" s="19" t="n">
        <x:v>37324</x:v>
      </x:c>
      <x:c r="K168" s="20" t="n">
        <x:v>0.0026</x:v>
      </x:c>
      <x:c r="L168" s="19" t="str">
        <x:v>下降</x:v>
      </x:c>
      <x:c r="M168" s="20" t="n">
        <x:v>-0.2865</x:v>
      </x:c>
      <x:c r="N168" s="21" t="n">
        <x:v>42540000</x:v>
      </x:c>
      <x:c r="O168" s="21" t="n">
        <x:v>110604</x:v>
      </x:c>
      <x:c r="P168" s="21" t="n">
        <x:f>ROUND(N168*K168,0)</x:f>
        <x:v>110604</x:v>
      </x:c>
      <x:c r="Q168" s="19" t="str">
        <x:v>否</x:v>
      </x:c>
      <x:c r="R168" s="19" t="str"/>
      <x:c r="S168" s="19" t="n">
        <x:f>IF(Q168="是",0,MIN(10,2+IF(C168="高",2,1)+IF(K168&gt;=3%,3,IF(K168&gt;=1%,2,1))+IF(L168="新出现",2,IF(M168&gt;=100%,3,IF(M168&gt;0,2,0)))))</x:f>
        <x:v>5</x:v>
      </x:c>
      <x:c r="T168" s="21"/>
      <x:c r="U168" s="20"/>
      <x:c r="V168" s="19" t="str">
        <x:v>http://polsia.com/</x:v>
      </x:c>
      <x:c r="W168" s="19" t="str">
        <x:v>https://pro.similarweb.com/#/digitalsuite/websiteanalysis/referrals/*/999/1m?webSource=Total&amp;selectedTab=incomingTraffic&amp;key=checkout.stripe.com</x:v>
      </x:c>
      <x:c r="X168" s="20" t="n">
        <x:f>IF(Q168="是",0,IFERROR(P168/SUMIFS($P$2:$P$964,$A$2:$A$964,A168,$Q$2:$Q$964,"否"),0))</x:f>
        <x:v>0.0046982291290206</x:v>
      </x:c>
      <x:c r="Y168" s="22" t="str">
        <x:f>IF(OR(M168="",U168=""),"未交叉",IF(M168*U168&gt;0,"同向",IF(M168*U168&lt;0,"背离","一侧持平")))</x:f>
        <x:v>未交叉</x:v>
      </x:c>
    </x:row>
    <x:row r="169">
      <x:c r="A169" s="18" t="str">
        <x:v>checkout.stripe.com</x:v>
      </x:c>
      <x:c r="B169" s="19" t="str">
        <x:v>专用支付/结账入口</x:v>
      </x:c>
      <x:c r="C169" s="19" t="str">
        <x:v>高</x:v>
      </x:c>
      <x:c r="D169" s="19" t="str">
        <x:v>Jul 2026</x:v>
      </x:c>
      <x:c r="E169" s="19" t="n">
        <x:v>68</x:v>
      </x:c>
      <x:c r="F169" s="19" t="str">
        <x:v>mutualdropship.com</x:v>
      </x:c>
      <x:c r="G169" s="19" t="str">
        <x:v>Graphics Multimedia and Web Design</x:v>
      </x:c>
      <x:c r="H169" s="19" t="str">
        <x:v>营销、电商与商业 SaaS</x:v>
      </x:c>
      <x:c r="I169" s="19" t="str">
        <x:v>域名人工识别</x:v>
      </x:c>
      <x:c r="J169" s="19" t="n">
        <x:v>728591</x:v>
      </x:c>
      <x:c r="K169" s="20" t="n">
        <x:v>0.0025</x:v>
      </x:c>
      <x:c r="L169" s="19" t="str">
        <x:v>下降</x:v>
      </x:c>
      <x:c r="M169" s="20" t="n">
        <x:v>-0.0067</x:v>
      </x:c>
      <x:c r="N169" s="21" t="n">
        <x:v>42540000</x:v>
      </x:c>
      <x:c r="O169" s="21" t="n">
        <x:v>106350</x:v>
      </x:c>
      <x:c r="P169" s="21" t="n">
        <x:f>ROUND(N169*K169,0)</x:f>
        <x:v>106350</x:v>
      </x:c>
      <x:c r="Q169" s="19" t="str">
        <x:v>否</x:v>
      </x:c>
      <x:c r="R169" s="19" t="str"/>
      <x:c r="S169" s="19" t="n">
        <x:f>IF(Q169="是",0,MIN(10,2+IF(C169="高",2,1)+IF(K169&gt;=3%,3,IF(K169&gt;=1%,2,1))+IF(L169="新出现",2,IF(M169&gt;=100%,3,IF(M169&gt;0,2,0)))))</x:f>
        <x:v>5</x:v>
      </x:c>
      <x:c r="T169" s="21"/>
      <x:c r="U169" s="20"/>
      <x:c r="V169" s="19" t="str">
        <x:v>http://mutualdropship.com/</x:v>
      </x:c>
      <x:c r="W169" s="19" t="str">
        <x:v>https://pro.similarweb.com/#/digitalsuite/websiteanalysis/referrals/*/999/1m?webSource=Total&amp;selectedTab=incomingTraffic&amp;key=checkout.stripe.com</x:v>
      </x:c>
      <x:c r="X169" s="20" t="n">
        <x:f>IF(Q169="是",0,IFERROR(P169/SUMIFS($P$2:$P$964,$A$2:$A$964,A169,$Q$2:$Q$964,"否"),0))</x:f>
        <x:v>0.004517528008673654</x:v>
      </x:c>
      <x:c r="Y169" s="22" t="str">
        <x:f>IF(OR(M169="",U169=""),"未交叉",IF(M169*U169&gt;0,"同向",IF(M169*U169&lt;0,"背离","一侧持平")))</x:f>
        <x:v>未交叉</x:v>
      </x:c>
    </x:row>
    <x:row r="170">
      <x:c r="A170" s="18" t="str">
        <x:v>checkout.stripe.com</x:v>
      </x:c>
      <x:c r="B170" s="19" t="str">
        <x:v>专用支付/结账入口</x:v>
      </x:c>
      <x:c r="C170" s="19" t="str">
        <x:v>高</x:v>
      </x:c>
      <x:c r="D170" s="19" t="str">
        <x:v>Jul 2026</x:v>
      </x:c>
      <x:c r="E170" s="19" t="n">
        <x:v>69</x:v>
      </x:c>
      <x:c r="F170" s="19" t="str">
        <x:v>app.tokportal.com</x:v>
      </x:c>
      <x:c r="G170" s="19" t="str">
        <x:v>Graphics Multimedia and Web Design</x:v>
      </x:c>
      <x:c r="H170" s="19" t="str">
        <x:v>AI 内容生成与创作</x:v>
      </x:c>
      <x:c r="I170" s="19" t="str">
        <x:v>域名人工/关键词识别</x:v>
      </x:c>
      <x:c r="J170" s="19"/>
      <x:c r="K170" s="20" t="n">
        <x:v>0.0024</x:v>
      </x:c>
      <x:c r="L170" s="19" t="str">
        <x:v>新出现</x:v>
      </x:c>
      <x:c r="M170" s="20"/>
      <x:c r="N170" s="21" t="n">
        <x:v>42540000</x:v>
      </x:c>
      <x:c r="O170" s="21" t="n">
        <x:v>102096</x:v>
      </x:c>
      <x:c r="P170" s="21" t="n">
        <x:f>ROUND(N170*K170,0)</x:f>
        <x:v>102096</x:v>
      </x:c>
      <x:c r="Q170" s="19" t="str">
        <x:v>否</x:v>
      </x:c>
      <x:c r="R170" s="19" t="str"/>
      <x:c r="S170" s="19" t="n">
        <x:f>IF(Q170="是",0,MIN(10,2+IF(C170="高",2,1)+IF(K170&gt;=3%,3,IF(K170&gt;=1%,2,1))+IF(L170="新出现",2,IF(M170&gt;=100%,3,IF(M170&gt;0,2,0)))))</x:f>
        <x:v>7</x:v>
      </x:c>
      <x:c r="T170" s="21"/>
      <x:c r="U170" s="20"/>
      <x:c r="V170" s="19" t="str">
        <x:v>http://app.tokportal.com/</x:v>
      </x:c>
      <x:c r="W170" s="19" t="str">
        <x:v>https://pro.similarweb.com/#/digitalsuite/websiteanalysis/referrals/*/999/1m?webSource=Total&amp;selectedTab=incomingTraffic&amp;key=checkout.stripe.com</x:v>
      </x:c>
      <x:c r="X170" s="20" t="n">
        <x:f>IF(Q170="是",0,IFERROR(P170/SUMIFS($P$2:$P$964,$A$2:$A$964,A170,$Q$2:$Q$964,"否"),0))</x:f>
        <x:v>0.0043368268883267076</x:v>
      </x:c>
      <x:c r="Y170" s="22" t="str">
        <x:f>IF(OR(M170="",U170=""),"未交叉",IF(M170*U170&gt;0,"同向",IF(M170*U170&lt;0,"背离","一侧持平")))</x:f>
        <x:v>未交叉</x:v>
      </x:c>
    </x:row>
    <x:row r="171">
      <x:c r="A171" s="18" t="str">
        <x:v>checkout.stripe.com</x:v>
      </x:c>
      <x:c r="B171" s="19" t="str">
        <x:v>专用支付/结账入口</x:v>
      </x:c>
      <x:c r="C171" s="19" t="str">
        <x:v>高</x:v>
      </x:c>
      <x:c r="D171" s="19" t="str">
        <x:v>Jul 2026</x:v>
      </x:c>
      <x:c r="E171" s="19" t="n">
        <x:v>70</x:v>
      </x:c>
      <x:c r="F171" s="19" t="str">
        <x:v>omegleweb.com</x:v>
      </x:c>
      <x:c r="G171" s="19" t="str">
        <x:v>Social Networks and Online Communities</x:v>
      </x:c>
      <x:c r="H171" s="19" t="str">
        <x:v>其他/待核查</x:v>
      </x:c>
      <x:c r="I171" s="19" t="str">
        <x:v>保守归类</x:v>
      </x:c>
      <x:c r="J171" s="19" t="n">
        <x:v>17864</x:v>
      </x:c>
      <x:c r="K171" s="20" t="n">
        <x:v>0.0024</x:v>
      </x:c>
      <x:c r="L171" s="19" t="str">
        <x:v>上升</x:v>
      </x:c>
      <x:c r="M171" s="20" t="n">
        <x:v>0.6004999999999999</x:v>
      </x:c>
      <x:c r="N171" s="21" t="n">
        <x:v>42540000</x:v>
      </x:c>
      <x:c r="O171" s="21" t="n">
        <x:v>102096</x:v>
      </x:c>
      <x:c r="P171" s="21" t="n">
        <x:f>ROUND(N171*K171,0)</x:f>
        <x:v>102096</x:v>
      </x:c>
      <x:c r="Q171" s="19" t="str">
        <x:v>否</x:v>
      </x:c>
      <x:c r="R171" s="19" t="str"/>
      <x:c r="S171" s="19" t="n">
        <x:f>IF(Q171="是",0,MIN(10,2+IF(C171="高",2,1)+IF(K171&gt;=3%,3,IF(K171&gt;=1%,2,1))+IF(L171="新出现",2,IF(M171&gt;=100%,3,IF(M171&gt;0,2,0)))))</x:f>
        <x:v>7</x:v>
      </x:c>
      <x:c r="T171" s="21"/>
      <x:c r="U171" s="20"/>
      <x:c r="V171" s="19" t="str">
        <x:v>http://omegleweb.com/</x:v>
      </x:c>
      <x:c r="W171" s="19" t="str">
        <x:v>https://pro.similarweb.com/#/digitalsuite/websiteanalysis/referrals/*/999/1m?webSource=Total&amp;selectedTab=incomingTraffic&amp;key=checkout.stripe.com</x:v>
      </x:c>
      <x:c r="X171" s="20" t="n">
        <x:f>IF(Q171="是",0,IFERROR(P171/SUMIFS($P$2:$P$964,$A$2:$A$964,A171,$Q$2:$Q$964,"否"),0))</x:f>
        <x:v>0.0043368268883267076</x:v>
      </x:c>
      <x:c r="Y171" s="22" t="str">
        <x:f>IF(OR(M171="",U171=""),"未交叉",IF(M171*U171&gt;0,"同向",IF(M171*U171&lt;0,"背离","一侧持平")))</x:f>
        <x:v>未交叉</x:v>
      </x:c>
    </x:row>
    <x:row r="172">
      <x:c r="A172" s="18" t="str">
        <x:v>checkout.stripe.com</x:v>
      </x:c>
      <x:c r="B172" s="19" t="str">
        <x:v>专用支付/结账入口</x:v>
      </x:c>
      <x:c r="C172" s="19" t="str">
        <x:v>高</x:v>
      </x:c>
      <x:c r="D172" s="19" t="str">
        <x:v>Jul 2026</x:v>
      </x:c>
      <x:c r="E172" s="19" t="n">
        <x:v>71</x:v>
      </x:c>
      <x:c r="F172" s="19" t="str">
        <x:v>asurascans.com</x:v>
      </x:c>
      <x:c r="G172" s="19" t="str">
        <x:v>Animation and Comics</x:v>
      </x:c>
      <x:c r="H172" s="19" t="str">
        <x:v>游戏、数字商品与虚拟内容</x:v>
      </x:c>
      <x:c r="I172" s="19" t="str">
        <x:v>Similarweb 行业映射</x:v>
      </x:c>
      <x:c r="J172" s="19" t="n">
        <x:v>124</x:v>
      </x:c>
      <x:c r="K172" s="20" t="n">
        <x:v>0.0024</x:v>
      </x:c>
      <x:c r="L172" s="19" t="str">
        <x:v>上升</x:v>
      </x:c>
      <x:c r="M172" s="20" t="n">
        <x:v>5.367000000000001</x:v>
      </x:c>
      <x:c r="N172" s="21" t="n">
        <x:v>42540000</x:v>
      </x:c>
      <x:c r="O172" s="21" t="n">
        <x:v>102096</x:v>
      </x:c>
      <x:c r="P172" s="21" t="n">
        <x:f>ROUND(N172*K172,0)</x:f>
        <x:v>102096</x:v>
      </x:c>
      <x:c r="Q172" s="19" t="str">
        <x:v>否</x:v>
      </x:c>
      <x:c r="R172" s="19" t="str"/>
      <x:c r="S172" s="19" t="n">
        <x:f>IF(Q172="是",0,MIN(10,2+IF(C172="高",2,1)+IF(K172&gt;=3%,3,IF(K172&gt;=1%,2,1))+IF(L172="新出现",2,IF(M172&gt;=100%,3,IF(M172&gt;0,2,0)))))</x:f>
        <x:v>8</x:v>
      </x:c>
      <x:c r="T172" s="21"/>
      <x:c r="U172" s="20"/>
      <x:c r="V172" s="19" t="str">
        <x:v>http://asurascans.com/</x:v>
      </x:c>
      <x:c r="W172" s="19" t="str">
        <x:v>https://pro.similarweb.com/#/digitalsuite/websiteanalysis/referrals/*/999/1m?webSource=Total&amp;selectedTab=incomingTraffic&amp;key=checkout.stripe.com</x:v>
      </x:c>
      <x:c r="X172" s="20" t="n">
        <x:f>IF(Q172="是",0,IFERROR(P172/SUMIFS($P$2:$P$964,$A$2:$A$964,A172,$Q$2:$Q$964,"否"),0))</x:f>
        <x:v>0.0043368268883267076</x:v>
      </x:c>
      <x:c r="Y172" s="22" t="str">
        <x:f>IF(OR(M172="",U172=""),"未交叉",IF(M172*U172&gt;0,"同向",IF(M172*U172&lt;0,"背离","一侧持平")))</x:f>
        <x:v>未交叉</x:v>
      </x:c>
    </x:row>
    <x:row r="173">
      <x:c r="A173" s="18" t="str">
        <x:v>checkout.stripe.com</x:v>
      </x:c>
      <x:c r="B173" s="19" t="str">
        <x:v>专用支付/结账入口</x:v>
      </x:c>
      <x:c r="C173" s="19" t="str">
        <x:v>高</x:v>
      </x:c>
      <x:c r="D173" s="19" t="str">
        <x:v>Jul 2026</x:v>
      </x:c>
      <x:c r="E173" s="19" t="n">
        <x:v>72</x:v>
      </x:c>
      <x:c r="F173" s="19" t="str">
        <x:v>app.devin.ai</x:v>
      </x:c>
      <x:c r="G173" s="19" t="str">
        <x:v>Programming and Developer Software</x:v>
      </x:c>
      <x:c r="H173" s="19" t="str">
        <x:v>AI 开发工具与基础设施</x:v>
      </x:c>
      <x:c r="I173" s="19" t="str">
        <x:v>域名人工识别</x:v>
      </x:c>
      <x:c r="J173" s="19"/>
      <x:c r="K173" s="20" t="n">
        <x:v>0.0023</x:v>
      </x:c>
      <x:c r="L173" s="19" t="str">
        <x:v>下降</x:v>
      </x:c>
      <x:c r="M173" s="20" t="n">
        <x:v>-0.22260000000000002</x:v>
      </x:c>
      <x:c r="N173" s="21" t="n">
        <x:v>42540000</x:v>
      </x:c>
      <x:c r="O173" s="21" t="n">
        <x:v>97842</x:v>
      </x:c>
      <x:c r="P173" s="21" t="n">
        <x:f>ROUND(N173*K173,0)</x:f>
        <x:v>97842</x:v>
      </x:c>
      <x:c r="Q173" s="19" t="str">
        <x:v>否</x:v>
      </x:c>
      <x:c r="R173" s="19" t="str"/>
      <x:c r="S173" s="19" t="n">
        <x:f>IF(Q173="是",0,MIN(10,2+IF(C173="高",2,1)+IF(K173&gt;=3%,3,IF(K173&gt;=1%,2,1))+IF(L173="新出现",2,IF(M173&gt;=100%,3,IF(M173&gt;0,2,0)))))</x:f>
        <x:v>5</x:v>
      </x:c>
      <x:c r="T173" s="21"/>
      <x:c r="U173" s="20"/>
      <x:c r="V173" s="19" t="str">
        <x:v>http://app.devin.ai/</x:v>
      </x:c>
      <x:c r="W173" s="19" t="str">
        <x:v>https://pro.similarweb.com/#/digitalsuite/websiteanalysis/referrals/*/999/1m?webSource=Total&amp;selectedTab=incomingTraffic&amp;key=checkout.stripe.com</x:v>
      </x:c>
      <x:c r="X173" s="20" t="n">
        <x:f>IF(Q173="是",0,IFERROR(P173/SUMIFS($P$2:$P$964,$A$2:$A$964,A173,$Q$2:$Q$964,"否"),0))</x:f>
        <x:v>0.0041561257679797615</x:v>
      </x:c>
      <x:c r="Y173" s="22" t="str">
        <x:f>IF(OR(M173="",U173=""),"未交叉",IF(M173*U173&gt;0,"同向",IF(M173*U173&lt;0,"背离","一侧持平")))</x:f>
        <x:v>未交叉</x:v>
      </x:c>
    </x:row>
    <x:row r="174">
      <x:c r="A174" s="18" t="str">
        <x:v>checkout.stripe.com</x:v>
      </x:c>
      <x:c r="B174" s="19" t="str">
        <x:v>专用支付/结账入口</x:v>
      </x:c>
      <x:c r="C174" s="19" t="str">
        <x:v>高</x:v>
      </x:c>
      <x:c r="D174" s="19" t="str">
        <x:v>Jul 2026</x:v>
      </x:c>
      <x:c r="E174" s="19" t="n">
        <x:v>73</x:v>
      </x:c>
      <x:c r="F174" s="19" t="str">
        <x:v>moneysupermarket.com</x:v>
      </x:c>
      <x:c r="G174" s="19" t="str">
        <x:v>Financial Planning and Management</x:v>
      </x:c>
      <x:c r="H174" s="19" t="str">
        <x:v>金融、支付与交易服务</x:v>
      </x:c>
      <x:c r="I174" s="19" t="str">
        <x:v>Similarweb 行业映射</x:v>
      </x:c>
      <x:c r="J174" s="19" t="n">
        <x:v>6490</x:v>
      </x:c>
      <x:c r="K174" s="20" t="n">
        <x:v>0.0023</x:v>
      </x:c>
      <x:c r="L174" s="19" t="str">
        <x:v>上升</x:v>
      </x:c>
      <x:c r="M174" s="20" t="n">
        <x:v>0.1747</x:v>
      </x:c>
      <x:c r="N174" s="21" t="n">
        <x:v>42540000</x:v>
      </x:c>
      <x:c r="O174" s="21" t="n">
        <x:v>97842</x:v>
      </x:c>
      <x:c r="P174" s="21" t="n">
        <x:f>ROUND(N174*K174,0)</x:f>
        <x:v>97842</x:v>
      </x:c>
      <x:c r="Q174" s="19" t="str">
        <x:v>否</x:v>
      </x:c>
      <x:c r="R174" s="19" t="str"/>
      <x:c r="S174" s="19" t="n">
        <x:f>IF(Q174="是",0,MIN(10,2+IF(C174="高",2,1)+IF(K174&gt;=3%,3,IF(K174&gt;=1%,2,1))+IF(L174="新出现",2,IF(M174&gt;=100%,3,IF(M174&gt;0,2,0)))))</x:f>
        <x:v>7</x:v>
      </x:c>
      <x:c r="T174" s="21"/>
      <x:c r="U174" s="20"/>
      <x:c r="V174" s="19" t="str">
        <x:v>http://moneysupermarket.com/</x:v>
      </x:c>
      <x:c r="W174" s="19" t="str">
        <x:v>https://pro.similarweb.com/#/digitalsuite/websiteanalysis/referrals/*/999/1m?webSource=Total&amp;selectedTab=incomingTraffic&amp;key=checkout.stripe.com</x:v>
      </x:c>
      <x:c r="X174" s="20" t="n">
        <x:f>IF(Q174="是",0,IFERROR(P174/SUMIFS($P$2:$P$964,$A$2:$A$964,A174,$Q$2:$Q$964,"否"),0))</x:f>
        <x:v>0.0041561257679797615</x:v>
      </x:c>
      <x:c r="Y174" s="22" t="str">
        <x:f>IF(OR(M174="",U174=""),"未交叉",IF(M174*U174&gt;0,"同向",IF(M174*U174&lt;0,"背离","一侧持平")))</x:f>
        <x:v>未交叉</x:v>
      </x:c>
    </x:row>
    <x:row r="175">
      <x:c r="A175" s="18" t="str">
        <x:v>checkout.stripe.com</x:v>
      </x:c>
      <x:c r="B175" s="19" t="str">
        <x:v>专用支付/结账入口</x:v>
      </x:c>
      <x:c r="C175" s="19" t="str">
        <x:v>高</x:v>
      </x:c>
      <x:c r="D175" s="19" t="str">
        <x:v>Jul 2026</x:v>
      </x:c>
      <x:c r="E175" s="19" t="n">
        <x:v>74</x:v>
      </x:c>
      <x:c r="F175" s="19" t="str">
        <x:v>reelshort.com</x:v>
      </x:c>
      <x:c r="G175" s="19" t="str">
        <x:v>TV Movies and Streaming</x:v>
      </x:c>
      <x:c r="H175" s="19" t="str">
        <x:v>内容媒体、线下与实体消费</x:v>
      </x:c>
      <x:c r="I175" s="19" t="str">
        <x:v>Similarweb 行业映射</x:v>
      </x:c>
      <x:c r="J175" s="19" t="n">
        <x:v>5109</x:v>
      </x:c>
      <x:c r="K175" s="20" t="n">
        <x:v>0.0023</x:v>
      </x:c>
      <x:c r="L175" s="19" t="str">
        <x:v>下降</x:v>
      </x:c>
      <x:c r="M175" s="20" t="n">
        <x:v>-0.17679999999999998</x:v>
      </x:c>
      <x:c r="N175" s="21" t="n">
        <x:v>42540000</x:v>
      </x:c>
      <x:c r="O175" s="21" t="n">
        <x:v>97842</x:v>
      </x:c>
      <x:c r="P175" s="21" t="n">
        <x:f>ROUND(N175*K175,0)</x:f>
        <x:v>97842</x:v>
      </x:c>
      <x:c r="Q175" s="19" t="str">
        <x:v>否</x:v>
      </x:c>
      <x:c r="R175" s="19" t="str"/>
      <x:c r="S175" s="19" t="n">
        <x:f>IF(Q175="是",0,MIN(10,2+IF(C175="高",2,1)+IF(K175&gt;=3%,3,IF(K175&gt;=1%,2,1))+IF(L175="新出现",2,IF(M175&gt;=100%,3,IF(M175&gt;0,2,0)))))</x:f>
        <x:v>5</x:v>
      </x:c>
      <x:c r="T175" s="21"/>
      <x:c r="U175" s="20"/>
      <x:c r="V175" s="19" t="str">
        <x:v>http://reelshort.com/</x:v>
      </x:c>
      <x:c r="W175" s="19" t="str">
        <x:v>https://pro.similarweb.com/#/digitalsuite/websiteanalysis/referrals/*/999/1m?webSource=Total&amp;selectedTab=incomingTraffic&amp;key=checkout.stripe.com</x:v>
      </x:c>
      <x:c r="X175" s="20" t="n">
        <x:f>IF(Q175="是",0,IFERROR(P175/SUMIFS($P$2:$P$964,$A$2:$A$964,A175,$Q$2:$Q$964,"否"),0))</x:f>
        <x:v>0.0041561257679797615</x:v>
      </x:c>
      <x:c r="Y175" s="22" t="str">
        <x:f>IF(OR(M175="",U175=""),"未交叉",IF(M175*U175&gt;0,"同向",IF(M175*U175&lt;0,"背离","一侧持平")))</x:f>
        <x:v>未交叉</x:v>
      </x:c>
    </x:row>
    <x:row r="176">
      <x:c r="A176" s="18" t="str">
        <x:v>checkout.stripe.com</x:v>
      </x:c>
      <x:c r="B176" s="19" t="str">
        <x:v>专用支付/结账入口</x:v>
      </x:c>
      <x:c r="C176" s="19" t="str">
        <x:v>高</x:v>
      </x:c>
      <x:c r="D176" s="19" t="str">
        <x:v>Jul 2026</x:v>
      </x:c>
      <x:c r="E176" s="19" t="n">
        <x:v>75</x:v>
      </x:c>
      <x:c r="F176" s="19" t="str">
        <x:v>yardbook.com</x:v>
      </x:c>
      <x:c r="G176" s="19" t="str">
        <x:v>Agriculture</x:v>
      </x:c>
      <x:c r="H176" s="19" t="str">
        <x:v>内容媒体、线下与实体消费</x:v>
      </x:c>
      <x:c r="I176" s="19" t="str">
        <x:v>Similarweb 行业映射</x:v>
      </x:c>
      <x:c r="J176" s="19" t="n">
        <x:v>47177</x:v>
      </x:c>
      <x:c r="K176" s="20" t="n">
        <x:v>0.0023</x:v>
      </x:c>
      <x:c r="L176" s="19" t="str">
        <x:v>下降</x:v>
      </x:c>
      <x:c r="M176" s="20" t="n">
        <x:v>-0.055099999999999996</x:v>
      </x:c>
      <x:c r="N176" s="21" t="n">
        <x:v>42540000</x:v>
      </x:c>
      <x:c r="O176" s="21" t="n">
        <x:v>97842</x:v>
      </x:c>
      <x:c r="P176" s="21" t="n">
        <x:f>ROUND(N176*K176,0)</x:f>
        <x:v>97842</x:v>
      </x:c>
      <x:c r="Q176" s="19" t="str">
        <x:v>否</x:v>
      </x:c>
      <x:c r="R176" s="19" t="str"/>
      <x:c r="S176" s="19" t="n">
        <x:f>IF(Q176="是",0,MIN(10,2+IF(C176="高",2,1)+IF(K176&gt;=3%,3,IF(K176&gt;=1%,2,1))+IF(L176="新出现",2,IF(M176&gt;=100%,3,IF(M176&gt;0,2,0)))))</x:f>
        <x:v>5</x:v>
      </x:c>
      <x:c r="T176" s="21"/>
      <x:c r="U176" s="20"/>
      <x:c r="V176" s="19" t="str">
        <x:v>http://yardbook.com/</x:v>
      </x:c>
      <x:c r="W176" s="19" t="str">
        <x:v>https://pro.similarweb.com/#/digitalsuite/websiteanalysis/referrals/*/999/1m?webSource=Total&amp;selectedTab=incomingTraffic&amp;key=checkout.stripe.com</x:v>
      </x:c>
      <x:c r="X176" s="20" t="n">
        <x:f>IF(Q176="是",0,IFERROR(P176/SUMIFS($P$2:$P$964,$A$2:$A$964,A176,$Q$2:$Q$964,"否"),0))</x:f>
        <x:v>0.0041561257679797615</x:v>
      </x:c>
      <x:c r="Y176" s="22" t="str">
        <x:f>IF(OR(M176="",U176=""),"未交叉",IF(M176*U176&gt;0,"同向",IF(M176*U176&lt;0,"背离","一侧持平")))</x:f>
        <x:v>未交叉</x:v>
      </x:c>
    </x:row>
    <x:row r="177">
      <x:c r="A177" s="18" t="str">
        <x:v>checkout.stripe.com</x:v>
      </x:c>
      <x:c r="B177" s="19" t="str">
        <x:v>专用支付/结账入口</x:v>
      </x:c>
      <x:c r="C177" s="19" t="str">
        <x:v>高</x:v>
      </x:c>
      <x:c r="D177" s="19" t="str">
        <x:v>Jul 2026</x:v>
      </x:c>
      <x:c r="E177" s="19" t="n">
        <x:v>76</x:v>
      </x:c>
      <x:c r="F177" s="19" t="str">
        <x:v>claimmoney.com</x:v>
      </x:c>
      <x:c r="G177" s="19" t="str">
        <x:v>Lifestyle</x:v>
      </x:c>
      <x:c r="H177" s="19" t="str">
        <x:v>健康、生活方式与消费服务</x:v>
      </x:c>
      <x:c r="I177" s="19" t="str">
        <x:v>Similarweb 行业映射</x:v>
      </x:c>
      <x:c r="J177" s="19" t="n">
        <x:v>25607</x:v>
      </x:c>
      <x:c r="K177" s="20" t="n">
        <x:v>0.0023</x:v>
      </x:c>
      <x:c r="L177" s="19" t="str">
        <x:v>上升</x:v>
      </x:c>
      <x:c r="M177" s="20" t="n">
        <x:v>0.1346</x:v>
      </x:c>
      <x:c r="N177" s="21" t="n">
        <x:v>42540000</x:v>
      </x:c>
      <x:c r="O177" s="21" t="n">
        <x:v>97842</x:v>
      </x:c>
      <x:c r="P177" s="21" t="n">
        <x:f>ROUND(N177*K177,0)</x:f>
        <x:v>97842</x:v>
      </x:c>
      <x:c r="Q177" s="19" t="str">
        <x:v>否</x:v>
      </x:c>
      <x:c r="R177" s="19" t="str"/>
      <x:c r="S177" s="19" t="n">
        <x:f>IF(Q177="是",0,MIN(10,2+IF(C177="高",2,1)+IF(K177&gt;=3%,3,IF(K177&gt;=1%,2,1))+IF(L177="新出现",2,IF(M177&gt;=100%,3,IF(M177&gt;0,2,0)))))</x:f>
        <x:v>7</x:v>
      </x:c>
      <x:c r="T177" s="21"/>
      <x:c r="U177" s="20"/>
      <x:c r="V177" s="19" t="str">
        <x:v>http://claimmoney.com/</x:v>
      </x:c>
      <x:c r="W177" s="19" t="str">
        <x:v>https://pro.similarweb.com/#/digitalsuite/websiteanalysis/referrals/*/999/1m?webSource=Total&amp;selectedTab=incomingTraffic&amp;key=checkout.stripe.com</x:v>
      </x:c>
      <x:c r="X177" s="20" t="n">
        <x:f>IF(Q177="是",0,IFERROR(P177/SUMIFS($P$2:$P$964,$A$2:$A$964,A177,$Q$2:$Q$964,"否"),0))</x:f>
        <x:v>0.0041561257679797615</x:v>
      </x:c>
      <x:c r="Y177" s="22" t="str">
        <x:f>IF(OR(M177="",U177=""),"未交叉",IF(M177*U177&gt;0,"同向",IF(M177*U177&lt;0,"背离","一侧持平")))</x:f>
        <x:v>未交叉</x:v>
      </x:c>
    </x:row>
    <x:row r="178">
      <x:c r="A178" s="18" t="str">
        <x:v>checkout.stripe.com</x:v>
      </x:c>
      <x:c r="B178" s="19" t="str">
        <x:v>专用支付/结账入口</x:v>
      </x:c>
      <x:c r="C178" s="19" t="str">
        <x:v>高</x:v>
      </x:c>
      <x:c r="D178" s="19" t="str">
        <x:v>Jul 2026</x:v>
      </x:c>
      <x:c r="E178" s="19" t="n">
        <x:v>77</x:v>
      </x:c>
      <x:c r="F178" s="19" t="str">
        <x:v>playtennis.usta.com</x:v>
      </x:c>
      <x:c r="G178" s="19" t="str">
        <x:v>Tennis</x:v>
      </x:c>
      <x:c r="H178" s="19" t="str">
        <x:v>健康、生活方式与消费服务</x:v>
      </x:c>
      <x:c r="I178" s="19" t="str">
        <x:v>Similarweb 行业映射</x:v>
      </x:c>
      <x:c r="J178" s="19"/>
      <x:c r="K178" s="20" t="n">
        <x:v>0.0023</x:v>
      </x:c>
      <x:c r="L178" s="19" t="str">
        <x:v>上升</x:v>
      </x:c>
      <x:c r="M178" s="20" t="n">
        <x:v>0.1247</x:v>
      </x:c>
      <x:c r="N178" s="21" t="n">
        <x:v>42540000</x:v>
      </x:c>
      <x:c r="O178" s="21" t="n">
        <x:v>97842</x:v>
      </x:c>
      <x:c r="P178" s="21" t="n">
        <x:f>ROUND(N178*K178,0)</x:f>
        <x:v>97842</x:v>
      </x:c>
      <x:c r="Q178" s="19" t="str">
        <x:v>否</x:v>
      </x:c>
      <x:c r="R178" s="19" t="str"/>
      <x:c r="S178" s="19" t="n">
        <x:f>IF(Q178="是",0,MIN(10,2+IF(C178="高",2,1)+IF(K178&gt;=3%,3,IF(K178&gt;=1%,2,1))+IF(L178="新出现",2,IF(M178&gt;=100%,3,IF(M178&gt;0,2,0)))))</x:f>
        <x:v>7</x:v>
      </x:c>
      <x:c r="T178" s="21"/>
      <x:c r="U178" s="20"/>
      <x:c r="V178" s="19" t="str">
        <x:v>http://playtennis.usta.com/</x:v>
      </x:c>
      <x:c r="W178" s="19" t="str">
        <x:v>https://pro.similarweb.com/#/digitalsuite/websiteanalysis/referrals/*/999/1m?webSource=Total&amp;selectedTab=incomingTraffic&amp;key=checkout.stripe.com</x:v>
      </x:c>
      <x:c r="X178" s="20" t="n">
        <x:f>IF(Q178="是",0,IFERROR(P178/SUMIFS($P$2:$P$964,$A$2:$A$964,A178,$Q$2:$Q$964,"否"),0))</x:f>
        <x:v>0.0041561257679797615</x:v>
      </x:c>
      <x:c r="Y178" s="22" t="str">
        <x:f>IF(OR(M178="",U178=""),"未交叉",IF(M178*U178&gt;0,"同向",IF(M178*U178&lt;0,"背离","一侧持平")))</x:f>
        <x:v>未交叉</x:v>
      </x:c>
    </x:row>
    <x:row r="179">
      <x:c r="A179" s="18" t="str">
        <x:v>checkout.stripe.com</x:v>
      </x:c>
      <x:c r="B179" s="19" t="str">
        <x:v>专用支付/结账入口</x:v>
      </x:c>
      <x:c r="C179" s="19" t="str">
        <x:v>高</x:v>
      </x:c>
      <x:c r="D179" s="19" t="str">
        <x:v>Jul 2026</x:v>
      </x:c>
      <x:c r="E179" s="19" t="n">
        <x:v>78</x:v>
      </x:c>
      <x:c r="F179" s="19" t="str">
        <x:v>inlead.digital</x:v>
      </x:c>
      <x:c r="G179" s="19" t="str">
        <x:v>Search Engines</x:v>
      </x:c>
      <x:c r="H179" s="19" t="str">
        <x:v>营销、电商与商业 SaaS</x:v>
      </x:c>
      <x:c r="I179" s="19" t="str">
        <x:v>域名人工识别</x:v>
      </x:c>
      <x:c r="J179" s="19" t="n">
        <x:v>41464</x:v>
      </x:c>
      <x:c r="K179" s="20" t="n">
        <x:v>0.0022</x:v>
      </x:c>
      <x:c r="L179" s="19" t="str">
        <x:v>上升</x:v>
      </x:c>
      <x:c r="M179" s="20" t="n">
        <x:v>0.7642</x:v>
      </x:c>
      <x:c r="N179" s="21" t="n">
        <x:v>42540000</x:v>
      </x:c>
      <x:c r="O179" s="21" t="n">
        <x:v>93588</x:v>
      </x:c>
      <x:c r="P179" s="21" t="n">
        <x:f>ROUND(N179*K179,0)</x:f>
        <x:v>93588</x:v>
      </x:c>
      <x:c r="Q179" s="19" t="str">
        <x:v>否</x:v>
      </x:c>
      <x:c r="R179" s="19" t="str"/>
      <x:c r="S179" s="19" t="n">
        <x:f>IF(Q179="是",0,MIN(10,2+IF(C179="高",2,1)+IF(K179&gt;=3%,3,IF(K179&gt;=1%,2,1))+IF(L179="新出现",2,IF(M179&gt;=100%,3,IF(M179&gt;0,2,0)))))</x:f>
        <x:v>7</x:v>
      </x:c>
      <x:c r="T179" s="21"/>
      <x:c r="U179" s="20"/>
      <x:c r="V179" s="19" t="str">
        <x:v>http://inlead.digital/</x:v>
      </x:c>
      <x:c r="W179" s="19" t="str">
        <x:v>https://pro.similarweb.com/#/digitalsuite/websiteanalysis/referrals/*/999/1m?webSource=Total&amp;selectedTab=incomingTraffic&amp;key=checkout.stripe.com</x:v>
      </x:c>
      <x:c r="X179" s="20" t="n">
        <x:f>IF(Q179="是",0,IFERROR(P179/SUMIFS($P$2:$P$964,$A$2:$A$964,A179,$Q$2:$Q$964,"否"),0))</x:f>
        <x:v>0.003975424647632815</x:v>
      </x:c>
      <x:c r="Y179" s="22" t="str">
        <x:f>IF(OR(M179="",U179=""),"未交叉",IF(M179*U179&gt;0,"同向",IF(M179*U179&lt;0,"背离","一侧持平")))</x:f>
        <x:v>未交叉</x:v>
      </x:c>
    </x:row>
    <x:row r="180">
      <x:c r="A180" s="18" t="str">
        <x:v>checkout.stripe.com</x:v>
      </x:c>
      <x:c r="B180" s="19" t="str">
        <x:v>专用支付/结账入口</x:v>
      </x:c>
      <x:c r="C180" s="19" t="str">
        <x:v>高</x:v>
      </x:c>
      <x:c r="D180" s="19" t="str">
        <x:v>Jul 2026</x:v>
      </x:c>
      <x:c r="E180" s="19" t="n">
        <x:v>79</x:v>
      </x:c>
      <x:c r="F180" s="19" t="str">
        <x:v>elmetodosalinas.com</x:v>
      </x:c>
      <x:c r="G180" s="19" t="str">
        <x:v>Unknown</x:v>
      </x:c>
      <x:c r="H180" s="19" t="str">
        <x:v>教育、课程与知识产品</x:v>
      </x:c>
      <x:c r="I180" s="19" t="str">
        <x:v>域名人工识别</x:v>
      </x:c>
      <x:c r="J180" s="19" t="n">
        <x:v>745569</x:v>
      </x:c>
      <x:c r="K180" s="20" t="n">
        <x:v>0.0022</x:v>
      </x:c>
      <x:c r="L180" s="19" t="str">
        <x:v>新出现</x:v>
      </x:c>
      <x:c r="M180" s="20"/>
      <x:c r="N180" s="21" t="n">
        <x:v>42540000</x:v>
      </x:c>
      <x:c r="O180" s="21" t="n">
        <x:v>93588</x:v>
      </x:c>
      <x:c r="P180" s="21" t="n">
        <x:f>ROUND(N180*K180,0)</x:f>
        <x:v>93588</x:v>
      </x:c>
      <x:c r="Q180" s="19" t="str">
        <x:v>否</x:v>
      </x:c>
      <x:c r="R180" s="19" t="str"/>
      <x:c r="S180" s="19" t="n">
        <x:f>IF(Q180="是",0,MIN(10,2+IF(C180="高",2,1)+IF(K180&gt;=3%,3,IF(K180&gt;=1%,2,1))+IF(L180="新出现",2,IF(M180&gt;=100%,3,IF(M180&gt;0,2,0)))))</x:f>
        <x:v>7</x:v>
      </x:c>
      <x:c r="T180" s="21"/>
      <x:c r="U180" s="20"/>
      <x:c r="V180" s="19" t="str">
        <x:v>http://elmetodosalinas.com/</x:v>
      </x:c>
      <x:c r="W180" s="19" t="str">
        <x:v>https://pro.similarweb.com/#/digitalsuite/websiteanalysis/referrals/*/999/1m?webSource=Total&amp;selectedTab=incomingTraffic&amp;key=checkout.stripe.com</x:v>
      </x:c>
      <x:c r="X180" s="20" t="n">
        <x:f>IF(Q180="是",0,IFERROR(P180/SUMIFS($P$2:$P$964,$A$2:$A$964,A180,$Q$2:$Q$964,"否"),0))</x:f>
        <x:v>0.003975424647632815</x:v>
      </x:c>
      <x:c r="Y180" s="22" t="str">
        <x:f>IF(OR(M180="",U180=""),"未交叉",IF(M180*U180&gt;0,"同向",IF(M180*U180&lt;0,"背离","一侧持平")))</x:f>
        <x:v>未交叉</x:v>
      </x:c>
    </x:row>
    <x:row r="181">
      <x:c r="A181" s="18" t="str">
        <x:v>checkout.stripe.com</x:v>
      </x:c>
      <x:c r="B181" s="19" t="str">
        <x:v>专用支付/结账入口</x:v>
      </x:c>
      <x:c r="C181" s="19" t="str">
        <x:v>高</x:v>
      </x:c>
      <x:c r="D181" s="19" t="str">
        <x:v>Jul 2026</x:v>
      </x:c>
      <x:c r="E181" s="19" t="n">
        <x:v>80</x:v>
      </x:c>
      <x:c r="F181" s="19" t="str">
        <x:v>skills.google</x:v>
      </x:c>
      <x:c r="G181" s="19" t="str">
        <x:v>Programming and Developer Software</x:v>
      </x:c>
      <x:c r="H181" s="19" t="str">
        <x:v>教育、课程与知识产品</x:v>
      </x:c>
      <x:c r="I181" s="19" t="str">
        <x:v>域名人工识别</x:v>
      </x:c>
      <x:c r="J181" s="19" t="n">
        <x:v>5775</x:v>
      </x:c>
      <x:c r="K181" s="20" t="n">
        <x:v>0.0022</x:v>
      </x:c>
      <x:c r="L181" s="19" t="str">
        <x:v>下降</x:v>
      </x:c>
      <x:c r="M181" s="20" t="n">
        <x:v>-0.1654</x:v>
      </x:c>
      <x:c r="N181" s="21" t="n">
        <x:v>42540000</x:v>
      </x:c>
      <x:c r="O181" s="21" t="n">
        <x:v>93588</x:v>
      </x:c>
      <x:c r="P181" s="21" t="n">
        <x:f>ROUND(N181*K181,0)</x:f>
        <x:v>93588</x:v>
      </x:c>
      <x:c r="Q181" s="19" t="str">
        <x:v>否</x:v>
      </x:c>
      <x:c r="R181" s="19" t="str"/>
      <x:c r="S181" s="19" t="n">
        <x:f>IF(Q181="是",0,MIN(10,2+IF(C181="高",2,1)+IF(K181&gt;=3%,3,IF(K181&gt;=1%,2,1))+IF(L181="新出现",2,IF(M181&gt;=100%,3,IF(M181&gt;0,2,0)))))</x:f>
        <x:v>5</x:v>
      </x:c>
      <x:c r="T181" s="21"/>
      <x:c r="U181" s="20"/>
      <x:c r="V181" s="19" t="str">
        <x:v>http://skills.google/</x:v>
      </x:c>
      <x:c r="W181" s="19" t="str">
        <x:v>https://pro.similarweb.com/#/digitalsuite/websiteanalysis/referrals/*/999/1m?webSource=Total&amp;selectedTab=incomingTraffic&amp;key=checkout.stripe.com</x:v>
      </x:c>
      <x:c r="X181" s="20" t="n">
        <x:f>IF(Q181="是",0,IFERROR(P181/SUMIFS($P$2:$P$964,$A$2:$A$964,A181,$Q$2:$Q$964,"否"),0))</x:f>
        <x:v>0.003975424647632815</x:v>
      </x:c>
      <x:c r="Y181" s="22" t="str">
        <x:f>IF(OR(M181="",U181=""),"未交叉",IF(M181*U181&gt;0,"同向",IF(M181*U181&lt;0,"背离","一侧持平")))</x:f>
        <x:v>未交叉</x:v>
      </x:c>
    </x:row>
    <x:row r="182">
      <x:c r="A182" s="18" t="str">
        <x:v>checkout.stripe.com</x:v>
      </x:c>
      <x:c r="B182" s="19" t="str">
        <x:v>专用支付/结账入口</x:v>
      </x:c>
      <x:c r="C182" s="19" t="str">
        <x:v>高</x:v>
      </x:c>
      <x:c r="D182" s="19" t="str">
        <x:v>Jul 2026</x:v>
      </x:c>
      <x:c r="E182" s="19" t="n">
        <x:v>81</x:v>
      </x:c>
      <x:c r="F182" s="19" t="str">
        <x:v>app.winninghunter.com</x:v>
      </x:c>
      <x:c r="G182" s="19" t="str">
        <x:v>Business Services</x:v>
      </x:c>
      <x:c r="H182" s="19" t="str">
        <x:v>营销、电商与商业 SaaS</x:v>
      </x:c>
      <x:c r="I182" s="19" t="str">
        <x:v>域名人工识别</x:v>
      </x:c>
      <x:c r="J182" s="19"/>
      <x:c r="K182" s="20" t="n">
        <x:v>0.0022</x:v>
      </x:c>
      <x:c r="L182" s="19" t="str">
        <x:v>上升</x:v>
      </x:c>
      <x:c r="M182" s="20" t="n">
        <x:v>0.0885</x:v>
      </x:c>
      <x:c r="N182" s="21" t="n">
        <x:v>42540000</x:v>
      </x:c>
      <x:c r="O182" s="21" t="n">
        <x:v>93588</x:v>
      </x:c>
      <x:c r="P182" s="21" t="n">
        <x:f>ROUND(N182*K182,0)</x:f>
        <x:v>93588</x:v>
      </x:c>
      <x:c r="Q182" s="19" t="str">
        <x:v>否</x:v>
      </x:c>
      <x:c r="R182" s="19" t="str"/>
      <x:c r="S182" s="19" t="n">
        <x:f>IF(Q182="是",0,MIN(10,2+IF(C182="高",2,1)+IF(K182&gt;=3%,3,IF(K182&gt;=1%,2,1))+IF(L182="新出现",2,IF(M182&gt;=100%,3,IF(M182&gt;0,2,0)))))</x:f>
        <x:v>7</x:v>
      </x:c>
      <x:c r="T182" s="21"/>
      <x:c r="U182" s="20"/>
      <x:c r="V182" s="19" t="str">
        <x:v>http://app.winninghunter.com/</x:v>
      </x:c>
      <x:c r="W182" s="19" t="str">
        <x:v>https://pro.similarweb.com/#/digitalsuite/websiteanalysis/referrals/*/999/1m?webSource=Total&amp;selectedTab=incomingTraffic&amp;key=checkout.stripe.com</x:v>
      </x:c>
      <x:c r="X182" s="20" t="n">
        <x:f>IF(Q182="是",0,IFERROR(P182/SUMIFS($P$2:$P$964,$A$2:$A$964,A182,$Q$2:$Q$964,"否"),0))</x:f>
        <x:v>0.003975424647632815</x:v>
      </x:c>
      <x:c r="Y182" s="22" t="str">
        <x:f>IF(OR(M182="",U182=""),"未交叉",IF(M182*U182&gt;0,"同向",IF(M182*U182&lt;0,"背离","一侧持平")))</x:f>
        <x:v>未交叉</x:v>
      </x:c>
    </x:row>
    <x:row r="183">
      <x:c r="A183" s="18" t="str">
        <x:v>checkout.stripe.com</x:v>
      </x:c>
      <x:c r="B183" s="19" t="str">
        <x:v>专用支付/结账入口</x:v>
      </x:c>
      <x:c r="C183" s="19" t="str">
        <x:v>高</x:v>
      </x:c>
      <x:c r="D183" s="19" t="str">
        <x:v>Jul 2026</x:v>
      </x:c>
      <x:c r="E183" s="19" t="n">
        <x:v>82</x:v>
      </x:c>
      <x:c r="F183" s="19" t="str">
        <x:v>ollama.com</x:v>
      </x:c>
      <x:c r="G183" s="19" t="str">
        <x:v>Programming and Developer Software</x:v>
      </x:c>
      <x:c r="H183" s="19" t="str">
        <x:v>AI 开发工具与基础设施</x:v>
      </x:c>
      <x:c r="I183" s="19" t="str">
        <x:v>域名人工识别</x:v>
      </x:c>
      <x:c r="J183" s="19" t="n">
        <x:v>5220</x:v>
      </x:c>
      <x:c r="K183" s="20" t="n">
        <x:v>0.0021</x:v>
      </x:c>
      <x:c r="L183" s="19" t="str">
        <x:v>下降</x:v>
      </x:c>
      <x:c r="M183" s="20" t="n">
        <x:v>-0.1902</x:v>
      </x:c>
      <x:c r="N183" s="21" t="n">
        <x:v>42540000</x:v>
      </x:c>
      <x:c r="O183" s="21" t="n">
        <x:v>89334</x:v>
      </x:c>
      <x:c r="P183" s="21" t="n">
        <x:f>ROUND(N183*K183,0)</x:f>
        <x:v>89334</x:v>
      </x:c>
      <x:c r="Q183" s="19" t="str">
        <x:v>否</x:v>
      </x:c>
      <x:c r="R183" s="19" t="str"/>
      <x:c r="S183" s="19" t="n">
        <x:f>IF(Q183="是",0,MIN(10,2+IF(C183="高",2,1)+IF(K183&gt;=3%,3,IF(K183&gt;=1%,2,1))+IF(L183="新出现",2,IF(M183&gt;=100%,3,IF(M183&gt;0,2,0)))))</x:f>
        <x:v>5</x:v>
      </x:c>
      <x:c r="T183" s="21"/>
      <x:c r="U183" s="20"/>
      <x:c r="V183" s="19" t="str">
        <x:v>http://ollama.com/</x:v>
      </x:c>
      <x:c r="W183" s="19" t="str">
        <x:v>https://pro.similarweb.com/#/digitalsuite/websiteanalysis/referrals/*/999/1m?webSource=Total&amp;selectedTab=incomingTraffic&amp;key=checkout.stripe.com</x:v>
      </x:c>
      <x:c r="X183" s="20" t="n">
        <x:f>IF(Q183="是",0,IFERROR(P183/SUMIFS($P$2:$P$964,$A$2:$A$964,A183,$Q$2:$Q$964,"否"),0))</x:f>
        <x:v>0.0037947235272858693</x:v>
      </x:c>
      <x:c r="Y183" s="22" t="str">
        <x:f>IF(OR(M183="",U183=""),"未交叉",IF(M183*U183&gt;0,"同向",IF(M183*U183&lt;0,"背离","一侧持平")))</x:f>
        <x:v>未交叉</x:v>
      </x:c>
    </x:row>
    <x:row r="184">
      <x:c r="A184" s="18" t="str">
        <x:v>checkout.stripe.com</x:v>
      </x:c>
      <x:c r="B184" s="19" t="str">
        <x:v>专用支付/结账入口</x:v>
      </x:c>
      <x:c r="C184" s="19" t="str">
        <x:v>高</x:v>
      </x:c>
      <x:c r="D184" s="19" t="str">
        <x:v>Jul 2026</x:v>
      </x:c>
      <x:c r="E184" s="19" t="n">
        <x:v>83</x:v>
      </x:c>
      <x:c r="F184" s="19" t="str">
        <x:v>kalodata.com</x:v>
      </x:c>
      <x:c r="G184" s="19" t="str">
        <x:v>Graphics Multimedia and Web Design</x:v>
      </x:c>
      <x:c r="H184" s="19" t="str">
        <x:v>营销、电商与商业 SaaS</x:v>
      </x:c>
      <x:c r="I184" s="19" t="str">
        <x:v>域名人工识别</x:v>
      </x:c>
      <x:c r="J184" s="19" t="n">
        <x:v>32004</x:v>
      </x:c>
      <x:c r="K184" s="20" t="n">
        <x:v>0.0021</x:v>
      </x:c>
      <x:c r="L184" s="19" t="str">
        <x:v>上升</x:v>
      </x:c>
      <x:c r="M184" s="20" t="n">
        <x:v>0.165</x:v>
      </x:c>
      <x:c r="N184" s="21" t="n">
        <x:v>42540000</x:v>
      </x:c>
      <x:c r="O184" s="21" t="n">
        <x:v>89334</x:v>
      </x:c>
      <x:c r="P184" s="21" t="n">
        <x:f>ROUND(N184*K184,0)</x:f>
        <x:v>89334</x:v>
      </x:c>
      <x:c r="Q184" s="19" t="str">
        <x:v>否</x:v>
      </x:c>
      <x:c r="R184" s="19" t="str"/>
      <x:c r="S184" s="19" t="n">
        <x:f>IF(Q184="是",0,MIN(10,2+IF(C184="高",2,1)+IF(K184&gt;=3%,3,IF(K184&gt;=1%,2,1))+IF(L184="新出现",2,IF(M184&gt;=100%,3,IF(M184&gt;0,2,0)))))</x:f>
        <x:v>7</x:v>
      </x:c>
      <x:c r="T184" s="21"/>
      <x:c r="U184" s="20"/>
      <x:c r="V184" s="19" t="str">
        <x:v>http://kalodata.com/</x:v>
      </x:c>
      <x:c r="W184" s="19" t="str">
        <x:v>https://pro.similarweb.com/#/digitalsuite/websiteanalysis/referrals/*/999/1m?webSource=Total&amp;selectedTab=incomingTraffic&amp;key=checkout.stripe.com</x:v>
      </x:c>
      <x:c r="X184" s="20" t="n">
        <x:f>IF(Q184="是",0,IFERROR(P184/SUMIFS($P$2:$P$964,$A$2:$A$964,A184,$Q$2:$Q$964,"否"),0))</x:f>
        <x:v>0.0037947235272858693</x:v>
      </x:c>
      <x:c r="Y184" s="22" t="str">
        <x:f>IF(OR(M184="",U184=""),"未交叉",IF(M184*U184&gt;0,"同向",IF(M184*U184&lt;0,"背离","一侧持平")))</x:f>
        <x:v>未交叉</x:v>
      </x:c>
    </x:row>
    <x:row r="185">
      <x:c r="A185" s="18" t="str">
        <x:v>checkout.stripe.com</x:v>
      </x:c>
      <x:c r="B185" s="19" t="str">
        <x:v>专用支付/结账入口</x:v>
      </x:c>
      <x:c r="C185" s="19" t="str">
        <x:v>高</x:v>
      </x:c>
      <x:c r="D185" s="19" t="str">
        <x:v>Jul 2026</x:v>
      </x:c>
      <x:c r="E185" s="19" t="n">
        <x:v>84</x:v>
      </x:c>
      <x:c r="F185" s="19" t="str">
        <x:v>app.arcads.ai</x:v>
      </x:c>
      <x:c r="G185" s="19" t="str">
        <x:v>Graphics Multimedia and Web Design</x:v>
      </x:c>
      <x:c r="H185" s="19" t="str">
        <x:v>AI 内容生成与创作</x:v>
      </x:c>
      <x:c r="I185" s="19" t="str">
        <x:v>域名人工/关键词识别</x:v>
      </x:c>
      <x:c r="J185" s="19"/>
      <x:c r="K185" s="20" t="n">
        <x:v>0.0021</x:v>
      </x:c>
      <x:c r="L185" s="19" t="str">
        <x:v>下降</x:v>
      </x:c>
      <x:c r="M185" s="20" t="n">
        <x:v>-0.2539</x:v>
      </x:c>
      <x:c r="N185" s="21" t="n">
        <x:v>42540000</x:v>
      </x:c>
      <x:c r="O185" s="21" t="n">
        <x:v>89334</x:v>
      </x:c>
      <x:c r="P185" s="21" t="n">
        <x:f>ROUND(N185*K185,0)</x:f>
        <x:v>89334</x:v>
      </x:c>
      <x:c r="Q185" s="19" t="str">
        <x:v>否</x:v>
      </x:c>
      <x:c r="R185" s="19" t="str"/>
      <x:c r="S185" s="19" t="n">
        <x:f>IF(Q185="是",0,MIN(10,2+IF(C185="高",2,1)+IF(K185&gt;=3%,3,IF(K185&gt;=1%,2,1))+IF(L185="新出现",2,IF(M185&gt;=100%,3,IF(M185&gt;0,2,0)))))</x:f>
        <x:v>5</x:v>
      </x:c>
      <x:c r="T185" s="21"/>
      <x:c r="U185" s="20"/>
      <x:c r="V185" s="19" t="str">
        <x:v>http://app.arcads.ai/</x:v>
      </x:c>
      <x:c r="W185" s="19" t="str">
        <x:v>https://pro.similarweb.com/#/digitalsuite/websiteanalysis/referrals/*/999/1m?webSource=Total&amp;selectedTab=incomingTraffic&amp;key=checkout.stripe.com</x:v>
      </x:c>
      <x:c r="X185" s="20" t="n">
        <x:f>IF(Q185="是",0,IFERROR(P185/SUMIFS($P$2:$P$964,$A$2:$A$964,A185,$Q$2:$Q$964,"否"),0))</x:f>
        <x:v>0.0037947235272858693</x:v>
      </x:c>
      <x:c r="Y185" s="22" t="str">
        <x:f>IF(OR(M185="",U185=""),"未交叉",IF(M185*U185&gt;0,"同向",IF(M185*U185&lt;0,"背离","一侧持平")))</x:f>
        <x:v>未交叉</x:v>
      </x:c>
    </x:row>
    <x:row r="186">
      <x:c r="A186" s="18" t="str">
        <x:v>checkout.stripe.com</x:v>
      </x:c>
      <x:c r="B186" s="19" t="str">
        <x:v>专用支付/结账入口</x:v>
      </x:c>
      <x:c r="C186" s="19" t="str">
        <x:v>高</x:v>
      </x:c>
      <x:c r="D186" s="19" t="str">
        <x:v>Jul 2026</x:v>
      </x:c>
      <x:c r="E186" s="19" t="n">
        <x:v>85</x:v>
      </x:c>
      <x:c r="F186" s="19" t="str">
        <x:v>payments.klarna.com</x:v>
      </x:c>
      <x:c r="G186" s="19" t="str">
        <x:v>Fashion and Apparel</x:v>
      </x:c>
      <x:c r="H186" s="19" t="str">
        <x:v>内容媒体、线下与实体消费</x:v>
      </x:c>
      <x:c r="I186" s="19" t="str">
        <x:v>Similarweb 行业映射</x:v>
      </x:c>
      <x:c r="J186" s="19"/>
      <x:c r="K186" s="20" t="n">
        <x:v>0.0021</x:v>
      </x:c>
      <x:c r="L186" s="19" t="str">
        <x:v>上升</x:v>
      </x:c>
      <x:c r="M186" s="20" t="n">
        <x:v>0.748</x:v>
      </x:c>
      <x:c r="N186" s="21" t="n">
        <x:v>42540000</x:v>
      </x:c>
      <x:c r="O186" s="21" t="n">
        <x:v>89334</x:v>
      </x:c>
      <x:c r="P186" s="21" t="n">
        <x:f>ROUND(N186*K186,0)</x:f>
        <x:v>89334</x:v>
      </x:c>
      <x:c r="Q186" s="19" t="str">
        <x:v>是</x:v>
      </x:c>
      <x:c r="R186" s="19" t="str">
        <x:v>支付平台、自引荐或流量中介</x:v>
      </x:c>
      <x:c r="S186" s="19" t="n">
        <x:f>IF(Q186="是",0,MIN(10,2+IF(C186="高",2,1)+IF(K186&gt;=3%,3,IF(K186&gt;=1%,2,1))+IF(L186="新出现",2,IF(M186&gt;=100%,3,IF(M186&gt;0,2,0)))))</x:f>
        <x:v>0</x:v>
      </x:c>
      <x:c r="T186" s="21"/>
      <x:c r="U186" s="20"/>
      <x:c r="V186" s="19" t="str">
        <x:v>http://payments.klarna.com/</x:v>
      </x:c>
      <x:c r="W186" s="19" t="str">
        <x:v>https://pro.similarweb.com/#/digitalsuite/websiteanalysis/referrals/*/999/1m?webSource=Total&amp;selectedTab=incomingTraffic&amp;key=checkout.stripe.com</x:v>
      </x:c>
      <x:c r="X186" s="20" t="n">
        <x:f>IF(Q186="是",0,IFERROR(P186/SUMIFS($P$2:$P$964,$A$2:$A$964,A186,$Q$2:$Q$964,"否"),0))</x:f>
        <x:v>0</x:v>
      </x:c>
      <x:c r="Y186" s="22" t="str">
        <x:f>IF(OR(M186="",U186=""),"未交叉",IF(M186*U186&gt;0,"同向",IF(M186*U186&lt;0,"背离","一侧持平")))</x:f>
        <x:v>未交叉</x:v>
      </x:c>
    </x:row>
    <x:row r="187">
      <x:c r="A187" s="18" t="str">
        <x:v>checkout.stripe.com</x:v>
      </x:c>
      <x:c r="B187" s="19" t="str">
        <x:v>专用支付/结账入口</x:v>
      </x:c>
      <x:c r="C187" s="19" t="str">
        <x:v>高</x:v>
      </x:c>
      <x:c r="D187" s="19" t="str">
        <x:v>Jul 2026</x:v>
      </x:c>
      <x:c r="E187" s="19" t="n">
        <x:v>86</x:v>
      </x:c>
      <x:c r="F187" s="19" t="str">
        <x:v>uploadhaven.com</x:v>
      </x:c>
      <x:c r="G187" s="19" t="str">
        <x:v>Video Games Consoles and Accessories</x:v>
      </x:c>
      <x:c r="H187" s="19" t="str">
        <x:v>游戏、数字商品与虚拟内容</x:v>
      </x:c>
      <x:c r="I187" s="19" t="str">
        <x:v>Similarweb 行业映射</x:v>
      </x:c>
      <x:c r="J187" s="19" t="n">
        <x:v>10559</x:v>
      </x:c>
      <x:c r="K187" s="20" t="n">
        <x:v>0.0019</x:v>
      </x:c>
      <x:c r="L187" s="19" t="str">
        <x:v>上升</x:v>
      </x:c>
      <x:c r="M187" s="20" t="n">
        <x:v>0.06269999999999999</x:v>
      </x:c>
      <x:c r="N187" s="21" t="n">
        <x:v>42540000</x:v>
      </x:c>
      <x:c r="O187" s="21" t="n">
        <x:v>80826</x:v>
      </x:c>
      <x:c r="P187" s="21" t="n">
        <x:f>ROUND(N187*K187,0)</x:f>
        <x:v>80826</x:v>
      </x:c>
      <x:c r="Q187" s="19" t="str">
        <x:v>否</x:v>
      </x:c>
      <x:c r="R187" s="19" t="str"/>
      <x:c r="S187" s="19" t="n">
        <x:f>IF(Q187="是",0,MIN(10,2+IF(C187="高",2,1)+IF(K187&gt;=3%,3,IF(K187&gt;=1%,2,1))+IF(L187="新出现",2,IF(M187&gt;=100%,3,IF(M187&gt;0,2,0)))))</x:f>
        <x:v>7</x:v>
      </x:c>
      <x:c r="T187" s="21"/>
      <x:c r="U187" s="20"/>
      <x:c r="V187" s="19" t="str">
        <x:v>http://uploadhaven.com/</x:v>
      </x:c>
      <x:c r="W187" s="19" t="str">
        <x:v>https://pro.similarweb.com/#/digitalsuite/websiteanalysis/referrals/*/999/1m?webSource=Total&amp;selectedTab=incomingTraffic&amp;key=checkout.stripe.com</x:v>
      </x:c>
      <x:c r="X187" s="20" t="n">
        <x:f>IF(Q187="是",0,IFERROR(P187/SUMIFS($P$2:$P$964,$A$2:$A$964,A187,$Q$2:$Q$964,"否"),0))</x:f>
        <x:v>0.0034333212865919767</x:v>
      </x:c>
      <x:c r="Y187" s="22" t="str">
        <x:f>IF(OR(M187="",U187=""),"未交叉",IF(M187*U187&gt;0,"同向",IF(M187*U187&lt;0,"背离","一侧持平")))</x:f>
        <x:v>未交叉</x:v>
      </x:c>
    </x:row>
    <x:row r="188">
      <x:c r="A188" s="18" t="str">
        <x:v>checkout.stripe.com</x:v>
      </x:c>
      <x:c r="B188" s="19" t="str">
        <x:v>专用支付/结账入口</x:v>
      </x:c>
      <x:c r="C188" s="19" t="str">
        <x:v>高</x:v>
      </x:c>
      <x:c r="D188" s="19" t="str">
        <x:v>Jul 2026</x:v>
      </x:c>
      <x:c r="E188" s="19" t="n">
        <x:v>87</x:v>
      </x:c>
      <x:c r="F188" s="19" t="str">
        <x:v>tubepull.com</x:v>
      </x:c>
      <x:c r="G188" s="19" t="str">
        <x:v>Search Engines</x:v>
      </x:c>
      <x:c r="H188" s="19" t="str">
        <x:v>营销、生产力与商业服务</x:v>
      </x:c>
      <x:c r="I188" s="19" t="str">
        <x:v>Similarweb 行业映射</x:v>
      </x:c>
      <x:c r="J188" s="19" t="n">
        <x:v>20654</x:v>
      </x:c>
      <x:c r="K188" s="20" t="n">
        <x:v>0.0019</x:v>
      </x:c>
      <x:c r="L188" s="19" t="str">
        <x:v>上升</x:v>
      </x:c>
      <x:c r="M188" s="20" t="n">
        <x:v>1.609</x:v>
      </x:c>
      <x:c r="N188" s="21" t="n">
        <x:v>42540000</x:v>
      </x:c>
      <x:c r="O188" s="21" t="n">
        <x:v>80826</x:v>
      </x:c>
      <x:c r="P188" s="21" t="n">
        <x:f>ROUND(N188*K188,0)</x:f>
        <x:v>80826</x:v>
      </x:c>
      <x:c r="Q188" s="19" t="str">
        <x:v>否</x:v>
      </x:c>
      <x:c r="R188" s="19" t="str"/>
      <x:c r="S188" s="19" t="n">
        <x:f>IF(Q188="是",0,MIN(10,2+IF(C188="高",2,1)+IF(K188&gt;=3%,3,IF(K188&gt;=1%,2,1))+IF(L188="新出现",2,IF(M188&gt;=100%,3,IF(M188&gt;0,2,0)))))</x:f>
        <x:v>8</x:v>
      </x:c>
      <x:c r="T188" s="21"/>
      <x:c r="U188" s="20"/>
      <x:c r="V188" s="19" t="str">
        <x:v>http://tubepull.com/</x:v>
      </x:c>
      <x:c r="W188" s="19" t="str">
        <x:v>https://pro.similarweb.com/#/digitalsuite/websiteanalysis/referrals/*/999/1m?webSource=Total&amp;selectedTab=incomingTraffic&amp;key=checkout.stripe.com</x:v>
      </x:c>
      <x:c r="X188" s="20" t="n">
        <x:f>IF(Q188="是",0,IFERROR(P188/SUMIFS($P$2:$P$964,$A$2:$A$964,A188,$Q$2:$Q$964,"否"),0))</x:f>
        <x:v>0.0034333212865919767</x:v>
      </x:c>
      <x:c r="Y188" s="22" t="str">
        <x:f>IF(OR(M188="",U188=""),"未交叉",IF(M188*U188&gt;0,"同向",IF(M188*U188&lt;0,"背离","一侧持平")))</x:f>
        <x:v>未交叉</x:v>
      </x:c>
    </x:row>
    <x:row r="189">
      <x:c r="A189" s="18" t="str">
        <x:v>checkout.stripe.com</x:v>
      </x:c>
      <x:c r="B189" s="19" t="str">
        <x:v>专用支付/结账入口</x:v>
      </x:c>
      <x:c r="C189" s="19" t="str">
        <x:v>高</x:v>
      </x:c>
      <x:c r="D189" s="19" t="str">
        <x:v>Jul 2026</x:v>
      </x:c>
      <x:c r="E189" s="19" t="n">
        <x:v>88</x:v>
      </x:c>
      <x:c r="F189" s="19" t="str">
        <x:v>cuisineaz.com</x:v>
      </x:c>
      <x:c r="G189" s="19" t="str">
        <x:v>Cooking and Recipes</x:v>
      </x:c>
      <x:c r="H189" s="19" t="str">
        <x:v>内容媒体、线下与实体消费</x:v>
      </x:c>
      <x:c r="I189" s="19" t="str">
        <x:v>Similarweb 行业映射</x:v>
      </x:c>
      <x:c r="J189" s="19" t="n">
        <x:v>3836</x:v>
      </x:c>
      <x:c r="K189" s="20" t="n">
        <x:v>0.0019</x:v>
      </x:c>
      <x:c r="L189" s="19" t="str">
        <x:v>下降</x:v>
      </x:c>
      <x:c r="M189" s="20" t="n">
        <x:v>-0.0392</x:v>
      </x:c>
      <x:c r="N189" s="21" t="n">
        <x:v>42540000</x:v>
      </x:c>
      <x:c r="O189" s="21" t="n">
        <x:v>80826</x:v>
      </x:c>
      <x:c r="P189" s="21" t="n">
        <x:f>ROUND(N189*K189,0)</x:f>
        <x:v>80826</x:v>
      </x:c>
      <x:c r="Q189" s="19" t="str">
        <x:v>否</x:v>
      </x:c>
      <x:c r="R189" s="19" t="str"/>
      <x:c r="S189" s="19" t="n">
        <x:f>IF(Q189="是",0,MIN(10,2+IF(C189="高",2,1)+IF(K189&gt;=3%,3,IF(K189&gt;=1%,2,1))+IF(L189="新出现",2,IF(M189&gt;=100%,3,IF(M189&gt;0,2,0)))))</x:f>
        <x:v>5</x:v>
      </x:c>
      <x:c r="T189" s="21"/>
      <x:c r="U189" s="20"/>
      <x:c r="V189" s="19" t="str">
        <x:v>http://cuisineaz.com/</x:v>
      </x:c>
      <x:c r="W189" s="19" t="str">
        <x:v>https://pro.similarweb.com/#/digitalsuite/websiteanalysis/referrals/*/999/1m?webSource=Total&amp;selectedTab=incomingTraffic&amp;key=checkout.stripe.com</x:v>
      </x:c>
      <x:c r="X189" s="20" t="n">
        <x:f>IF(Q189="是",0,IFERROR(P189/SUMIFS($P$2:$P$964,$A$2:$A$964,A189,$Q$2:$Q$964,"否"),0))</x:f>
        <x:v>0.0034333212865919767</x:v>
      </x:c>
      <x:c r="Y189" s="22" t="str">
        <x:f>IF(OR(M189="",U189=""),"未交叉",IF(M189*U189&gt;0,"同向",IF(M189*U189&lt;0,"背离","一侧持平")))</x:f>
        <x:v>未交叉</x:v>
      </x:c>
    </x:row>
    <x:row r="190">
      <x:c r="A190" s="18" t="str">
        <x:v>checkout.stripe.com</x:v>
      </x:c>
      <x:c r="B190" s="19" t="str">
        <x:v>专用支付/结账入口</x:v>
      </x:c>
      <x:c r="C190" s="19" t="str">
        <x:v>高</x:v>
      </x:c>
      <x:c r="D190" s="19" t="str">
        <x:v>Jul 2026</x:v>
      </x:c>
      <x:c r="E190" s="19" t="n">
        <x:v>89</x:v>
      </x:c>
      <x:c r="F190" s="19" t="str">
        <x:v>hailuoai.video</x:v>
      </x:c>
      <x:c r="G190" s="19" t="str">
        <x:v>Graphics Multimedia and Web Design</x:v>
      </x:c>
      <x:c r="H190" s="19" t="str">
        <x:v>AI 内容生成与创作</x:v>
      </x:c>
      <x:c r="I190" s="19" t="str">
        <x:v>域名人工/关键词识别</x:v>
      </x:c>
      <x:c r="J190" s="19" t="n">
        <x:v>14077</x:v>
      </x:c>
      <x:c r="K190" s="20" t="n">
        <x:v>0.0018</x:v>
      </x:c>
      <x:c r="L190" s="19" t="str">
        <x:v>上升</x:v>
      </x:c>
      <x:c r="M190" s="20" t="n">
        <x:v>0.5192</x:v>
      </x:c>
      <x:c r="N190" s="21" t="n">
        <x:v>42540000</x:v>
      </x:c>
      <x:c r="O190" s="21" t="n">
        <x:v>76572</x:v>
      </x:c>
      <x:c r="P190" s="21" t="n">
        <x:f>ROUND(N190*K190,0)</x:f>
        <x:v>76572</x:v>
      </x:c>
      <x:c r="Q190" s="19" t="str">
        <x:v>否</x:v>
      </x:c>
      <x:c r="R190" s="19" t="str"/>
      <x:c r="S190" s="19" t="n">
        <x:f>IF(Q190="是",0,MIN(10,2+IF(C190="高",2,1)+IF(K190&gt;=3%,3,IF(K190&gt;=1%,2,1))+IF(L190="新出现",2,IF(M190&gt;=100%,3,IF(M190&gt;0,2,0)))))</x:f>
        <x:v>7</x:v>
      </x:c>
      <x:c r="T190" s="21"/>
      <x:c r="U190" s="20"/>
      <x:c r="V190" s="19" t="str">
        <x:v>http://hailuoai.video/</x:v>
      </x:c>
      <x:c r="W190" s="19" t="str">
        <x:v>https://pro.similarweb.com/#/digitalsuite/websiteanalysis/referrals/*/999/1m?webSource=Total&amp;selectedTab=incomingTraffic&amp;key=checkout.stripe.com</x:v>
      </x:c>
      <x:c r="X190" s="20" t="n">
        <x:f>IF(Q190="是",0,IFERROR(P190/SUMIFS($P$2:$P$964,$A$2:$A$964,A190,$Q$2:$Q$964,"否"),0))</x:f>
        <x:v>0.0032526201662450307</x:v>
      </x:c>
      <x:c r="Y190" s="22" t="str">
        <x:f>IF(OR(M190="",U190=""),"未交叉",IF(M190*U190&gt;0,"同向",IF(M190*U190&lt;0,"背离","一侧持平")))</x:f>
        <x:v>未交叉</x:v>
      </x:c>
    </x:row>
    <x:row r="191">
      <x:c r="A191" s="18" t="str">
        <x:v>checkout.stripe.com</x:v>
      </x:c>
      <x:c r="B191" s="19" t="str">
        <x:v>专用支付/结账入口</x:v>
      </x:c>
      <x:c r="C191" s="19" t="str">
        <x:v>高</x:v>
      </x:c>
      <x:c r="D191" s="19" t="str">
        <x:v>Jul 2026</x:v>
      </x:c>
      <x:c r="E191" s="19" t="n">
        <x:v>90</x:v>
      </x:c>
      <x:c r="F191" s="19" t="str">
        <x:v>mannco.store</x:v>
      </x:c>
      <x:c r="G191" s="19" t="str">
        <x:v>Games</x:v>
      </x:c>
      <x:c r="H191" s="19" t="str">
        <x:v>游戏、数字商品与虚拟内容</x:v>
      </x:c>
      <x:c r="I191" s="19" t="str">
        <x:v>Similarweb 行业映射</x:v>
      </x:c>
      <x:c r="J191" s="19" t="n">
        <x:v>43988</x:v>
      </x:c>
      <x:c r="K191" s="20" t="n">
        <x:v>0.0018</x:v>
      </x:c>
      <x:c r="L191" s="19" t="str">
        <x:v>下降</x:v>
      </x:c>
      <x:c r="M191" s="20" t="n">
        <x:v>-0.1893</x:v>
      </x:c>
      <x:c r="N191" s="21" t="n">
        <x:v>42540000</x:v>
      </x:c>
      <x:c r="O191" s="21" t="n">
        <x:v>76572</x:v>
      </x:c>
      <x:c r="P191" s="21" t="n">
        <x:f>ROUND(N191*K191,0)</x:f>
        <x:v>76572</x:v>
      </x:c>
      <x:c r="Q191" s="19" t="str">
        <x:v>否</x:v>
      </x:c>
      <x:c r="R191" s="19" t="str"/>
      <x:c r="S191" s="19" t="n">
        <x:f>IF(Q191="是",0,MIN(10,2+IF(C191="高",2,1)+IF(K191&gt;=3%,3,IF(K191&gt;=1%,2,1))+IF(L191="新出现",2,IF(M191&gt;=100%,3,IF(M191&gt;0,2,0)))))</x:f>
        <x:v>5</x:v>
      </x:c>
      <x:c r="T191" s="21"/>
      <x:c r="U191" s="20"/>
      <x:c r="V191" s="19" t="str">
        <x:v>http://mannco.store/</x:v>
      </x:c>
      <x:c r="W191" s="19" t="str">
        <x:v>https://pro.similarweb.com/#/digitalsuite/websiteanalysis/referrals/*/999/1m?webSource=Total&amp;selectedTab=incomingTraffic&amp;key=checkout.stripe.com</x:v>
      </x:c>
      <x:c r="X191" s="20" t="n">
        <x:f>IF(Q191="是",0,IFERROR(P191/SUMIFS($P$2:$P$964,$A$2:$A$964,A191,$Q$2:$Q$964,"否"),0))</x:f>
        <x:v>0.0032526201662450307</x:v>
      </x:c>
      <x:c r="Y191" s="22" t="str">
        <x:f>IF(OR(M191="",U191=""),"未交叉",IF(M191*U191&gt;0,"同向",IF(M191*U191&lt;0,"背离","一侧持平")))</x:f>
        <x:v>未交叉</x:v>
      </x:c>
    </x:row>
    <x:row r="192">
      <x:c r="A192" s="18" t="str">
        <x:v>checkout.stripe.com</x:v>
      </x:c>
      <x:c r="B192" s="19" t="str">
        <x:v>专用支付/结账入口</x:v>
      </x:c>
      <x:c r="C192" s="19" t="str">
        <x:v>高</x:v>
      </x:c>
      <x:c r="D192" s="19" t="str">
        <x:v>Jul 2026</x:v>
      </x:c>
      <x:c r="E192" s="19" t="n">
        <x:v>91</x:v>
      </x:c>
      <x:c r="F192" s="19" t="str">
        <x:v>journaldesfemmes.fr</x:v>
      </x:c>
      <x:c r="G192" s="19" t="str">
        <x:v>News and Media</x:v>
      </x:c>
      <x:c r="H192" s="19" t="str">
        <x:v>内容媒体、线下与实体消费</x:v>
      </x:c>
      <x:c r="I192" s="19" t="str">
        <x:v>Similarweb 行业映射</x:v>
      </x:c>
      <x:c r="J192" s="19" t="n">
        <x:v>2809</x:v>
      </x:c>
      <x:c r="K192" s="20" t="n">
        <x:v>0.0018</x:v>
      </x:c>
      <x:c r="L192" s="19" t="str">
        <x:v>上升</x:v>
      </x:c>
      <x:c r="M192" s="20" t="n">
        <x:v>0.1329</x:v>
      </x:c>
      <x:c r="N192" s="21" t="n">
        <x:v>42540000</x:v>
      </x:c>
      <x:c r="O192" s="21" t="n">
        <x:v>76572</x:v>
      </x:c>
      <x:c r="P192" s="21" t="n">
        <x:f>ROUND(N192*K192,0)</x:f>
        <x:v>76572</x:v>
      </x:c>
      <x:c r="Q192" s="19" t="str">
        <x:v>否</x:v>
      </x:c>
      <x:c r="R192" s="19" t="str"/>
      <x:c r="S192" s="19" t="n">
        <x:f>IF(Q192="是",0,MIN(10,2+IF(C192="高",2,1)+IF(K192&gt;=3%,3,IF(K192&gt;=1%,2,1))+IF(L192="新出现",2,IF(M192&gt;=100%,3,IF(M192&gt;0,2,0)))))</x:f>
        <x:v>7</x:v>
      </x:c>
      <x:c r="T192" s="21"/>
      <x:c r="U192" s="20"/>
      <x:c r="V192" s="19" t="str">
        <x:v>http://journaldesfemmes.fr/</x:v>
      </x:c>
      <x:c r="W192" s="19" t="str">
        <x:v>https://pro.similarweb.com/#/digitalsuite/websiteanalysis/referrals/*/999/1m?webSource=Total&amp;selectedTab=incomingTraffic&amp;key=checkout.stripe.com</x:v>
      </x:c>
      <x:c r="X192" s="20" t="n">
        <x:f>IF(Q192="是",0,IFERROR(P192/SUMIFS($P$2:$P$964,$A$2:$A$964,A192,$Q$2:$Q$964,"否"),0))</x:f>
        <x:v>0.0032526201662450307</x:v>
      </x:c>
      <x:c r="Y192" s="22" t="str">
        <x:f>IF(OR(M192="",U192=""),"未交叉",IF(M192*U192&gt;0,"同向",IF(M192*U192&lt;0,"背离","一侧持平")))</x:f>
        <x:v>未交叉</x:v>
      </x:c>
    </x:row>
    <x:row r="193">
      <x:c r="A193" s="18" t="str">
        <x:v>checkout.stripe.com</x:v>
      </x:c>
      <x:c r="B193" s="19" t="str">
        <x:v>专用支付/结账入口</x:v>
      </x:c>
      <x:c r="C193" s="19" t="str">
        <x:v>高</x:v>
      </x:c>
      <x:c r="D193" s="19" t="str">
        <x:v>Jul 2026</x:v>
      </x:c>
      <x:c r="E193" s="19" t="n">
        <x:v>92</x:v>
      </x:c>
      <x:c r="F193" s="19" t="str">
        <x:v>eprolo.com</x:v>
      </x:c>
      <x:c r="G193" s="19" t="str">
        <x:v>Business Services</x:v>
      </x:c>
      <x:c r="H193" s="19" t="str">
        <x:v>营销、电商与商业 SaaS</x:v>
      </x:c>
      <x:c r="I193" s="19" t="str">
        <x:v>域名人工识别</x:v>
      </x:c>
      <x:c r="J193" s="19" t="n">
        <x:v>248492</x:v>
      </x:c>
      <x:c r="K193" s="20" t="n">
        <x:v>0.0018</x:v>
      </x:c>
      <x:c r="L193" s="19" t="str">
        <x:v>上升</x:v>
      </x:c>
      <x:c r="M193" s="20" t="n">
        <x:v>0.7404000000000001</x:v>
      </x:c>
      <x:c r="N193" s="21" t="n">
        <x:v>42540000</x:v>
      </x:c>
      <x:c r="O193" s="21" t="n">
        <x:v>76572</x:v>
      </x:c>
      <x:c r="P193" s="21" t="n">
        <x:f>ROUND(N193*K193,0)</x:f>
        <x:v>76572</x:v>
      </x:c>
      <x:c r="Q193" s="19" t="str">
        <x:v>否</x:v>
      </x:c>
      <x:c r="R193" s="19" t="str"/>
      <x:c r="S193" s="19" t="n">
        <x:f>IF(Q193="是",0,MIN(10,2+IF(C193="高",2,1)+IF(K193&gt;=3%,3,IF(K193&gt;=1%,2,1))+IF(L193="新出现",2,IF(M193&gt;=100%,3,IF(M193&gt;0,2,0)))))</x:f>
        <x:v>7</x:v>
      </x:c>
      <x:c r="T193" s="21"/>
      <x:c r="U193" s="20"/>
      <x:c r="V193" s="19" t="str">
        <x:v>http://eprolo.com/</x:v>
      </x:c>
      <x:c r="W193" s="19" t="str">
        <x:v>https://pro.similarweb.com/#/digitalsuite/websiteanalysis/referrals/*/999/1m?webSource=Total&amp;selectedTab=incomingTraffic&amp;key=checkout.stripe.com</x:v>
      </x:c>
      <x:c r="X193" s="20" t="n">
        <x:f>IF(Q193="是",0,IFERROR(P193/SUMIFS($P$2:$P$964,$A$2:$A$964,A193,$Q$2:$Q$964,"否"),0))</x:f>
        <x:v>0.0032526201662450307</x:v>
      </x:c>
      <x:c r="Y193" s="22" t="str">
        <x:f>IF(OR(M193="",U193=""),"未交叉",IF(M193*U193&gt;0,"同向",IF(M193*U193&lt;0,"背离","一侧持平")))</x:f>
        <x:v>未交叉</x:v>
      </x:c>
    </x:row>
    <x:row r="194">
      <x:c r="A194" s="18" t="str">
        <x:v>checkout.stripe.com</x:v>
      </x:c>
      <x:c r="B194" s="19" t="str">
        <x:v>专用支付/结账入口</x:v>
      </x:c>
      <x:c r="C194" s="19" t="str">
        <x:v>高</x:v>
      </x:c>
      <x:c r="D194" s="19" t="str">
        <x:v>Jul 2026</x:v>
      </x:c>
      <x:c r="E194" s="19" t="n">
        <x:v>93</x:v>
      </x:c>
      <x:c r="F194" s="19" t="str">
        <x:v>rentspree.com</x:v>
      </x:c>
      <x:c r="G194" s="19" t="str">
        <x:v>Real Estate</x:v>
      </x:c>
      <x:c r="H194" s="19" t="str">
        <x:v>内容媒体、线下与实体消费</x:v>
      </x:c>
      <x:c r="I194" s="19" t="str">
        <x:v>Similarweb 行业映射</x:v>
      </x:c>
      <x:c r="J194" s="19" t="n">
        <x:v>30542</x:v>
      </x:c>
      <x:c r="K194" s="20" t="n">
        <x:v>0.0018</x:v>
      </x:c>
      <x:c r="L194" s="19" t="str">
        <x:v>下降</x:v>
      </x:c>
      <x:c r="M194" s="20" t="n">
        <x:v>-0.0467</x:v>
      </x:c>
      <x:c r="N194" s="21" t="n">
        <x:v>42540000</x:v>
      </x:c>
      <x:c r="O194" s="21" t="n">
        <x:v>76572</x:v>
      </x:c>
      <x:c r="P194" s="21" t="n">
        <x:f>ROUND(N194*K194,0)</x:f>
        <x:v>76572</x:v>
      </x:c>
      <x:c r="Q194" s="19" t="str">
        <x:v>否</x:v>
      </x:c>
      <x:c r="R194" s="19" t="str"/>
      <x:c r="S194" s="19" t="n">
        <x:f>IF(Q194="是",0,MIN(10,2+IF(C194="高",2,1)+IF(K194&gt;=3%,3,IF(K194&gt;=1%,2,1))+IF(L194="新出现",2,IF(M194&gt;=100%,3,IF(M194&gt;0,2,0)))))</x:f>
        <x:v>5</x:v>
      </x:c>
      <x:c r="T194" s="21"/>
      <x:c r="U194" s="20"/>
      <x:c r="V194" s="19" t="str">
        <x:v>http://rentspree.com/</x:v>
      </x:c>
      <x:c r="W194" s="19" t="str">
        <x:v>https://pro.similarweb.com/#/digitalsuite/websiteanalysis/referrals/*/999/1m?webSource=Total&amp;selectedTab=incomingTraffic&amp;key=checkout.stripe.com</x:v>
      </x:c>
      <x:c r="X194" s="20" t="n">
        <x:f>IF(Q194="是",0,IFERROR(P194/SUMIFS($P$2:$P$964,$A$2:$A$964,A194,$Q$2:$Q$964,"否"),0))</x:f>
        <x:v>0.0032526201662450307</x:v>
      </x:c>
      <x:c r="Y194" s="22" t="str">
        <x:f>IF(OR(M194="",U194=""),"未交叉",IF(M194*U194&gt;0,"同向",IF(M194*U194&lt;0,"背离","一侧持平")))</x:f>
        <x:v>未交叉</x:v>
      </x:c>
    </x:row>
    <x:row r="195">
      <x:c r="A195" s="18" t="str">
        <x:v>checkout.stripe.com</x:v>
      </x:c>
      <x:c r="B195" s="19" t="str">
        <x:v>专用支付/结账入口</x:v>
      </x:c>
      <x:c r="C195" s="19" t="str">
        <x:v>高</x:v>
      </x:c>
      <x:c r="D195" s="19" t="str">
        <x:v>Jul 2026</x:v>
      </x:c>
      <x:c r="E195" s="19" t="n">
        <x:v>94</x:v>
      </x:c>
      <x:c r="F195" s="19" t="str">
        <x:v>facelessreels.com</x:v>
      </x:c>
      <x:c r="G195" s="19" t="str">
        <x:v>Jobs and Employment</x:v>
      </x:c>
      <x:c r="H195" s="19" t="str">
        <x:v>AI 内容生成与创作</x:v>
      </x:c>
      <x:c r="I195" s="19" t="str">
        <x:v>域名人工/交叉验证修正</x:v>
      </x:c>
      <x:c r="J195" s="19" t="n">
        <x:v>49490</x:v>
      </x:c>
      <x:c r="K195" s="20" t="n">
        <x:v>0.0017000000000000001</x:v>
      </x:c>
      <x:c r="L195" s="19" t="str">
        <x:v>下降</x:v>
      </x:c>
      <x:c r="M195" s="20" t="n">
        <x:v>-0.03</x:v>
      </x:c>
      <x:c r="N195" s="21" t="n">
        <x:v>42540000</x:v>
      </x:c>
      <x:c r="O195" s="21" t="n">
        <x:v>72318</x:v>
      </x:c>
      <x:c r="P195" s="21" t="n">
        <x:f>ROUND(N195*K195,0)</x:f>
        <x:v>72318</x:v>
      </x:c>
      <x:c r="Q195" s="19" t="str">
        <x:v>否</x:v>
      </x:c>
      <x:c r="R195" s="19" t="str"/>
      <x:c r="S195" s="19" t="n">
        <x:f>IF(Q195="是",0,MIN(10,2+IF(C195="高",2,1)+IF(K195&gt;=3%,3,IF(K195&gt;=1%,2,1))+IF(L195="新出现",2,IF(M195&gt;=100%,3,IF(M195&gt;0,2,0)))))</x:f>
        <x:v>5</x:v>
      </x:c>
      <x:c r="T195" s="21"/>
      <x:c r="U195" s="20"/>
      <x:c r="V195" s="19" t="str">
        <x:v>http://facelessreels.com/</x:v>
      </x:c>
      <x:c r="W195" s="19" t="str">
        <x:v>https://pro.similarweb.com/#/digitalsuite/websiteanalysis/referrals/*/999/1m?webSource=Total&amp;selectedTab=incomingTraffic&amp;key=checkout.stripe.com</x:v>
      </x:c>
      <x:c r="X195" s="20" t="n">
        <x:f>IF(Q195="是",0,IFERROR(P195/SUMIFS($P$2:$P$964,$A$2:$A$964,A195,$Q$2:$Q$964,"否"),0))</x:f>
        <x:v>0.0030719190458980846</x:v>
      </x:c>
      <x:c r="Y195" s="22" t="str">
        <x:f>IF(OR(M195="",U195=""),"未交叉",IF(M195*U195&gt;0,"同向",IF(M195*U195&lt;0,"背离","一侧持平")))</x:f>
        <x:v>未交叉</x:v>
      </x:c>
    </x:row>
    <x:row r="196">
      <x:c r="A196" s="18" t="str">
        <x:v>checkout.stripe.com</x:v>
      </x:c>
      <x:c r="B196" s="19" t="str">
        <x:v>专用支付/结账入口</x:v>
      </x:c>
      <x:c r="C196" s="19" t="str">
        <x:v>高</x:v>
      </x:c>
      <x:c r="D196" s="19" t="str">
        <x:v>Jul 2026</x:v>
      </x:c>
      <x:c r="E196" s="19" t="n">
        <x:v>95</x:v>
      </x:c>
      <x:c r="F196" s="19" t="str">
        <x:v>cinemasocietyclub.com</x:v>
      </x:c>
      <x:c r="G196" s="19" t="str">
        <x:v>Sports</x:v>
      </x:c>
      <x:c r="H196" s="19" t="str">
        <x:v>健康、生活方式与消费服务</x:v>
      </x:c>
      <x:c r="I196" s="19" t="str">
        <x:v>Similarweb 行业映射</x:v>
      </x:c>
      <x:c r="J196" s="19" t="n">
        <x:v>106820</x:v>
      </x:c>
      <x:c r="K196" s="20" t="n">
        <x:v>0.0017000000000000001</x:v>
      </x:c>
      <x:c r="L196" s="19" t="str">
        <x:v>上升</x:v>
      </x:c>
      <x:c r="M196" s="20" t="n">
        <x:v>0.6194</x:v>
      </x:c>
      <x:c r="N196" s="21" t="n">
        <x:v>42540000</x:v>
      </x:c>
      <x:c r="O196" s="21" t="n">
        <x:v>72318</x:v>
      </x:c>
      <x:c r="P196" s="21" t="n">
        <x:f>ROUND(N196*K196,0)</x:f>
        <x:v>72318</x:v>
      </x:c>
      <x:c r="Q196" s="19" t="str">
        <x:v>否</x:v>
      </x:c>
      <x:c r="R196" s="19" t="str"/>
      <x:c r="S196" s="19" t="n">
        <x:f>IF(Q196="是",0,MIN(10,2+IF(C196="高",2,1)+IF(K196&gt;=3%,3,IF(K196&gt;=1%,2,1))+IF(L196="新出现",2,IF(M196&gt;=100%,3,IF(M196&gt;0,2,0)))))</x:f>
        <x:v>7</x:v>
      </x:c>
      <x:c r="T196" s="21"/>
      <x:c r="U196" s="20"/>
      <x:c r="V196" s="19" t="str">
        <x:v>http://cinemasocietyclub.com/</x:v>
      </x:c>
      <x:c r="W196" s="19" t="str">
        <x:v>https://pro.similarweb.com/#/digitalsuite/websiteanalysis/referrals/*/999/1m?webSource=Total&amp;selectedTab=incomingTraffic&amp;key=checkout.stripe.com</x:v>
      </x:c>
      <x:c r="X196" s="20" t="n">
        <x:f>IF(Q196="是",0,IFERROR(P196/SUMIFS($P$2:$P$964,$A$2:$A$964,A196,$Q$2:$Q$964,"否"),0))</x:f>
        <x:v>0.0030719190458980846</x:v>
      </x:c>
      <x:c r="Y196" s="22" t="str">
        <x:f>IF(OR(M196="",U196=""),"未交叉",IF(M196*U196&gt;0,"同向",IF(M196*U196&lt;0,"背离","一侧持平")))</x:f>
        <x:v>未交叉</x:v>
      </x:c>
    </x:row>
    <x:row r="197">
      <x:c r="A197" s="18" t="str">
        <x:v>checkout.stripe.com</x:v>
      </x:c>
      <x:c r="B197" s="19" t="str">
        <x:v>专用支付/结账入口</x:v>
      </x:c>
      <x:c r="C197" s="19" t="str">
        <x:v>高</x:v>
      </x:c>
      <x:c r="D197" s="19" t="str">
        <x:v>Jul 2026</x:v>
      </x:c>
      <x:c r="E197" s="19" t="n">
        <x:v>96</x:v>
      </x:c>
      <x:c r="F197" s="19" t="str">
        <x:v>authenticator.cursor.sh</x:v>
      </x:c>
      <x:c r="G197" s="19" t="str">
        <x:v>Programming and Developer Software</x:v>
      </x:c>
      <x:c r="H197" s="19" t="str">
        <x:v>AI 开发工具与基础设施</x:v>
      </x:c>
      <x:c r="I197" s="19" t="str">
        <x:v>域名人工识别</x:v>
      </x:c>
      <x:c r="J197" s="19"/>
      <x:c r="K197" s="20" t="n">
        <x:v>0.0017000000000000001</x:v>
      </x:c>
      <x:c r="L197" s="19" t="str">
        <x:v>上升</x:v>
      </x:c>
      <x:c r="M197" s="20" t="n">
        <x:v>0.0508</x:v>
      </x:c>
      <x:c r="N197" s="21" t="n">
        <x:v>42540000</x:v>
      </x:c>
      <x:c r="O197" s="21" t="n">
        <x:v>72318</x:v>
      </x:c>
      <x:c r="P197" s="21" t="n">
        <x:f>ROUND(N197*K197,0)</x:f>
        <x:v>72318</x:v>
      </x:c>
      <x:c r="Q197" s="19" t="str">
        <x:v>否</x:v>
      </x:c>
      <x:c r="R197" s="19" t="str"/>
      <x:c r="S197" s="19" t="n">
        <x:f>IF(Q197="是",0,MIN(10,2+IF(C197="高",2,1)+IF(K197&gt;=3%,3,IF(K197&gt;=1%,2,1))+IF(L197="新出现",2,IF(M197&gt;=100%,3,IF(M197&gt;0,2,0)))))</x:f>
        <x:v>7</x:v>
      </x:c>
      <x:c r="T197" s="21"/>
      <x:c r="U197" s="20"/>
      <x:c r="V197" s="19" t="str">
        <x:v>http://authenticator.cursor.sh/</x:v>
      </x:c>
      <x:c r="W197" s="19" t="str">
        <x:v>https://pro.similarweb.com/#/digitalsuite/websiteanalysis/referrals/*/999/1m?webSource=Total&amp;selectedTab=incomingTraffic&amp;key=checkout.stripe.com</x:v>
      </x:c>
      <x:c r="X197" s="20" t="n">
        <x:f>IF(Q197="是",0,IFERROR(P197/SUMIFS($P$2:$P$964,$A$2:$A$964,A197,$Q$2:$Q$964,"否"),0))</x:f>
        <x:v>0.0030719190458980846</x:v>
      </x:c>
      <x:c r="Y197" s="22" t="str">
        <x:f>IF(OR(M197="",U197=""),"未交叉",IF(M197*U197&gt;0,"同向",IF(M197*U197&lt;0,"背离","一侧持平")))</x:f>
        <x:v>未交叉</x:v>
      </x:c>
    </x:row>
    <x:row r="198">
      <x:c r="A198" s="18" t="str">
        <x:v>checkout.stripe.com</x:v>
      </x:c>
      <x:c r="B198" s="19" t="str">
        <x:v>专用支付/结账入口</x:v>
      </x:c>
      <x:c r="C198" s="19" t="str">
        <x:v>高</x:v>
      </x:c>
      <x:c r="D198" s="19" t="str">
        <x:v>Jul 2026</x:v>
      </x:c>
      <x:c r="E198" s="19" t="n">
        <x:v>97</x:v>
      </x:c>
      <x:c r="F198" s="19" t="str">
        <x:v>pay.resevo.gnv.com</x:v>
      </x:c>
      <x:c r="G198" s="19" t="str">
        <x:v>Unknown</x:v>
      </x:c>
      <x:c r="H198" s="19" t="str">
        <x:v>其他/待核查</x:v>
      </x:c>
      <x:c r="I198" s="19" t="str">
        <x:v>Similarweb 未分类</x:v>
      </x:c>
      <x:c r="J198" s="19"/>
      <x:c r="K198" s="20" t="n">
        <x:v>0.0017000000000000001</x:v>
      </x:c>
      <x:c r="L198" s="19" t="str">
        <x:v>下降</x:v>
      </x:c>
      <x:c r="M198" s="20" t="n">
        <x:v>-0.0016</x:v>
      </x:c>
      <x:c r="N198" s="21" t="n">
        <x:v>42540000</x:v>
      </x:c>
      <x:c r="O198" s="21" t="n">
        <x:v>72318</x:v>
      </x:c>
      <x:c r="P198" s="21" t="n">
        <x:f>ROUND(N198*K198,0)</x:f>
        <x:v>72318</x:v>
      </x:c>
      <x:c r="Q198" s="19" t="str">
        <x:v>否</x:v>
      </x:c>
      <x:c r="R198" s="19" t="str"/>
      <x:c r="S198" s="19" t="n">
        <x:f>IF(Q198="是",0,MIN(10,2+IF(C198="高",2,1)+IF(K198&gt;=3%,3,IF(K198&gt;=1%,2,1))+IF(L198="新出现",2,IF(M198&gt;=100%,3,IF(M198&gt;0,2,0)))))</x:f>
        <x:v>5</x:v>
      </x:c>
      <x:c r="T198" s="21"/>
      <x:c r="U198" s="20"/>
      <x:c r="V198" s="19" t="str">
        <x:v>http://pay.resevo.gnv.com/</x:v>
      </x:c>
      <x:c r="W198" s="19" t="str">
        <x:v>https://pro.similarweb.com/#/digitalsuite/websiteanalysis/referrals/*/999/1m?webSource=Total&amp;selectedTab=incomingTraffic&amp;key=checkout.stripe.com</x:v>
      </x:c>
      <x:c r="X198" s="20" t="n">
        <x:f>IF(Q198="是",0,IFERROR(P198/SUMIFS($P$2:$P$964,$A$2:$A$964,A198,$Q$2:$Q$964,"否"),0))</x:f>
        <x:v>0.0030719190458980846</x:v>
      </x:c>
      <x:c r="Y198" s="22" t="str">
        <x:f>IF(OR(M198="",U198=""),"未交叉",IF(M198*U198&gt;0,"同向",IF(M198*U198&lt;0,"背离","一侧持平")))</x:f>
        <x:v>未交叉</x:v>
      </x:c>
    </x:row>
    <x:row r="199">
      <x:c r="A199" s="18" t="str">
        <x:v>checkout.stripe.com</x:v>
      </x:c>
      <x:c r="B199" s="19" t="str">
        <x:v>专用支付/结账入口</x:v>
      </x:c>
      <x:c r="C199" s="19" t="str">
        <x:v>高</x:v>
      </x:c>
      <x:c r="D199" s="19" t="str">
        <x:v>Jul 2026</x:v>
      </x:c>
      <x:c r="E199" s="19" t="n">
        <x:v>98</x:v>
      </x:c>
      <x:c r="F199" s="19" t="str">
        <x:v>triips.com</x:v>
      </x:c>
      <x:c r="G199" s="19" t="str">
        <x:v>Air Travel</x:v>
      </x:c>
      <x:c r="H199" s="19" t="str">
        <x:v>内容媒体、线下与实体消费</x:v>
      </x:c>
      <x:c r="I199" s="19" t="str">
        <x:v>Similarweb 行业映射</x:v>
      </x:c>
      <x:c r="J199" s="19" t="n">
        <x:v>82333</x:v>
      </x:c>
      <x:c r="K199" s="20" t="n">
        <x:v>0.0017000000000000001</x:v>
      </x:c>
      <x:c r="L199" s="19" t="str">
        <x:v>下降</x:v>
      </x:c>
      <x:c r="M199" s="20" t="n">
        <x:v>-0.047599999999999996</x:v>
      </x:c>
      <x:c r="N199" s="21" t="n">
        <x:v>42540000</x:v>
      </x:c>
      <x:c r="O199" s="21" t="n">
        <x:v>72318</x:v>
      </x:c>
      <x:c r="P199" s="21" t="n">
        <x:f>ROUND(N199*K199,0)</x:f>
        <x:v>72318</x:v>
      </x:c>
      <x:c r="Q199" s="19" t="str">
        <x:v>否</x:v>
      </x:c>
      <x:c r="R199" s="19" t="str"/>
      <x:c r="S199" s="19" t="n">
        <x:f>IF(Q199="是",0,MIN(10,2+IF(C199="高",2,1)+IF(K199&gt;=3%,3,IF(K199&gt;=1%,2,1))+IF(L199="新出现",2,IF(M199&gt;=100%,3,IF(M199&gt;0,2,0)))))</x:f>
        <x:v>5</x:v>
      </x:c>
      <x:c r="T199" s="21"/>
      <x:c r="U199" s="20"/>
      <x:c r="V199" s="19" t="str">
        <x:v>http://triips.com/</x:v>
      </x:c>
      <x:c r="W199" s="19" t="str">
        <x:v>https://pro.similarweb.com/#/digitalsuite/websiteanalysis/referrals/*/999/1m?webSource=Total&amp;selectedTab=incomingTraffic&amp;key=checkout.stripe.com</x:v>
      </x:c>
      <x:c r="X199" s="20" t="n">
        <x:f>IF(Q199="是",0,IFERROR(P199/SUMIFS($P$2:$P$964,$A$2:$A$964,A199,$Q$2:$Q$964,"否"),0))</x:f>
        <x:v>0.0030719190458980846</x:v>
      </x:c>
      <x:c r="Y199" s="22" t="str">
        <x:f>IF(OR(M199="",U199=""),"未交叉",IF(M199*U199&gt;0,"同向",IF(M199*U199&lt;0,"背离","一侧持平")))</x:f>
        <x:v>未交叉</x:v>
      </x:c>
    </x:row>
    <x:row r="200">
      <x:c r="A200" s="18" t="str">
        <x:v>checkout.stripe.com</x:v>
      </x:c>
      <x:c r="B200" s="19" t="str">
        <x:v>专用支付/结账入口</x:v>
      </x:c>
      <x:c r="C200" s="19" t="str">
        <x:v>高</x:v>
      </x:c>
      <x:c r="D200" s="19" t="str">
        <x:v>Jul 2026</x:v>
      </x:c>
      <x:c r="E200" s="19" t="n">
        <x:v>99</x:v>
      </x:c>
      <x:c r="F200" s="19" t="str">
        <x:v>iggm.com</x:v>
      </x:c>
      <x:c r="G200" s="19" t="str">
        <x:v>Video Games Consoles and Accessories</x:v>
      </x:c>
      <x:c r="H200" s="19" t="str">
        <x:v>游戏、数字商品与虚拟内容</x:v>
      </x:c>
      <x:c r="I200" s="19" t="str">
        <x:v>Similarweb 行业映射</x:v>
      </x:c>
      <x:c r="J200" s="19" t="n">
        <x:v>38166</x:v>
      </x:c>
      <x:c r="K200" s="20" t="n">
        <x:v>0.0016</x:v>
      </x:c>
      <x:c r="L200" s="19" t="str">
        <x:v>新出现</x:v>
      </x:c>
      <x:c r="M200" s="20"/>
      <x:c r="N200" s="21" t="n">
        <x:v>42540000</x:v>
      </x:c>
      <x:c r="O200" s="21" t="n">
        <x:v>68064</x:v>
      </x:c>
      <x:c r="P200" s="21" t="n">
        <x:f>ROUND(N200*K200,0)</x:f>
        <x:v>68064</x:v>
      </x:c>
      <x:c r="Q200" s="19" t="str">
        <x:v>否</x:v>
      </x:c>
      <x:c r="R200" s="19" t="str"/>
      <x:c r="S200" s="19" t="n">
        <x:f>IF(Q200="是",0,MIN(10,2+IF(C200="高",2,1)+IF(K200&gt;=3%,3,IF(K200&gt;=1%,2,1))+IF(L200="新出现",2,IF(M200&gt;=100%,3,IF(M200&gt;0,2,0)))))</x:f>
        <x:v>7</x:v>
      </x:c>
      <x:c r="T200" s="21"/>
      <x:c r="U200" s="20"/>
      <x:c r="V200" s="19" t="str">
        <x:v>http://iggm.com/</x:v>
      </x:c>
      <x:c r="W200" s="19" t="str">
        <x:v>https://pro.similarweb.com/#/digitalsuite/websiteanalysis/referrals/*/999/1m?webSource=Total&amp;selectedTab=incomingTraffic&amp;key=checkout.stripe.com</x:v>
      </x:c>
      <x:c r="X200" s="20" t="n">
        <x:f>IF(Q200="是",0,IFERROR(P200/SUMIFS($P$2:$P$964,$A$2:$A$964,A200,$Q$2:$Q$964,"否"),0))</x:f>
        <x:v>0.0028912179255511385</x:v>
      </x:c>
      <x:c r="Y200" s="22" t="str">
        <x:f>IF(OR(M200="",U200=""),"未交叉",IF(M200*U200&gt;0,"同向",IF(M200*U200&lt;0,"背离","一侧持平")))</x:f>
        <x:v>未交叉</x:v>
      </x:c>
    </x:row>
    <x:row r="201">
      <x:c r="A201" s="18" t="str">
        <x:v>checkout.stripe.com</x:v>
      </x:c>
      <x:c r="B201" s="19" t="str">
        <x:v>专用支付/结账入口</x:v>
      </x:c>
      <x:c r="C201" s="19" t="str">
        <x:v>高</x:v>
      </x:c>
      <x:c r="D201" s="19" t="str">
        <x:v>Jul 2026</x:v>
      </x:c>
      <x:c r="E201" s="19" t="n">
        <x:v>100</x:v>
      </x:c>
      <x:c r="F201" s="19" t="str">
        <x:v>drmax.cz</x:v>
      </x:c>
      <x:c r="G201" s="19" t="str">
        <x:v>Health</x:v>
      </x:c>
      <x:c r="H201" s="19" t="str">
        <x:v>健康、生活方式与消费服务</x:v>
      </x:c>
      <x:c r="I201" s="19" t="str">
        <x:v>Similarweb 行业映射</x:v>
      </x:c>
      <x:c r="J201" s="19" t="n">
        <x:v>11935</x:v>
      </x:c>
      <x:c r="K201" s="20" t="n">
        <x:v>0.0016</x:v>
      </x:c>
      <x:c r="L201" s="19" t="str">
        <x:v>下降</x:v>
      </x:c>
      <x:c r="M201" s="20" t="n">
        <x:v>-0.0576</x:v>
      </x:c>
      <x:c r="N201" s="21" t="n">
        <x:v>42540000</x:v>
      </x:c>
      <x:c r="O201" s="21" t="n">
        <x:v>68064</x:v>
      </x:c>
      <x:c r="P201" s="21" t="n">
        <x:f>ROUND(N201*K201,0)</x:f>
        <x:v>68064</x:v>
      </x:c>
      <x:c r="Q201" s="19" t="str">
        <x:v>否</x:v>
      </x:c>
      <x:c r="R201" s="19" t="str"/>
      <x:c r="S201" s="19" t="n">
        <x:f>IF(Q201="是",0,MIN(10,2+IF(C201="高",2,1)+IF(K201&gt;=3%,3,IF(K201&gt;=1%,2,1))+IF(L201="新出现",2,IF(M201&gt;=100%,3,IF(M201&gt;0,2,0)))))</x:f>
        <x:v>5</x:v>
      </x:c>
      <x:c r="T201" s="21"/>
      <x:c r="U201" s="20"/>
      <x:c r="V201" s="19" t="str">
        <x:v>http://drmax.cz/</x:v>
      </x:c>
      <x:c r="W201" s="19" t="str">
        <x:v>https://pro.similarweb.com/#/digitalsuite/websiteanalysis/referrals/*/999/1m?webSource=Total&amp;selectedTab=incomingTraffic&amp;key=checkout.stripe.com</x:v>
      </x:c>
      <x:c r="X201" s="20" t="n">
        <x:f>IF(Q201="是",0,IFERROR(P201/SUMIFS($P$2:$P$964,$A$2:$A$964,A201,$Q$2:$Q$964,"否"),0))</x:f>
        <x:v>0.0028912179255511385</x:v>
      </x:c>
      <x:c r="Y201" s="22" t="str">
        <x:f>IF(OR(M201="",U201=""),"未交叉",IF(M201*U201&gt;0,"同向",IF(M201*U201&lt;0,"背离","一侧持平")))</x:f>
        <x:v>未交叉</x:v>
      </x:c>
    </x:row>
    <x:row r="202">
      <x:c r="A202" s="18" t="str">
        <x:v>paddle.com</x:v>
      </x:c>
      <x:c r="B202" s="19" t="str">
        <x:v>支付商主域（混合流量）</x:v>
      </x:c>
      <x:c r="C202" s="19" t="str">
        <x:v>中</x:v>
      </x:c>
      <x:c r="D202" s="19" t="str">
        <x:v>Jul 2026</x:v>
      </x:c>
      <x:c r="E202" s="19" t="n">
        <x:v>1</x:v>
      </x:c>
      <x:c r="F202" s="19" t="str">
        <x:v>paddle.net</x:v>
      </x:c>
      <x:c r="G202" s="19" t="str">
        <x:v>Web Hosting and Domain Names</x:v>
      </x:c>
      <x:c r="H202" s="19" t="str">
        <x:v>开发者工具与互联网基础设施</x:v>
      </x:c>
      <x:c r="I202" s="19" t="str">
        <x:v>Similarweb 行业映射</x:v>
      </x:c>
      <x:c r="J202" s="19" t="n">
        <x:v>78482</x:v>
      </x:c>
      <x:c r="K202" s="20" t="n">
        <x:v>0.21289999999999998</x:v>
      </x:c>
      <x:c r="L202" s="19" t="str">
        <x:v>下降</x:v>
      </x:c>
      <x:c r="M202" s="20" t="n">
        <x:v>-0.1804</x:v>
      </x:c>
      <x:c r="N202" s="21" t="n">
        <x:v>295624</x:v>
      </x:c>
      <x:c r="O202" s="21" t="n">
        <x:v>62938</x:v>
      </x:c>
      <x:c r="P202" s="21" t="n">
        <x:f>ROUND(N202*K202,0)</x:f>
        <x:v>62938</x:v>
      </x:c>
      <x:c r="Q202" s="19" t="str">
        <x:v>是</x:v>
      </x:c>
      <x:c r="R202" s="19" t="str">
        <x:v>支付平台、自引荐或流量中介</x:v>
      </x:c>
      <x:c r="S202" s="19" t="n">
        <x:f>IF(Q202="是",0,MIN(10,2+IF(C202="高",2,1)+IF(K202&gt;=3%,3,IF(K202&gt;=1%,2,1))+IF(L202="新出现",2,IF(M202&gt;=100%,3,IF(M202&gt;0,2,0)))))</x:f>
        <x:v>0</x:v>
      </x:c>
      <x:c r="T202" s="21"/>
      <x:c r="U202" s="20"/>
      <x:c r="V202" s="19" t="str">
        <x:v>http://paddle.net/</x:v>
      </x:c>
      <x:c r="W202" s="19" t="str">
        <x:v>https://pro.similarweb.com/#/digitalsuite/websiteanalysis/referrals/*/999/1m?webSource=Total&amp;selectedTab=incomingTraffic&amp;key=paddle.com</x:v>
      </x:c>
      <x:c r="X202" s="20" t="n">
        <x:f>IF(Q202="是",0,IFERROR(P202/SUMIFS($P$2:$P$964,$A$2:$A$964,A202,$Q$2:$Q$964,"否"),0))</x:f>
        <x:v>0</x:v>
      </x:c>
      <x:c r="Y202" s="22" t="str">
        <x:f>IF(OR(M202="",U202=""),"未交叉",IF(M202*U202&gt;0,"同向",IF(M202*U202&lt;0,"背离","一侧持平")))</x:f>
        <x:v>未交叉</x:v>
      </x:c>
    </x:row>
    <x:row r="203">
      <x:c r="A203" s="18" t="str">
        <x:v>paddle.com</x:v>
      </x:c>
      <x:c r="B203" s="19" t="str">
        <x:v>支付商主域（混合流量）</x:v>
      </x:c>
      <x:c r="C203" s="19" t="str">
        <x:v>中</x:v>
      </x:c>
      <x:c r="D203" s="19" t="str">
        <x:v>Jul 2026</x:v>
      </x:c>
      <x:c r="E203" s="19" t="n">
        <x:v>2</x:v>
      </x:c>
      <x:c r="F203" s="19" t="str">
        <x:v>Referral</x:v>
      </x:c>
      <x:c r="G203" s="19" t="str">
        <x:v>Unknown</x:v>
      </x:c>
      <x:c r="H203" s="19" t="str">
        <x:v>其他/待核查</x:v>
      </x:c>
      <x:c r="I203" s="19" t="str">
        <x:v>Similarweb 未分类</x:v>
      </x:c>
      <x:c r="J203" s="19"/>
      <x:c r="K203" s="20" t="n">
        <x:v>0.1051</x:v>
      </x:c>
      <x:c r="L203" s="19" t="str">
        <x:v>下降</x:v>
      </x:c>
      <x:c r="M203" s="20" t="n">
        <x:v>-0.1355</x:v>
      </x:c>
      <x:c r="N203" s="21" t="n">
        <x:v>295624</x:v>
      </x:c>
      <x:c r="O203" s="21" t="n">
        <x:v>31070</x:v>
      </x:c>
      <x:c r="P203" s="21" t="n">
        <x:f>ROUND(N203*K203,0)</x:f>
        <x:v>31070</x:v>
      </x:c>
      <x:c r="Q203" s="19" t="str">
        <x:v>是</x:v>
      </x:c>
      <x:c r="R203" s="19" t="str">
        <x:v>无效/聚合标签</x:v>
      </x:c>
      <x:c r="S203" s="19" t="n">
        <x:f>IF(Q203="是",0,MIN(10,2+IF(C203="高",2,1)+IF(K203&gt;=3%,3,IF(K203&gt;=1%,2,1))+IF(L203="新出现",2,IF(M203&gt;=100%,3,IF(M203&gt;0,2,0)))))</x:f>
        <x:v>0</x:v>
      </x:c>
      <x:c r="T203" s="21"/>
      <x:c r="U203" s="20"/>
      <x:c r="V203" s="19" t="str">
        <x:v>http://referral/</x:v>
      </x:c>
      <x:c r="W203" s="19" t="str">
        <x:v>https://pro.similarweb.com/#/digitalsuite/websiteanalysis/referrals/*/999/1m?webSource=Total&amp;selectedTab=incomingTraffic&amp;key=paddle.com</x:v>
      </x:c>
      <x:c r="X203" s="20" t="n">
        <x:f>IF(Q203="是",0,IFERROR(P203/SUMIFS($P$2:$P$964,$A$2:$A$964,A203,$Q$2:$Q$964,"否"),0))</x:f>
        <x:v>0</x:v>
      </x:c>
      <x:c r="Y203" s="22" t="str">
        <x:f>IF(OR(M203="",U203=""),"未交叉",IF(M203*U203&gt;0,"同向",IF(M203*U203&lt;0,"背离","一侧持平")))</x:f>
        <x:v>未交叉</x:v>
      </x:c>
    </x:row>
    <x:row r="204">
      <x:c r="A204" s="18" t="str">
        <x:v>paddle.com</x:v>
      </x:c>
      <x:c r="B204" s="19" t="str">
        <x:v>支付商主域（混合流量）</x:v>
      </x:c>
      <x:c r="C204" s="19" t="str">
        <x:v>中</x:v>
      </x:c>
      <x:c r="D204" s="19" t="str">
        <x:v>Jul 2026</x:v>
      </x:c>
      <x:c r="E204" s="19" t="n">
        <x:v>3</x:v>
      </x:c>
      <x:c r="F204" s="19" t="str">
        <x:v>paypal.com</x:v>
      </x:c>
      <x:c r="G204" s="19" t="str">
        <x:v>Banking Credit and Lending</x:v>
      </x:c>
      <x:c r="H204" s="19" t="str">
        <x:v>金融、支付与交易服务</x:v>
      </x:c>
      <x:c r="I204" s="19" t="str">
        <x:v>Similarweb 行业映射</x:v>
      </x:c>
      <x:c r="J204" s="19" t="n">
        <x:v>70</x:v>
      </x:c>
      <x:c r="K204" s="20" t="n">
        <x:v>0.0992</x:v>
      </x:c>
      <x:c r="L204" s="19" t="str">
        <x:v>上升</x:v>
      </x:c>
      <x:c r="M204" s="20" t="n">
        <x:v>0.4006</x:v>
      </x:c>
      <x:c r="N204" s="21" t="n">
        <x:v>295624</x:v>
      </x:c>
      <x:c r="O204" s="21" t="n">
        <x:v>29326</x:v>
      </x:c>
      <x:c r="P204" s="21" t="n">
        <x:f>ROUND(N204*K204,0)</x:f>
        <x:v>29326</x:v>
      </x:c>
      <x:c r="Q204" s="19" t="str">
        <x:v>是</x:v>
      </x:c>
      <x:c r="R204" s="19" t="str">
        <x:v>支付平台、自引荐或流量中介</x:v>
      </x:c>
      <x:c r="S204" s="19" t="n">
        <x:f>IF(Q204="是",0,MIN(10,2+IF(C204="高",2,1)+IF(K204&gt;=3%,3,IF(K204&gt;=1%,2,1))+IF(L204="新出现",2,IF(M204&gt;=100%,3,IF(M204&gt;0,2,0)))))</x:f>
        <x:v>0</x:v>
      </x:c>
      <x:c r="T204" s="21"/>
      <x:c r="U204" s="20"/>
      <x:c r="V204" s="19" t="str">
        <x:v>http://paypal.com/</x:v>
      </x:c>
      <x:c r="W204" s="19" t="str">
        <x:v>https://pro.similarweb.com/#/digitalsuite/websiteanalysis/referrals/*/999/1m?webSource=Total&amp;selectedTab=incomingTraffic&amp;key=paddle.com</x:v>
      </x:c>
      <x:c r="X204" s="20" t="n">
        <x:f>IF(Q204="是",0,IFERROR(P204/SUMIFS($P$2:$P$964,$A$2:$A$964,A204,$Q$2:$Q$964,"否"),0))</x:f>
        <x:v>0</x:v>
      </x:c>
      <x:c r="Y204" s="22" t="str">
        <x:f>IF(OR(M204="",U204=""),"未交叉",IF(M204*U204&gt;0,"同向",IF(M204*U204&lt;0,"背离","一侧持平")))</x:f>
        <x:v>未交叉</x:v>
      </x:c>
    </x:row>
    <x:row r="205">
      <x:c r="A205" s="18" t="str">
        <x:v>paddle.com</x:v>
      </x:c>
      <x:c r="B205" s="19" t="str">
        <x:v>支付商主域（混合流量）</x:v>
      </x:c>
      <x:c r="C205" s="19" t="str">
        <x:v>中</x:v>
      </x:c>
      <x:c r="D205" s="19" t="str">
        <x:v>Jul 2026</x:v>
      </x:c>
      <x:c r="E205" s="19" t="n">
        <x:v>4</x:v>
      </x:c>
      <x:c r="F205" s="19" t="str">
        <x:v>app.kopy.app</x:v>
      </x:c>
      <x:c r="G205" s="19" t="str">
        <x:v>Business Services</x:v>
      </x:c>
      <x:c r="H205" s="19" t="str">
        <x:v>营销、生产力与商业服务</x:v>
      </x:c>
      <x:c r="I205" s="19" t="str">
        <x:v>Similarweb 行业映射</x:v>
      </x:c>
      <x:c r="J205" s="19"/>
      <x:c r="K205" s="20" t="n">
        <x:v>0.0504</x:v>
      </x:c>
      <x:c r="L205" s="19" t="str">
        <x:v>下降</x:v>
      </x:c>
      <x:c r="M205" s="20" t="n">
        <x:v>-0.2781</x:v>
      </x:c>
      <x:c r="N205" s="21" t="n">
        <x:v>295624</x:v>
      </x:c>
      <x:c r="O205" s="21" t="n">
        <x:v>14899</x:v>
      </x:c>
      <x:c r="P205" s="21" t="n">
        <x:f>ROUND(N205*K205,0)</x:f>
        <x:v>14899</x:v>
      </x:c>
      <x:c r="Q205" s="19" t="str">
        <x:v>否</x:v>
      </x:c>
      <x:c r="R205" s="19" t="str"/>
      <x:c r="S205" s="19" t="n">
        <x:f>IF(Q205="是",0,MIN(10,2+IF(C205="高",2,1)+IF(K205&gt;=3%,3,IF(K205&gt;=1%,2,1))+IF(L205="新出现",2,IF(M205&gt;=100%,3,IF(M205&gt;0,2,0)))))</x:f>
        <x:v>6</x:v>
      </x:c>
      <x:c r="T205" s="21"/>
      <x:c r="U205" s="20"/>
      <x:c r="V205" s="19" t="str">
        <x:v>http://app.kopy.app/</x:v>
      </x:c>
      <x:c r="W205" s="19" t="str">
        <x:v>https://pro.similarweb.com/#/digitalsuite/websiteanalysis/referrals/*/999/1m?webSource=Total&amp;selectedTab=incomingTraffic&amp;key=paddle.com</x:v>
      </x:c>
      <x:c r="X205" s="20" t="n">
        <x:f>IF(Q205="是",0,IFERROR(P205/SUMIFS($P$2:$P$964,$A$2:$A$964,A205,$Q$2:$Q$964,"否"),0))</x:f>
        <x:v>0.0981320722405912</x:v>
      </x:c>
      <x:c r="Y205" s="22" t="str">
        <x:f>IF(OR(M205="",U205=""),"未交叉",IF(M205*U205&gt;0,"同向",IF(M205*U205&lt;0,"背离","一侧持平")))</x:f>
        <x:v>未交叉</x:v>
      </x:c>
    </x:row>
    <x:row r="206">
      <x:c r="A206" s="18" t="str">
        <x:v>paddle.com</x:v>
      </x:c>
      <x:c r="B206" s="19" t="str">
        <x:v>支付商主域（混合流量）</x:v>
      </x:c>
      <x:c r="C206" s="19" t="str">
        <x:v>中</x:v>
      </x:c>
      <x:c r="D206" s="19" t="str">
        <x:v>Jul 2026</x:v>
      </x:c>
      <x:c r="E206" s="19" t="n">
        <x:v>5</x:v>
      </x:c>
      <x:c r="F206" s="19" t="str">
        <x:v>web.runna.com</x:v>
      </x:c>
      <x:c r="G206" s="19" t="str">
        <x:v>Running</x:v>
      </x:c>
      <x:c r="H206" s="19" t="str">
        <x:v>其他/待核查</x:v>
      </x:c>
      <x:c r="I206" s="19" t="str">
        <x:v>保守归类</x:v>
      </x:c>
      <x:c r="J206" s="19"/>
      <x:c r="K206" s="20" t="n">
        <x:v>0.0407</x:v>
      </x:c>
      <x:c r="L206" s="19" t="str">
        <x:v>下降</x:v>
      </x:c>
      <x:c r="M206" s="20" t="n">
        <x:v>-0.192</x:v>
      </x:c>
      <x:c r="N206" s="21" t="n">
        <x:v>295624</x:v>
      </x:c>
      <x:c r="O206" s="21" t="n">
        <x:v>12032</x:v>
      </x:c>
      <x:c r="P206" s="21" t="n">
        <x:f>ROUND(N206*K206,0)</x:f>
        <x:v>12032</x:v>
      </x:c>
      <x:c r="Q206" s="19" t="str">
        <x:v>否</x:v>
      </x:c>
      <x:c r="R206" s="19" t="str"/>
      <x:c r="S206" s="19" t="n">
        <x:f>IF(Q206="是",0,MIN(10,2+IF(C206="高",2,1)+IF(K206&gt;=3%,3,IF(K206&gt;=1%,2,1))+IF(L206="新出现",2,IF(M206&gt;=100%,3,IF(M206&gt;0,2,0)))))</x:f>
        <x:v>6</x:v>
      </x:c>
      <x:c r="T206" s="21"/>
      <x:c r="U206" s="20"/>
      <x:c r="V206" s="19" t="str">
        <x:v>http://web.runna.com/</x:v>
      </x:c>
      <x:c r="W206" s="19" t="str">
        <x:v>https://pro.similarweb.com/#/digitalsuite/websiteanalysis/referrals/*/999/1m?webSource=Total&amp;selectedTab=incomingTraffic&amp;key=paddle.com</x:v>
      </x:c>
      <x:c r="X206" s="20" t="n">
        <x:f>IF(Q206="是",0,IFERROR(P206/SUMIFS($P$2:$P$964,$A$2:$A$964,A206,$Q$2:$Q$964,"否"),0))</x:f>
        <x:v>0.0792486135444522</x:v>
      </x:c>
      <x:c r="Y206" s="22" t="str">
        <x:f>IF(OR(M206="",U206=""),"未交叉",IF(M206*U206&gt;0,"同向",IF(M206*U206&lt;0,"背离","一侧持平")))</x:f>
        <x:v>未交叉</x:v>
      </x:c>
    </x:row>
    <x:row r="207">
      <x:c r="A207" s="18" t="str">
        <x:v>paddle.com</x:v>
      </x:c>
      <x:c r="B207" s="19" t="str">
        <x:v>支付商主域（混合流量）</x:v>
      </x:c>
      <x:c r="C207" s="19" t="str">
        <x:v>中</x:v>
      </x:c>
      <x:c r="D207" s="19" t="str">
        <x:v>Jul 2026</x:v>
      </x:c>
      <x:c r="E207" s="19" t="n">
        <x:v>6</x:v>
      </x:c>
      <x:c r="F207" s="19" t="str">
        <x:v>paddle-alpaca.my.salesforce.com</x:v>
      </x:c>
      <x:c r="G207" s="19" t="str">
        <x:v>Unknown</x:v>
      </x:c>
      <x:c r="H207" s="19" t="str">
        <x:v>其他/待核查</x:v>
      </x:c>
      <x:c r="I207" s="19" t="str">
        <x:v>Similarweb 未分类</x:v>
      </x:c>
      <x:c r="J207" s="19"/>
      <x:c r="K207" s="20" t="n">
        <x:v>0.038599999999999995</x:v>
      </x:c>
      <x:c r="L207" s="19" t="str">
        <x:v>下降</x:v>
      </x:c>
      <x:c r="M207" s="20" t="n">
        <x:v>-0.2296</x:v>
      </x:c>
      <x:c r="N207" s="21" t="n">
        <x:v>295624</x:v>
      </x:c>
      <x:c r="O207" s="21" t="n">
        <x:v>11411</x:v>
      </x:c>
      <x:c r="P207" s="21" t="n">
        <x:f>ROUND(N207*K207,0)</x:f>
        <x:v>11411</x:v>
      </x:c>
      <x:c r="Q207" s="19" t="str">
        <x:v>否</x:v>
      </x:c>
      <x:c r="R207" s="19" t="str"/>
      <x:c r="S207" s="19" t="n">
        <x:f>IF(Q207="是",0,MIN(10,2+IF(C207="高",2,1)+IF(K207&gt;=3%,3,IF(K207&gt;=1%,2,1))+IF(L207="新出现",2,IF(M207&gt;=100%,3,IF(M207&gt;0,2,0)))))</x:f>
        <x:v>6</x:v>
      </x:c>
      <x:c r="T207" s="21"/>
      <x:c r="U207" s="20"/>
      <x:c r="V207" s="19" t="str">
        <x:v>http://paddle-alpaca.my.salesforce.com/</x:v>
      </x:c>
      <x:c r="W207" s="19" t="str">
        <x:v>https://pro.similarweb.com/#/digitalsuite/websiteanalysis/referrals/*/999/1m?webSource=Total&amp;selectedTab=incomingTraffic&amp;key=paddle.com</x:v>
      </x:c>
      <x:c r="X207" s="20" t="n">
        <x:f>IF(Q207="是",0,IFERROR(P207/SUMIFS($P$2:$P$964,$A$2:$A$964,A207,$Q$2:$Q$964,"否"),0))</x:f>
        <x:v>0.07515840501626862</x:v>
      </x:c>
      <x:c r="Y207" s="22" t="str">
        <x:f>IF(OR(M207="",U207=""),"未交叉",IF(M207*U207&gt;0,"同向",IF(M207*U207&lt;0,"背离","一侧持平")))</x:f>
        <x:v>未交叉</x:v>
      </x:c>
    </x:row>
    <x:row r="208">
      <x:c r="A208" s="18" t="str">
        <x:v>paddle.com</x:v>
      </x:c>
      <x:c r="B208" s="19" t="str">
        <x:v>支付商主域（混合流量）</x:v>
      </x:c>
      <x:c r="C208" s="19" t="str">
        <x:v>中</x:v>
      </x:c>
      <x:c r="D208" s="19" t="str">
        <x:v>Jul 2026</x:v>
      </x:c>
      <x:c r="E208" s="19" t="n">
        <x:v>7</x:v>
      </x:c>
      <x:c r="F208" s="19" t="str">
        <x:v>shop.poky.app</x:v>
      </x:c>
      <x:c r="G208" s="19" t="str">
        <x:v>Business Services</x:v>
      </x:c>
      <x:c r="H208" s="19" t="str">
        <x:v>营销、生产力与商业服务</x:v>
      </x:c>
      <x:c r="I208" s="19" t="str">
        <x:v>Similarweb 行业映射</x:v>
      </x:c>
      <x:c r="J208" s="19" t="n">
        <x:v>1129725</x:v>
      </x:c>
      <x:c r="K208" s="20" t="n">
        <x:v>0.028999999999999998</x:v>
      </x:c>
      <x:c r="L208" s="19" t="str">
        <x:v>上升</x:v>
      </x:c>
      <x:c r="M208" s="20" t="n">
        <x:v>0.18739999999999998</x:v>
      </x:c>
      <x:c r="N208" s="21" t="n">
        <x:v>295624</x:v>
      </x:c>
      <x:c r="O208" s="21" t="n">
        <x:v>8573</x:v>
      </x:c>
      <x:c r="P208" s="21" t="n">
        <x:f>ROUND(N208*K208,0)</x:f>
        <x:v>8573</x:v>
      </x:c>
      <x:c r="Q208" s="19" t="str">
        <x:v>否</x:v>
      </x:c>
      <x:c r="R208" s="19" t="str"/>
      <x:c r="S208" s="19" t="n">
        <x:f>IF(Q208="是",0,MIN(10,2+IF(C208="高",2,1)+IF(K208&gt;=3%,3,IF(K208&gt;=1%,2,1))+IF(L208="新出现",2,IF(M208&gt;=100%,3,IF(M208&gt;0,2,0)))))</x:f>
        <x:v>7</x:v>
      </x:c>
      <x:c r="T208" s="21"/>
      <x:c r="U208" s="20"/>
      <x:c r="V208" s="19" t="str">
        <x:v>http://shop.poky.app/</x:v>
      </x:c>
      <x:c r="W208" s="19" t="str">
        <x:v>https://pro.similarweb.com/#/digitalsuite/websiteanalysis/referrals/*/999/1m?webSource=Total&amp;selectedTab=incomingTraffic&amp;key=paddle.com</x:v>
      </x:c>
      <x:c r="X208" s="20" t="n">
        <x:f>IF(Q208="是",0,IFERROR(P208/SUMIFS($P$2:$P$964,$A$2:$A$964,A208,$Q$2:$Q$964,"否"),0))</x:f>
        <x:v>0.05646595444785478</x:v>
      </x:c>
      <x:c r="Y208" s="22" t="str">
        <x:f>IF(OR(M208="",U208=""),"未交叉",IF(M208*U208&gt;0,"同向",IF(M208*U208&lt;0,"背离","一侧持平")))</x:f>
        <x:v>未交叉</x:v>
      </x:c>
    </x:row>
    <x:row r="209">
      <x:c r="A209" s="18" t="str">
        <x:v>paddle.com</x:v>
      </x:c>
      <x:c r="B209" s="19" t="str">
        <x:v>支付商主域（混合流量）</x:v>
      </x:c>
      <x:c r="C209" s="19" t="str">
        <x:v>中</x:v>
      </x:c>
      <x:c r="D209" s="19" t="str">
        <x:v>Jul 2026</x:v>
      </x:c>
      <x:c r="E209" s="19" t="n">
        <x:v>8</x:v>
      </x:c>
      <x:c r="F209" s="19" t="str">
        <x:v>app.dataforseo.com</x:v>
      </x:c>
      <x:c r="G209" s="19" t="str">
        <x:v>Computers Electronics and Technology</x:v>
      </x:c>
      <x:c r="H209" s="19" t="str">
        <x:v>通用数字产品与技术服务</x:v>
      </x:c>
      <x:c r="I209" s="19" t="str">
        <x:v>Similarweb 行业映射</x:v>
      </x:c>
      <x:c r="J209" s="19"/>
      <x:c r="K209" s="20" t="n">
        <x:v>0.0166</x:v>
      </x:c>
      <x:c r="L209" s="19" t="str">
        <x:v>上升</x:v>
      </x:c>
      <x:c r="M209" s="20" t="n">
        <x:v>1.7096</x:v>
      </x:c>
      <x:c r="N209" s="21" t="n">
        <x:v>295624</x:v>
      </x:c>
      <x:c r="O209" s="21" t="n">
        <x:v>4907</x:v>
      </x:c>
      <x:c r="P209" s="21" t="n">
        <x:f>ROUND(N209*K209,0)</x:f>
        <x:v>4907</x:v>
      </x:c>
      <x:c r="Q209" s="19" t="str">
        <x:v>否</x:v>
      </x:c>
      <x:c r="R209" s="19" t="str"/>
      <x:c r="S209" s="19" t="n">
        <x:f>IF(Q209="是",0,MIN(10,2+IF(C209="高",2,1)+IF(K209&gt;=3%,3,IF(K209&gt;=1%,2,1))+IF(L209="新出现",2,IF(M209&gt;=100%,3,IF(M209&gt;0,2,0)))))</x:f>
        <x:v>8</x:v>
      </x:c>
      <x:c r="T209" s="21"/>
      <x:c r="U209" s="20"/>
      <x:c r="V209" s="19" t="str">
        <x:v>http://app.dataforseo.com/</x:v>
      </x:c>
      <x:c r="W209" s="19" t="str">
        <x:v>https://pro.similarweb.com/#/digitalsuite/websiteanalysis/referrals/*/999/1m?webSource=Total&amp;selectedTab=incomingTraffic&amp;key=paddle.com</x:v>
      </x:c>
      <x:c r="X209" s="20" t="n">
        <x:f>IF(Q209="是",0,IFERROR(P209/SUMIFS($P$2:$P$964,$A$2:$A$964,A209,$Q$2:$Q$964,"否"),0))</x:f>
        <x:v>0.0323198925085295</x:v>
      </x:c>
      <x:c r="Y209" s="22" t="str">
        <x:f>IF(OR(M209="",U209=""),"未交叉",IF(M209*U209&gt;0,"同向",IF(M209*U209&lt;0,"背离","一侧持平")))</x:f>
        <x:v>未交叉</x:v>
      </x:c>
    </x:row>
    <x:row r="210">
      <x:c r="A210" s="18" t="str">
        <x:v>paddle.com</x:v>
      </x:c>
      <x:c r="B210" s="19" t="str">
        <x:v>支付商主域（混合流量）</x:v>
      </x:c>
      <x:c r="C210" s="19" t="str">
        <x:v>中</x:v>
      </x:c>
      <x:c r="D210" s="19" t="str">
        <x:v>Jul 2026</x:v>
      </x:c>
      <x:c r="E210" s="19" t="n">
        <x:v>9</x:v>
      </x:c>
      <x:c r="F210" s="19" t="str">
        <x:v>getallmylinks.com</x:v>
      </x:c>
      <x:c r="G210" s="19" t="str">
        <x:v>Adult</x:v>
      </x:c>
      <x:c r="H210" s="19" t="str">
        <x:v>其他/待核查</x:v>
      </x:c>
      <x:c r="I210" s="19" t="str">
        <x:v>保守归类</x:v>
      </x:c>
      <x:c r="J210" s="19" t="n">
        <x:v>161883</x:v>
      </x:c>
      <x:c r="K210" s="20" t="n">
        <x:v>0.0165</x:v>
      </x:c>
      <x:c r="L210" s="19" t="str">
        <x:v>上升</x:v>
      </x:c>
      <x:c r="M210" s="20" t="n">
        <x:v>18.6661</x:v>
      </x:c>
      <x:c r="N210" s="21" t="n">
        <x:v>295624</x:v>
      </x:c>
      <x:c r="O210" s="21" t="n">
        <x:v>4878</x:v>
      </x:c>
      <x:c r="P210" s="21" t="n">
        <x:f>ROUND(N210*K210,0)</x:f>
        <x:v>4878</x:v>
      </x:c>
      <x:c r="Q210" s="19" t="str">
        <x:v>否</x:v>
      </x:c>
      <x:c r="R210" s="19" t="str"/>
      <x:c r="S210" s="19" t="n">
        <x:f>IF(Q210="是",0,MIN(10,2+IF(C210="高",2,1)+IF(K210&gt;=3%,3,IF(K210&gt;=1%,2,1))+IF(L210="新出现",2,IF(M210&gt;=100%,3,IF(M210&gt;0,2,0)))))</x:f>
        <x:v>8</x:v>
      </x:c>
      <x:c r="T210" s="21"/>
      <x:c r="U210" s="20"/>
      <x:c r="V210" s="19" t="str">
        <x:v>http://getallmylinks.com/</x:v>
      </x:c>
      <x:c r="W210" s="19" t="str">
        <x:v>https://pro.similarweb.com/#/digitalsuite/websiteanalysis/referrals/*/999/1m?webSource=Total&amp;selectedTab=incomingTraffic&amp;key=paddle.com</x:v>
      </x:c>
      <x:c r="X210" s="20" t="n">
        <x:f>IF(Q210="是",0,IFERROR(P210/SUMIFS($P$2:$P$964,$A$2:$A$964,A210,$Q$2:$Q$964,"否"),0))</x:f>
        <x:v>0.03212888438080434</x:v>
      </x:c>
      <x:c r="Y210" s="22" t="str">
        <x:f>IF(OR(M210="",U210=""),"未交叉",IF(M210*U210&gt;0,"同向",IF(M210*U210&lt;0,"背离","一侧持平")))</x:f>
        <x:v>未交叉</x:v>
      </x:c>
    </x:row>
    <x:row r="211">
      <x:c r="A211" s="18" t="str">
        <x:v>paddle.com</x:v>
      </x:c>
      <x:c r="B211" s="19" t="str">
        <x:v>支付商主域（混合流量）</x:v>
      </x:c>
      <x:c r="C211" s="19" t="str">
        <x:v>中</x:v>
      </x:c>
      <x:c r="D211" s="19" t="str">
        <x:v>Jul 2026</x:v>
      </x:c>
      <x:c r="E211" s="19" t="n">
        <x:v>10</x:v>
      </x:c>
      <x:c r="F211" s="19" t="str">
        <x:v>us-60123.app.gong.io</x:v>
      </x:c>
      <x:c r="G211" s="19" t="str">
        <x:v>Unknown</x:v>
      </x:c>
      <x:c r="H211" s="19" t="str">
        <x:v>其他/待核查</x:v>
      </x:c>
      <x:c r="I211" s="19" t="str">
        <x:v>Similarweb 未分类</x:v>
      </x:c>
      <x:c r="J211" s="19"/>
      <x:c r="K211" s="20" t="n">
        <x:v>0.0161</x:v>
      </x:c>
      <x:c r="L211" s="19" t="str">
        <x:v>下降</x:v>
      </x:c>
      <x:c r="M211" s="20" t="n">
        <x:v>-0.0447</x:v>
      </x:c>
      <x:c r="N211" s="21" t="n">
        <x:v>295624</x:v>
      </x:c>
      <x:c r="O211" s="21" t="n">
        <x:v>4760</x:v>
      </x:c>
      <x:c r="P211" s="21" t="n">
        <x:f>ROUND(N211*K211,0)</x:f>
        <x:v>4760</x:v>
      </x:c>
      <x:c r="Q211" s="19" t="str">
        <x:v>否</x:v>
      </x:c>
      <x:c r="R211" s="19" t="str"/>
      <x:c r="S211" s="19" t="n">
        <x:f>IF(Q211="是",0,MIN(10,2+IF(C211="高",2,1)+IF(K211&gt;=3%,3,IF(K211&gt;=1%,2,1))+IF(L211="新出现",2,IF(M211&gt;=100%,3,IF(M211&gt;0,2,0)))))</x:f>
        <x:v>5</x:v>
      </x:c>
      <x:c r="T211" s="21"/>
      <x:c r="U211" s="20"/>
      <x:c r="V211" s="19" t="str">
        <x:v>http://us-60123.app.gong.io/</x:v>
      </x:c>
      <x:c r="W211" s="19" t="str">
        <x:v>https://pro.similarweb.com/#/digitalsuite/websiteanalysis/referrals/*/999/1m?webSource=Total&amp;selectedTab=incomingTraffic&amp;key=paddle.com</x:v>
      </x:c>
      <x:c r="X211" s="20" t="n">
        <x:f>IF(Q211="是",0,IFERROR(P211/SUMIFS($P$2:$P$964,$A$2:$A$964,A211,$Q$2:$Q$964,"否"),0))</x:f>
        <x:v>0.031351678895577835</x:v>
      </x:c>
      <x:c r="Y211" s="22" t="str">
        <x:f>IF(OR(M211="",U211=""),"未交叉",IF(M211*U211&gt;0,"同向",IF(M211*U211&lt;0,"背离","一侧持平")))</x:f>
        <x:v>未交叉</x:v>
      </x:c>
    </x:row>
    <x:row r="212">
      <x:c r="A212" s="18" t="str">
        <x:v>paddle.com</x:v>
      </x:c>
      <x:c r="B212" s="19" t="str">
        <x:v>支付商主域（混合流量）</x:v>
      </x:c>
      <x:c r="C212" s="19" t="str">
        <x:v>中</x:v>
      </x:c>
      <x:c r="D212" s="19" t="str">
        <x:v>Jul 2026</x:v>
      </x:c>
      <x:c r="E212" s="19" t="n">
        <x:v>11</x:v>
      </x:c>
      <x:c r="F212" s="19" t="str">
        <x:v>profitwell.com</x:v>
      </x:c>
      <x:c r="G212" s="19" t="str">
        <x:v>Online Marketing</x:v>
      </x:c>
      <x:c r="H212" s="19" t="str">
        <x:v>营销、生产力与商业服务</x:v>
      </x:c>
      <x:c r="I212" s="19" t="str">
        <x:v>Similarweb 行业映射</x:v>
      </x:c>
      <x:c r="J212" s="19" t="n">
        <x:v>723353</x:v>
      </x:c>
      <x:c r="K212" s="20" t="n">
        <x:v>0.0151</x:v>
      </x:c>
      <x:c r="L212" s="19" t="str">
        <x:v>上升</x:v>
      </x:c>
      <x:c r="M212" s="20" t="n">
        <x:v>3.0844</x:v>
      </x:c>
      <x:c r="N212" s="21" t="n">
        <x:v>295624</x:v>
      </x:c>
      <x:c r="O212" s="21" t="n">
        <x:v>4464</x:v>
      </x:c>
      <x:c r="P212" s="21" t="n">
        <x:f>ROUND(N212*K212,0)</x:f>
        <x:v>4464</x:v>
      </x:c>
      <x:c r="Q212" s="19" t="str">
        <x:v>否</x:v>
      </x:c>
      <x:c r="R212" s="19" t="str"/>
      <x:c r="S212" s="19" t="n">
        <x:f>IF(Q212="是",0,MIN(10,2+IF(C212="高",2,1)+IF(K212&gt;=3%,3,IF(K212&gt;=1%,2,1))+IF(L212="新出现",2,IF(M212&gt;=100%,3,IF(M212&gt;0,2,0)))))</x:f>
        <x:v>8</x:v>
      </x:c>
      <x:c r="T212" s="21"/>
      <x:c r="U212" s="20"/>
      <x:c r="V212" s="19" t="str">
        <x:v>http://profitwell.com/</x:v>
      </x:c>
      <x:c r="W212" s="19" t="str">
        <x:v>https://pro.similarweb.com/#/digitalsuite/websiteanalysis/referrals/*/999/1m?webSource=Total&amp;selectedTab=incomingTraffic&amp;key=paddle.com</x:v>
      </x:c>
      <x:c r="X212" s="20" t="n">
        <x:f>IF(Q212="是",0,IFERROR(P212/SUMIFS($P$2:$P$964,$A$2:$A$964,A212,$Q$2:$Q$964,"否"),0))</x:f>
        <x:v>0.029402078695348624</x:v>
      </x:c>
      <x:c r="Y212" s="22" t="str">
        <x:f>IF(OR(M212="",U212=""),"未交叉",IF(M212*U212&gt;0,"同向",IF(M212*U212&lt;0,"背离","一侧持平")))</x:f>
        <x:v>未交叉</x:v>
      </x:c>
    </x:row>
    <x:row r="213">
      <x:c r="A213" s="18" t="str">
        <x:v>paddle.com</x:v>
      </x:c>
      <x:c r="B213" s="19" t="str">
        <x:v>支付商主域（混合流量）</x:v>
      </x:c>
      <x:c r="C213" s="19" t="str">
        <x:v>中</x:v>
      </x:c>
      <x:c r="D213" s="19" t="str">
        <x:v>Jul 2026</x:v>
      </x:c>
      <x:c r="E213" s="19" t="n">
        <x:v>12</x:v>
      </x:c>
      <x:c r="F213" s="19" t="str">
        <x:v>stockanalysis.com</x:v>
      </x:c>
      <x:c r="G213" s="19" t="str">
        <x:v>Investing</x:v>
      </x:c>
      <x:c r="H213" s="19" t="str">
        <x:v>金融、支付与交易服务</x:v>
      </x:c>
      <x:c r="I213" s="19" t="str">
        <x:v>Similarweb 行业映射</x:v>
      </x:c>
      <x:c r="J213" s="19" t="n">
        <x:v>5988</x:v>
      </x:c>
      <x:c r="K213" s="20" t="n">
        <x:v>0.0141</x:v>
      </x:c>
      <x:c r="L213" s="19" t="str">
        <x:v>上升</x:v>
      </x:c>
      <x:c r="M213" s="20" t="n">
        <x:v>0.9845999999999999</x:v>
      </x:c>
      <x:c r="N213" s="21" t="n">
        <x:v>295624</x:v>
      </x:c>
      <x:c r="O213" s="21" t="n">
        <x:v>4168</x:v>
      </x:c>
      <x:c r="P213" s="21" t="n">
        <x:f>ROUND(N213*K213,0)</x:f>
        <x:v>4168</x:v>
      </x:c>
      <x:c r="Q213" s="19" t="str">
        <x:v>否</x:v>
      </x:c>
      <x:c r="R213" s="19" t="str"/>
      <x:c r="S213" s="19" t="n">
        <x:f>IF(Q213="是",0,MIN(10,2+IF(C213="高",2,1)+IF(K213&gt;=3%,3,IF(K213&gt;=1%,2,1))+IF(L213="新出现",2,IF(M213&gt;=100%,3,IF(M213&gt;0,2,0)))))</x:f>
        <x:v>7</x:v>
      </x:c>
      <x:c r="T213" s="21"/>
      <x:c r="U213" s="20"/>
      <x:c r="V213" s="19" t="str">
        <x:v>http://stockanalysis.com/</x:v>
      </x:c>
      <x:c r="W213" s="19" t="str">
        <x:v>https://pro.similarweb.com/#/digitalsuite/websiteanalysis/referrals/*/999/1m?webSource=Total&amp;selectedTab=incomingTraffic&amp;key=paddle.com</x:v>
      </x:c>
      <x:c r="X213" s="20" t="n">
        <x:f>IF(Q213="是",0,IFERROR(P213/SUMIFS($P$2:$P$964,$A$2:$A$964,A213,$Q$2:$Q$964,"否"),0))</x:f>
        <x:v>0.027452478495119413</x:v>
      </x:c>
      <x:c r="Y213" s="22" t="str">
        <x:f>IF(OR(M213="",U213=""),"未交叉",IF(M213*U213&gt;0,"同向",IF(M213*U213&lt;0,"背离","一侧持平")))</x:f>
        <x:v>未交叉</x:v>
      </x:c>
    </x:row>
    <x:row r="214">
      <x:c r="A214" s="18" t="str">
        <x:v>paddle.com</x:v>
      </x:c>
      <x:c r="B214" s="19" t="str">
        <x:v>支付商主域（混合流量）</x:v>
      </x:c>
      <x:c r="C214" s="19" t="str">
        <x:v>中</x:v>
      </x:c>
      <x:c r="D214" s="19" t="str">
        <x:v>Jul 2026</x:v>
      </x:c>
      <x:c r="E214" s="19" t="n">
        <x:v>13</x:v>
      </x:c>
      <x:c r="F214" s="19" t="str">
        <x:v>render.alipay.com</x:v>
      </x:c>
      <x:c r="G214" s="19" t="str">
        <x:v>Marketplace</x:v>
      </x:c>
      <x:c r="H214" s="19" t="str">
        <x:v>金融、支付与交易服务</x:v>
      </x:c>
      <x:c r="I214" s="19" t="str">
        <x:v>Similarweb 行业映射</x:v>
      </x:c>
      <x:c r="J214" s="19"/>
      <x:c r="K214" s="20" t="n">
        <x:v>0.013300000000000001</x:v>
      </x:c>
      <x:c r="L214" s="19" t="str">
        <x:v>新出现</x:v>
      </x:c>
      <x:c r="M214" s="20"/>
      <x:c r="N214" s="21" t="n">
        <x:v>295624</x:v>
      </x:c>
      <x:c r="O214" s="21" t="n">
        <x:v>3932</x:v>
      </x:c>
      <x:c r="P214" s="21" t="n">
        <x:f>ROUND(N214*K214,0)</x:f>
        <x:v>3932</x:v>
      </x:c>
      <x:c r="Q214" s="19" t="str">
        <x:v>是</x:v>
      </x:c>
      <x:c r="R214" s="19" t="str">
        <x:v>支付平台、自引荐或流量中介</x:v>
      </x:c>
      <x:c r="S214" s="19" t="n">
        <x:f>IF(Q214="是",0,MIN(10,2+IF(C214="高",2,1)+IF(K214&gt;=3%,3,IF(K214&gt;=1%,2,1))+IF(L214="新出现",2,IF(M214&gt;=100%,3,IF(M214&gt;0,2,0)))))</x:f>
        <x:v>0</x:v>
      </x:c>
      <x:c r="T214" s="21"/>
      <x:c r="U214" s="20"/>
      <x:c r="V214" s="19" t="str">
        <x:v>http://render.alipay.com/</x:v>
      </x:c>
      <x:c r="W214" s="19" t="str">
        <x:v>https://pro.similarweb.com/#/digitalsuite/websiteanalysis/referrals/*/999/1m?webSource=Total&amp;selectedTab=incomingTraffic&amp;key=paddle.com</x:v>
      </x:c>
      <x:c r="X214" s="20" t="n">
        <x:f>IF(Q214="是",0,IFERROR(P214/SUMIFS($P$2:$P$964,$A$2:$A$964,A214,$Q$2:$Q$964,"否"),0))</x:f>
        <x:v>0</x:v>
      </x:c>
      <x:c r="Y214" s="22" t="str">
        <x:f>IF(OR(M214="",U214=""),"未交叉",IF(M214*U214&gt;0,"同向",IF(M214*U214&lt;0,"背离","一侧持平")))</x:f>
        <x:v>未交叉</x:v>
      </x:c>
    </x:row>
    <x:row r="215">
      <x:c r="A215" s="18" t="str">
        <x:v>paddle.com</x:v>
      </x:c>
      <x:c r="B215" s="19" t="str">
        <x:v>支付商主域（混合流量）</x:v>
      </x:c>
      <x:c r="C215" s="19" t="str">
        <x:v>中</x:v>
      </x:c>
      <x:c r="D215" s="19" t="str">
        <x:v>Jul 2026</x:v>
      </x:c>
      <x:c r="E215" s="19" t="n">
        <x:v>14</x:v>
      </x:c>
      <x:c r="F215" s="19" t="str">
        <x:v>pixeleyes.co.nz</x:v>
      </x:c>
      <x:c r="G215" s="19" t="str">
        <x:v>Programming and Developer Software</x:v>
      </x:c>
      <x:c r="H215" s="19" t="str">
        <x:v>开发者工具与互联网基础设施</x:v>
      </x:c>
      <x:c r="I215" s="19" t="str">
        <x:v>Similarweb 行业映射</x:v>
      </x:c>
      <x:c r="J215" s="19" t="n">
        <x:v>13590227</x:v>
      </x:c>
      <x:c r="K215" s="20" t="n">
        <x:v>0.013000000000000001</x:v>
      </x:c>
      <x:c r="L215" s="19" t="str">
        <x:v>下降</x:v>
      </x:c>
      <x:c r="M215" s="20" t="n">
        <x:v>-0.003</x:v>
      </x:c>
      <x:c r="N215" s="21" t="n">
        <x:v>295624</x:v>
      </x:c>
      <x:c r="O215" s="21" t="n">
        <x:v>3843</x:v>
      </x:c>
      <x:c r="P215" s="21" t="n">
        <x:f>ROUND(N215*K215,0)</x:f>
        <x:v>3843</x:v>
      </x:c>
      <x:c r="Q215" s="19" t="str">
        <x:v>否</x:v>
      </x:c>
      <x:c r="R215" s="19" t="str"/>
      <x:c r="S215" s="19" t="n">
        <x:f>IF(Q215="是",0,MIN(10,2+IF(C215="高",2,1)+IF(K215&gt;=3%,3,IF(K215&gt;=1%,2,1))+IF(L215="新出现",2,IF(M215&gt;=100%,3,IF(M215&gt;0,2,0)))))</x:f>
        <x:v>5</x:v>
      </x:c>
      <x:c r="T215" s="21"/>
      <x:c r="U215" s="20"/>
      <x:c r="V215" s="19" t="str">
        <x:v>http://pixeleyes.co.nz/</x:v>
      </x:c>
      <x:c r="W215" s="19" t="str">
        <x:v>https://pro.similarweb.com/#/digitalsuite/websiteanalysis/referrals/*/999/1m?webSource=Total&amp;selectedTab=incomingTraffic&amp;key=paddle.com</x:v>
      </x:c>
      <x:c r="X215" s="20" t="n">
        <x:f>IF(Q215="是",0,IFERROR(P215/SUMIFS($P$2:$P$964,$A$2:$A$964,A215,$Q$2:$Q$964,"否"),0))</x:f>
        <x:v>0.025311870167165046</x:v>
      </x:c>
      <x:c r="Y215" s="22" t="str">
        <x:f>IF(OR(M215="",U215=""),"未交叉",IF(M215*U215&gt;0,"同向",IF(M215*U215&lt;0,"背离","一侧持平")))</x:f>
        <x:v>未交叉</x:v>
      </x:c>
    </x:row>
    <x:row r="216">
      <x:c r="A216" s="18" t="str">
        <x:v>paddle.com</x:v>
      </x:c>
      <x:c r="B216" s="19" t="str">
        <x:v>支付商主域（混合流量）</x:v>
      </x:c>
      <x:c r="C216" s="19" t="str">
        <x:v>中</x:v>
      </x:c>
      <x:c r="D216" s="19" t="str">
        <x:v>Jul 2026</x:v>
      </x:c>
      <x:c r="E216" s="19" t="n">
        <x:v>15</x:v>
      </x:c>
      <x:c r="F216" s="19" t="str">
        <x:v>learnku.com</x:v>
      </x:c>
      <x:c r="G216" s="19" t="str">
        <x:v>Programming and Developer Software</x:v>
      </x:c>
      <x:c r="H216" s="19" t="str">
        <x:v>开发者工具与互联网基础设施</x:v>
      </x:c>
      <x:c r="I216" s="19" t="str">
        <x:v>Similarweb 行业映射</x:v>
      </x:c>
      <x:c r="J216" s="19" t="n">
        <x:v>272392</x:v>
      </x:c>
      <x:c r="K216" s="20" t="n">
        <x:v>0.013000000000000001</x:v>
      </x:c>
      <x:c r="L216" s="19" t="str">
        <x:v>新出现</x:v>
      </x:c>
      <x:c r="M216" s="20"/>
      <x:c r="N216" s="21" t="n">
        <x:v>295624</x:v>
      </x:c>
      <x:c r="O216" s="21" t="n">
        <x:v>3843</x:v>
      </x:c>
      <x:c r="P216" s="21" t="n">
        <x:f>ROUND(N216*K216,0)</x:f>
        <x:v>3843</x:v>
      </x:c>
      <x:c r="Q216" s="19" t="str">
        <x:v>否</x:v>
      </x:c>
      <x:c r="R216" s="19" t="str"/>
      <x:c r="S216" s="19" t="n">
        <x:f>IF(Q216="是",0,MIN(10,2+IF(C216="高",2,1)+IF(K216&gt;=3%,3,IF(K216&gt;=1%,2,1))+IF(L216="新出现",2,IF(M216&gt;=100%,3,IF(M216&gt;0,2,0)))))</x:f>
        <x:v>7</x:v>
      </x:c>
      <x:c r="T216" s="21"/>
      <x:c r="U216" s="20"/>
      <x:c r="V216" s="19" t="str">
        <x:v>http://learnku.com/</x:v>
      </x:c>
      <x:c r="W216" s="19" t="str">
        <x:v>https://pro.similarweb.com/#/digitalsuite/websiteanalysis/referrals/*/999/1m?webSource=Total&amp;selectedTab=incomingTraffic&amp;key=paddle.com</x:v>
      </x:c>
      <x:c r="X216" s="20" t="n">
        <x:f>IF(Q216="是",0,IFERROR(P216/SUMIFS($P$2:$P$964,$A$2:$A$964,A216,$Q$2:$Q$964,"否"),0))</x:f>
        <x:v>0.025311870167165046</x:v>
      </x:c>
      <x:c r="Y216" s="22" t="str">
        <x:f>IF(OR(M216="",U216=""),"未交叉",IF(M216*U216&gt;0,"同向",IF(M216*U216&lt;0,"背离","一侧持平")))</x:f>
        <x:v>未交叉</x:v>
      </x:c>
    </x:row>
    <x:row r="217">
      <x:c r="A217" s="18" t="str">
        <x:v>paddle.com</x:v>
      </x:c>
      <x:c r="B217" s="19" t="str">
        <x:v>支付商主域（混合流量）</x:v>
      </x:c>
      <x:c r="C217" s="19" t="str">
        <x:v>中</x:v>
      </x:c>
      <x:c r="D217" s="19" t="str">
        <x:v>Jul 2026</x:v>
      </x:c>
      <x:c r="E217" s="19" t="n">
        <x:v>16</x:v>
      </x:c>
      <x:c r="F217" s="19" t="str">
        <x:v>keywordseverywhere.com</x:v>
      </x:c>
      <x:c r="G217" s="19" t="str">
        <x:v>Computers Electronics and Technology</x:v>
      </x:c>
      <x:c r="H217" s="19" t="str">
        <x:v>通用数字产品与技术服务</x:v>
      </x:c>
      <x:c r="I217" s="19" t="str">
        <x:v>Similarweb 行业映射</x:v>
      </x:c>
      <x:c r="J217" s="19" t="n">
        <x:v>155597</x:v>
      </x:c>
      <x:c r="K217" s="20" t="n">
        <x:v>0.0128</x:v>
      </x:c>
      <x:c r="L217" s="19" t="str">
        <x:v>下降</x:v>
      </x:c>
      <x:c r="M217" s="20" t="n">
        <x:v>-0.4547</x:v>
      </x:c>
      <x:c r="N217" s="21" t="n">
        <x:v>295624</x:v>
      </x:c>
      <x:c r="O217" s="21" t="n">
        <x:v>3784</x:v>
      </x:c>
      <x:c r="P217" s="21" t="n">
        <x:f>ROUND(N217*K217,0)</x:f>
        <x:v>3784</x:v>
      </x:c>
      <x:c r="Q217" s="19" t="str">
        <x:v>否</x:v>
      </x:c>
      <x:c r="R217" s="19" t="str"/>
      <x:c r="S217" s="19" t="n">
        <x:f>IF(Q217="是",0,MIN(10,2+IF(C217="高",2,1)+IF(K217&gt;=3%,3,IF(K217&gt;=1%,2,1))+IF(L217="新出现",2,IF(M217&gt;=100%,3,IF(M217&gt;0,2,0)))))</x:f>
        <x:v>5</x:v>
      </x:c>
      <x:c r="T217" s="21"/>
      <x:c r="U217" s="20"/>
      <x:c r="V217" s="19" t="str">
        <x:v>http://keywordseverywhere.com/</x:v>
      </x:c>
      <x:c r="W217" s="19" t="str">
        <x:v>https://pro.similarweb.com/#/digitalsuite/websiteanalysis/referrals/*/999/1m?webSource=Total&amp;selectedTab=incomingTraffic&amp;key=paddle.com</x:v>
      </x:c>
      <x:c r="X217" s="20" t="n">
        <x:f>IF(Q217="是",0,IFERROR(P217/SUMIFS($P$2:$P$964,$A$2:$A$964,A217,$Q$2:$Q$964,"否"),0))</x:f>
        <x:v>0.02492326742455179</x:v>
      </x:c>
      <x:c r="Y217" s="22" t="str">
        <x:f>IF(OR(M217="",U217=""),"未交叉",IF(M217*U217&gt;0,"同向",IF(M217*U217&lt;0,"背离","一侧持平")))</x:f>
        <x:v>未交叉</x:v>
      </x:c>
    </x:row>
    <x:row r="218">
      <x:c r="A218" s="18" t="str">
        <x:v>paddle.com</x:v>
      </x:c>
      <x:c r="B218" s="19" t="str">
        <x:v>支付商主域（混合流量）</x:v>
      </x:c>
      <x:c r="C218" s="19" t="str">
        <x:v>中</x:v>
      </x:c>
      <x:c r="D218" s="19" t="str">
        <x:v>Jul 2026</x:v>
      </x:c>
      <x:c r="E218" s="19" t="n">
        <x:v>17</x:v>
      </x:c>
      <x:c r="F218" s="19" t="str">
        <x:v>app.asomobile.net</x:v>
      </x:c>
      <x:c r="G218" s="19" t="str">
        <x:v>Computers Electronics and Technology</x:v>
      </x:c>
      <x:c r="H218" s="19" t="str">
        <x:v>通用数字产品与技术服务</x:v>
      </x:c>
      <x:c r="I218" s="19" t="str">
        <x:v>Similarweb 行业映射</x:v>
      </x:c>
      <x:c r="J218" s="19"/>
      <x:c r="K218" s="20" t="n">
        <x:v>0.0108</x:v>
      </x:c>
      <x:c r="L218" s="19" t="str">
        <x:v>上升</x:v>
      </x:c>
      <x:c r="M218" s="20" t="n">
        <x:v>2.3553</x:v>
      </x:c>
      <x:c r="N218" s="21" t="n">
        <x:v>295624</x:v>
      </x:c>
      <x:c r="O218" s="21" t="n">
        <x:v>3193</x:v>
      </x:c>
      <x:c r="P218" s="21" t="n">
        <x:f>ROUND(N218*K218,0)</x:f>
        <x:v>3193</x:v>
      </x:c>
      <x:c r="Q218" s="19" t="str">
        <x:v>否</x:v>
      </x:c>
      <x:c r="R218" s="19" t="str"/>
      <x:c r="S218" s="19" t="n">
        <x:f>IF(Q218="是",0,MIN(10,2+IF(C218="高",2,1)+IF(K218&gt;=3%,3,IF(K218&gt;=1%,2,1))+IF(L218="新出现",2,IF(M218&gt;=100%,3,IF(M218&gt;0,2,0)))))</x:f>
        <x:v>8</x:v>
      </x:c>
      <x:c r="T218" s="21"/>
      <x:c r="U218" s="20"/>
      <x:c r="V218" s="19" t="str">
        <x:v>http://app.asomobile.net/</x:v>
      </x:c>
      <x:c r="W218" s="19" t="str">
        <x:v>https://pro.similarweb.com/#/digitalsuite/websiteanalysis/referrals/*/999/1m?webSource=Total&amp;selectedTab=incomingTraffic&amp;key=paddle.com</x:v>
      </x:c>
      <x:c r="X218" s="20" t="n">
        <x:f>IF(Q218="是",0,IFERROR(P218/SUMIFS($P$2:$P$964,$A$2:$A$964,A218,$Q$2:$Q$964,"否"),0))</x:f>
        <x:v>0.021030653511256308</x:v>
      </x:c>
      <x:c r="Y218" s="22" t="str">
        <x:f>IF(OR(M218="",U218=""),"未交叉",IF(M218*U218&gt;0,"同向",IF(M218*U218&lt;0,"背离","一侧持平")))</x:f>
        <x:v>未交叉</x:v>
      </x:c>
    </x:row>
    <x:row r="219">
      <x:c r="A219" s="18" t="str">
        <x:v>paddle.com</x:v>
      </x:c>
      <x:c r="B219" s="19" t="str">
        <x:v>支付商主域（混合流量）</x:v>
      </x:c>
      <x:c r="C219" s="19" t="str">
        <x:v>中</x:v>
      </x:c>
      <x:c r="D219" s="19" t="str">
        <x:v>Jul 2026</x:v>
      </x:c>
      <x:c r="E219" s="19" t="n">
        <x:v>18</x:v>
      </x:c>
      <x:c r="F219" s="19" t="str">
        <x:v>plausible.io</x:v>
      </x:c>
      <x:c r="G219" s="19" t="str">
        <x:v>Programming and Developer Software</x:v>
      </x:c>
      <x:c r="H219" s="19" t="str">
        <x:v>开发者工具与互联网基础设施</x:v>
      </x:c>
      <x:c r="I219" s="19" t="str">
        <x:v>Similarweb 行业映射</x:v>
      </x:c>
      <x:c r="J219" s="19" t="n">
        <x:v>104101</x:v>
      </x:c>
      <x:c r="K219" s="20" t="n">
        <x:v>0.009899999999999999</x:v>
      </x:c>
      <x:c r="L219" s="19" t="str">
        <x:v>上升</x:v>
      </x:c>
      <x:c r="M219" s="20" t="n">
        <x:v>0.1115</x:v>
      </x:c>
      <x:c r="N219" s="21" t="n">
        <x:v>295624</x:v>
      </x:c>
      <x:c r="O219" s="21" t="n">
        <x:v>2927</x:v>
      </x:c>
      <x:c r="P219" s="21" t="n">
        <x:f>ROUND(N219*K219,0)</x:f>
        <x:v>2927</x:v>
      </x:c>
      <x:c r="Q219" s="19" t="str">
        <x:v>否</x:v>
      </x:c>
      <x:c r="R219" s="19" t="str"/>
      <x:c r="S219" s="19" t="n">
        <x:f>IF(Q219="是",0,MIN(10,2+IF(C219="高",2,1)+IF(K219&gt;=3%,3,IF(K219&gt;=1%,2,1))+IF(L219="新出现",2,IF(M219&gt;=100%,3,IF(M219&gt;0,2,0)))))</x:f>
        <x:v>6</x:v>
      </x:c>
      <x:c r="T219" s="21"/>
      <x:c r="U219" s="20"/>
      <x:c r="V219" s="19" t="str">
        <x:v>http://plausible.io/</x:v>
      </x:c>
      <x:c r="W219" s="19" t="str">
        <x:v>https://pro.similarweb.com/#/digitalsuite/websiteanalysis/referrals/*/999/1m?webSource=Total&amp;selectedTab=incomingTraffic&amp;key=paddle.com</x:v>
      </x:c>
      <x:c r="X219" s="20" t="n">
        <x:f>IF(Q219="是",0,IFERROR(P219/SUMIFS($P$2:$P$964,$A$2:$A$964,A219,$Q$2:$Q$964,"否"),0))</x:f>
        <x:v>0.01927864792591519</x:v>
      </x:c>
      <x:c r="Y219" s="22" t="str">
        <x:f>IF(OR(M219="",U219=""),"未交叉",IF(M219*U219&gt;0,"同向",IF(M219*U219&lt;0,"背离","一侧持平")))</x:f>
        <x:v>未交叉</x:v>
      </x:c>
    </x:row>
    <x:row r="220">
      <x:c r="A220" s="18" t="str">
        <x:v>paddle.com</x:v>
      </x:c>
      <x:c r="B220" s="19" t="str">
        <x:v>支付商主域（混合流量）</x:v>
      </x:c>
      <x:c r="C220" s="19" t="str">
        <x:v>中</x:v>
      </x:c>
      <x:c r="D220" s="19" t="str">
        <x:v>Jul 2026</x:v>
      </x:c>
      <x:c r="E220" s="19" t="n">
        <x:v>19</x:v>
      </x:c>
      <x:c r="F220" s="19" t="str">
        <x:v>stremio.com</x:v>
      </x:c>
      <x:c r="G220" s="19" t="str">
        <x:v>Computers Electronics and Technology</x:v>
      </x:c>
      <x:c r="H220" s="19" t="str">
        <x:v>通用数字产品与技术服务</x:v>
      </x:c>
      <x:c r="I220" s="19" t="str">
        <x:v>Similarweb 行业映射</x:v>
      </x:c>
      <x:c r="J220" s="19" t="n">
        <x:v>4379</x:v>
      </x:c>
      <x:c r="K220" s="20" t="n">
        <x:v>0.009399999999999999</x:v>
      </x:c>
      <x:c r="L220" s="19" t="str">
        <x:v>新出现</x:v>
      </x:c>
      <x:c r="M220" s="20"/>
      <x:c r="N220" s="21" t="n">
        <x:v>295624</x:v>
      </x:c>
      <x:c r="O220" s="21" t="n">
        <x:v>2779</x:v>
      </x:c>
      <x:c r="P220" s="21" t="n">
        <x:f>ROUND(N220*K220,0)</x:f>
        <x:v>2779</x:v>
      </x:c>
      <x:c r="Q220" s="19" t="str">
        <x:v>否</x:v>
      </x:c>
      <x:c r="R220" s="19" t="str"/>
      <x:c r="S220" s="19" t="n">
        <x:f>IF(Q220="是",0,MIN(10,2+IF(C220="高",2,1)+IF(K220&gt;=3%,3,IF(K220&gt;=1%,2,1))+IF(L220="新出现",2,IF(M220&gt;=100%,3,IF(M220&gt;0,2,0)))))</x:f>
        <x:v>6</x:v>
      </x:c>
      <x:c r="T220" s="21"/>
      <x:c r="U220" s="20"/>
      <x:c r="V220" s="19" t="str">
        <x:v>http://stremio.com/</x:v>
      </x:c>
      <x:c r="W220" s="19" t="str">
        <x:v>https://pro.similarweb.com/#/digitalsuite/websiteanalysis/referrals/*/999/1m?webSource=Total&amp;selectedTab=incomingTraffic&amp;key=paddle.com</x:v>
      </x:c>
      <x:c r="X220" s="20" t="n">
        <x:f>IF(Q220="是",0,IFERROR(P220/SUMIFS($P$2:$P$964,$A$2:$A$964,A220,$Q$2:$Q$964,"否"),0))</x:f>
        <x:v>0.01830384782580059</x:v>
      </x:c>
      <x:c r="Y220" s="22" t="str">
        <x:f>IF(OR(M220="",U220=""),"未交叉",IF(M220*U220&gt;0,"同向",IF(M220*U220&lt;0,"背离","一侧持平")))</x:f>
        <x:v>未交叉</x:v>
      </x:c>
    </x:row>
    <x:row r="221">
      <x:c r="A221" s="18" t="str">
        <x:v>paddle.com</x:v>
      </x:c>
      <x:c r="B221" s="19" t="str">
        <x:v>支付商主域（混合流量）</x:v>
      </x:c>
      <x:c r="C221" s="19" t="str">
        <x:v>中</x:v>
      </x:c>
      <x:c r="D221" s="19" t="str">
        <x:v>Jul 2026</x:v>
      </x:c>
      <x:c r="E221" s="19" t="n">
        <x:v>20</x:v>
      </x:c>
      <x:c r="F221" s="19" t="str">
        <x:v>clearcheck.ai</x:v>
      </x:c>
      <x:c r="G221" s="19" t="str">
        <x:v>Telecommunications</x:v>
      </x:c>
      <x:c r="H221" s="19" t="str">
        <x:v>AI 工具与应用（未细分）</x:v>
      </x:c>
      <x:c r="I221" s="19" t="str">
        <x:v>域名后缀启发式</x:v>
      </x:c>
      <x:c r="J221" s="19" t="n">
        <x:v>72133</x:v>
      </x:c>
      <x:c r="K221" s="20" t="n">
        <x:v>0.0083</x:v>
      </x:c>
      <x:c r="L221" s="19" t="str">
        <x:v>上升</x:v>
      </x:c>
      <x:c r="M221" s="20" t="n">
        <x:v>11.3275</x:v>
      </x:c>
      <x:c r="N221" s="21" t="n">
        <x:v>295624</x:v>
      </x:c>
      <x:c r="O221" s="21" t="n">
        <x:v>2454</x:v>
      </x:c>
      <x:c r="P221" s="21" t="n">
        <x:f>ROUND(N221*K221,0)</x:f>
        <x:v>2454</x:v>
      </x:c>
      <x:c r="Q221" s="19" t="str">
        <x:v>否</x:v>
      </x:c>
      <x:c r="R221" s="19" t="str"/>
      <x:c r="S221" s="19" t="n">
        <x:f>IF(Q221="是",0,MIN(10,2+IF(C221="高",2,1)+IF(K221&gt;=3%,3,IF(K221&gt;=1%,2,1))+IF(L221="新出现",2,IF(M221&gt;=100%,3,IF(M221&gt;0,2,0)))))</x:f>
        <x:v>7</x:v>
      </x:c>
      <x:c r="T221" s="21"/>
      <x:c r="U221" s="20"/>
      <x:c r="V221" s="19" t="str">
        <x:v>http://clearcheck.ai/</x:v>
      </x:c>
      <x:c r="W221" s="19" t="str">
        <x:v>https://pro.similarweb.com/#/digitalsuite/websiteanalysis/referrals/*/999/1m?webSource=Total&amp;selectedTab=incomingTraffic&amp;key=paddle.com</x:v>
      </x:c>
      <x:c r="X221" s="20" t="n">
        <x:f>IF(Q221="是",0,IFERROR(P221/SUMIFS($P$2:$P$964,$A$2:$A$964,A221,$Q$2:$Q$964,"否"),0))</x:f>
        <x:v>0.01616323949784622</x:v>
      </x:c>
      <x:c r="Y221" s="22" t="str">
        <x:f>IF(OR(M221="",U221=""),"未交叉",IF(M221*U221&gt;0,"同向",IF(M221*U221&lt;0,"背离","一侧持平")))</x:f>
        <x:v>未交叉</x:v>
      </x:c>
    </x:row>
    <x:row r="222">
      <x:c r="A222" s="18" t="str">
        <x:v>paddle.com</x:v>
      </x:c>
      <x:c r="B222" s="19" t="str">
        <x:v>支付商主域（混合流量）</x:v>
      </x:c>
      <x:c r="C222" s="19" t="str">
        <x:v>中</x:v>
      </x:c>
      <x:c r="D222" s="19" t="str">
        <x:v>Jul 2026</x:v>
      </x:c>
      <x:c r="E222" s="19" t="n">
        <x:v>21</x:v>
      </x:c>
      <x:c r="F222" s="19" t="str">
        <x:v>app.emergent.sh</x:v>
      </x:c>
      <x:c r="G222" s="19" t="str">
        <x:v>Computers Electronics and Technology</x:v>
      </x:c>
      <x:c r="H222" s="19" t="str">
        <x:v>AI 开发工具与基础设施</x:v>
      </x:c>
      <x:c r="I222" s="19" t="str">
        <x:v>域名人工识别</x:v>
      </x:c>
      <x:c r="J222" s="19"/>
      <x:c r="K222" s="20" t="n">
        <x:v>0.0076</x:v>
      </x:c>
      <x:c r="L222" s="19" t="str">
        <x:v>上升</x:v>
      </x:c>
      <x:c r="M222" s="20" t="n">
        <x:v>0.1186</x:v>
      </x:c>
      <x:c r="N222" s="21" t="n">
        <x:v>295624</x:v>
      </x:c>
      <x:c r="O222" s="21" t="n">
        <x:v>2247</x:v>
      </x:c>
      <x:c r="P222" s="21" t="n">
        <x:f>ROUND(N222*K222,0)</x:f>
        <x:v>2247</x:v>
      </x:c>
      <x:c r="Q222" s="19" t="str">
        <x:v>否</x:v>
      </x:c>
      <x:c r="R222" s="19" t="str"/>
      <x:c r="S222" s="19" t="n">
        <x:f>IF(Q222="是",0,MIN(10,2+IF(C222="高",2,1)+IF(K222&gt;=3%,3,IF(K222&gt;=1%,2,1))+IF(L222="新出现",2,IF(M222&gt;=100%,3,IF(M222&gt;0,2,0)))))</x:f>
        <x:v>6</x:v>
      </x:c>
      <x:c r="T222" s="21" t="n">
        <x:v>8735000</x:v>
      </x:c>
      <x:c r="U222" s="20" t="n">
        <x:v>0.2812</x:v>
      </x:c>
      <x:c r="V222" s="19" t="str">
        <x:v>http://app.emergent.sh/</x:v>
      </x:c>
      <x:c r="W222" s="19" t="str">
        <x:v>https://pro.similarweb.com/#/digitalsuite/websiteanalysis/referrals/*/999/1m?webSource=Total&amp;selectedTab=incomingTraffic&amp;key=paddle.com</x:v>
      </x:c>
      <x:c r="X222" s="20" t="n">
        <x:f>IF(Q222="是",0,IFERROR(P222/SUMIFS($P$2:$P$964,$A$2:$A$964,A222,$Q$2:$Q$964,"否"),0))</x:f>
        <x:v>0.014799836655118359</x:v>
      </x:c>
      <x:c r="Y222" s="22" t="str">
        <x:f>IF(OR(M222="",U222=""),"未交叉",IF(M222*U222&gt;0,"同向",IF(M222*U222&lt;0,"背离","一侧持平")))</x:f>
        <x:v>同向</x:v>
      </x:c>
    </x:row>
    <x:row r="223">
      <x:c r="A223" s="18" t="str">
        <x:v>paddle.com</x:v>
      </x:c>
      <x:c r="B223" s="19" t="str">
        <x:v>支付商主域（混合流量）</x:v>
      </x:c>
      <x:c r="C223" s="19" t="str">
        <x:v>中</x:v>
      </x:c>
      <x:c r="D223" s="19" t="str">
        <x:v>Jul 2026</x:v>
      </x:c>
      <x:c r="E223" s="19" t="n">
        <x:v>22</x:v>
      </x:c>
      <x:c r="F223" s="19" t="str">
        <x:v>app.opennovel.co</x:v>
      </x:c>
      <x:c r="G223" s="19" t="str">
        <x:v>Books and Literature</x:v>
      </x:c>
      <x:c r="H223" s="19" t="str">
        <x:v>其他/待核查</x:v>
      </x:c>
      <x:c r="I223" s="19" t="str">
        <x:v>保守归类</x:v>
      </x:c>
      <x:c r="J223" s="19"/>
      <x:c r="K223" s="20" t="n">
        <x:v>0.0070999999999999995</x:v>
      </x:c>
      <x:c r="L223" s="19" t="str">
        <x:v>上升</x:v>
      </x:c>
      <x:c r="M223" s="20" t="n">
        <x:v>8.2334</x:v>
      </x:c>
      <x:c r="N223" s="21" t="n">
        <x:v>295624</x:v>
      </x:c>
      <x:c r="O223" s="21" t="n">
        <x:v>2099</x:v>
      </x:c>
      <x:c r="P223" s="21" t="n">
        <x:f>ROUND(N223*K223,0)</x:f>
        <x:v>2099</x:v>
      </x:c>
      <x:c r="Q223" s="19" t="str">
        <x:v>否</x:v>
      </x:c>
      <x:c r="R223" s="19" t="str"/>
      <x:c r="S223" s="19" t="n">
        <x:f>IF(Q223="是",0,MIN(10,2+IF(C223="高",2,1)+IF(K223&gt;=3%,3,IF(K223&gt;=1%,2,1))+IF(L223="新出现",2,IF(M223&gt;=100%,3,IF(M223&gt;0,2,0)))))</x:f>
        <x:v>7</x:v>
      </x:c>
      <x:c r="T223" s="21"/>
      <x:c r="U223" s="20"/>
      <x:c r="V223" s="19" t="str">
        <x:v>http://app.opennovel.co/</x:v>
      </x:c>
      <x:c r="W223" s="19" t="str">
        <x:v>https://pro.similarweb.com/#/digitalsuite/websiteanalysis/referrals/*/999/1m?webSource=Total&amp;selectedTab=incomingTraffic&amp;key=paddle.com</x:v>
      </x:c>
      <x:c r="X223" s="20" t="n">
        <x:f>IF(Q223="是",0,IFERROR(P223/SUMIFS($P$2:$P$964,$A$2:$A$964,A223,$Q$2:$Q$964,"否"),0))</x:f>
        <x:v>0.013825036555003754</x:v>
      </x:c>
      <x:c r="Y223" s="22" t="str">
        <x:f>IF(OR(M223="",U223=""),"未交叉",IF(M223*U223&gt;0,"同向",IF(M223*U223&lt;0,"背离","一侧持平")))</x:f>
        <x:v>未交叉</x:v>
      </x:c>
    </x:row>
    <x:row r="224">
      <x:c r="A224" s="18" t="str">
        <x:v>paddle.com</x:v>
      </x:c>
      <x:c r="B224" s="19" t="str">
        <x:v>支付商主域（混合流量）</x:v>
      </x:c>
      <x:c r="C224" s="19" t="str">
        <x:v>中</x:v>
      </x:c>
      <x:c r="D224" s="19" t="str">
        <x:v>Jul 2026</x:v>
      </x:c>
      <x:c r="E224" s="19" t="n">
        <x:v>23</x:v>
      </x:c>
      <x:c r="F224" s="19" t="str">
        <x:v>languagereactor.com</x:v>
      </x:c>
      <x:c r="G224" s="19" t="str">
        <x:v>Telecommunications</x:v>
      </x:c>
      <x:c r="H224" s="19" t="str">
        <x:v>其他/待核查</x:v>
      </x:c>
      <x:c r="I224" s="19" t="str">
        <x:v>保守归类</x:v>
      </x:c>
      <x:c r="J224" s="19" t="n">
        <x:v>25510</x:v>
      </x:c>
      <x:c r="K224" s="20" t="n">
        <x:v>0.0069</x:v>
      </x:c>
      <x:c r="L224" s="19" t="str">
        <x:v>下降</x:v>
      </x:c>
      <x:c r="M224" s="20" t="n">
        <x:v>-0.2994</x:v>
      </x:c>
      <x:c r="N224" s="21" t="n">
        <x:v>295624</x:v>
      </x:c>
      <x:c r="O224" s="21" t="n">
        <x:v>2040</x:v>
      </x:c>
      <x:c r="P224" s="21" t="n">
        <x:f>ROUND(N224*K224,0)</x:f>
        <x:v>2040</x:v>
      </x:c>
      <x:c r="Q224" s="19" t="str">
        <x:v>否</x:v>
      </x:c>
      <x:c r="R224" s="19" t="str"/>
      <x:c r="S224" s="19" t="n">
        <x:f>IF(Q224="是",0,MIN(10,2+IF(C224="高",2,1)+IF(K224&gt;=3%,3,IF(K224&gt;=1%,2,1))+IF(L224="新出现",2,IF(M224&gt;=100%,3,IF(M224&gt;0,2,0)))))</x:f>
        <x:v>4</x:v>
      </x:c>
      <x:c r="T224" s="21"/>
      <x:c r="U224" s="20"/>
      <x:c r="V224" s="19" t="str">
        <x:v>http://languagereactor.com/</x:v>
      </x:c>
      <x:c r="W224" s="19" t="str">
        <x:v>https://pro.similarweb.com/#/digitalsuite/websiteanalysis/referrals/*/999/1m?webSource=Total&amp;selectedTab=incomingTraffic&amp;key=paddle.com</x:v>
      </x:c>
      <x:c r="X224" s="20" t="n">
        <x:f>IF(Q224="是",0,IFERROR(P224/SUMIFS($P$2:$P$964,$A$2:$A$964,A224,$Q$2:$Q$964,"否"),0))</x:f>
        <x:v>0.0134364338123905</x:v>
      </x:c>
      <x:c r="Y224" s="22" t="str">
        <x:f>IF(OR(M224="",U224=""),"未交叉",IF(M224*U224&gt;0,"同向",IF(M224*U224&lt;0,"背离","一侧持平")))</x:f>
        <x:v>未交叉</x:v>
      </x:c>
    </x:row>
    <x:row r="225">
      <x:c r="A225" s="18" t="str">
        <x:v>paddle.com</x:v>
      </x:c>
      <x:c r="B225" s="19" t="str">
        <x:v>支付商主域（混合流量）</x:v>
      </x:c>
      <x:c r="C225" s="19" t="str">
        <x:v>中</x:v>
      </x:c>
      <x:c r="D225" s="19" t="str">
        <x:v>Jul 2026</x:v>
      </x:c>
      <x:c r="E225" s="19" t="n">
        <x:v>24</x:v>
      </x:c>
      <x:c r="F225" s="19" t="str">
        <x:v>chatbotai.com</x:v>
      </x:c>
      <x:c r="G225" s="19" t="str">
        <x:v>Graphics Multimedia and Web Design</x:v>
      </x:c>
      <x:c r="H225" s="19" t="str">
        <x:v>创作、设计与多媒体工具</x:v>
      </x:c>
      <x:c r="I225" s="19" t="str">
        <x:v>Similarweb 行业映射</x:v>
      </x:c>
      <x:c r="J225" s="19" t="n">
        <x:v>173773</x:v>
      </x:c>
      <x:c r="K225" s="20" t="n">
        <x:v>0.0064</x:v>
      </x:c>
      <x:c r="L225" s="19" t="str">
        <x:v>上升</x:v>
      </x:c>
      <x:c r="M225" s="20" t="n">
        <x:v>10.6086</x:v>
      </x:c>
      <x:c r="N225" s="21" t="n">
        <x:v>295624</x:v>
      </x:c>
      <x:c r="O225" s="21" t="n">
        <x:v>1892</x:v>
      </x:c>
      <x:c r="P225" s="21" t="n">
        <x:f>ROUND(N225*K225,0)</x:f>
        <x:v>1892</x:v>
      </x:c>
      <x:c r="Q225" s="19" t="str">
        <x:v>否</x:v>
      </x:c>
      <x:c r="R225" s="19" t="str"/>
      <x:c r="S225" s="19" t="n">
        <x:f>IF(Q225="是",0,MIN(10,2+IF(C225="高",2,1)+IF(K225&gt;=3%,3,IF(K225&gt;=1%,2,1))+IF(L225="新出现",2,IF(M225&gt;=100%,3,IF(M225&gt;0,2,0)))))</x:f>
        <x:v>7</x:v>
      </x:c>
      <x:c r="T225" s="21"/>
      <x:c r="U225" s="20"/>
      <x:c r="V225" s="19" t="str">
        <x:v>http://chatbotai.com/</x:v>
      </x:c>
      <x:c r="W225" s="19" t="str">
        <x:v>https://pro.similarweb.com/#/digitalsuite/websiteanalysis/referrals/*/999/1m?webSource=Total&amp;selectedTab=incomingTraffic&amp;key=paddle.com</x:v>
      </x:c>
      <x:c r="X225" s="20" t="n">
        <x:f>IF(Q225="是",0,IFERROR(P225/SUMIFS($P$2:$P$964,$A$2:$A$964,A225,$Q$2:$Q$964,"否"),0))</x:f>
        <x:v>0.012461633712275894</x:v>
      </x:c>
      <x:c r="Y225" s="22" t="str">
        <x:f>IF(OR(M225="",U225=""),"未交叉",IF(M225*U225&gt;0,"同向",IF(M225*U225&lt;0,"背离","一侧持平")))</x:f>
        <x:v>未交叉</x:v>
      </x:c>
    </x:row>
    <x:row r="226">
      <x:c r="A226" s="18" t="str">
        <x:v>paddle.com</x:v>
      </x:c>
      <x:c r="B226" s="19" t="str">
        <x:v>支付商主域（混合流量）</x:v>
      </x:c>
      <x:c r="C226" s="19" t="str">
        <x:v>中</x:v>
      </x:c>
      <x:c r="D226" s="19" t="str">
        <x:v>Jul 2026</x:v>
      </x:c>
      <x:c r="E226" s="19" t="n">
        <x:v>25</x:v>
      </x:c>
      <x:c r="F226" s="19" t="str">
        <x:v>pdfkor.com</x:v>
      </x:c>
      <x:c r="G226" s="19" t="str">
        <x:v>Unknown</x:v>
      </x:c>
      <x:c r="H226" s="19" t="str">
        <x:v>其他/待核查</x:v>
      </x:c>
      <x:c r="I226" s="19" t="str">
        <x:v>Similarweb 未分类</x:v>
      </x:c>
      <x:c r="J226" s="19" t="n">
        <x:v>2852974</x:v>
      </x:c>
      <x:c r="K226" s="20" t="n">
        <x:v>0.0062</x:v>
      </x:c>
      <x:c r="L226" s="19" t="str">
        <x:v>新出现</x:v>
      </x:c>
      <x:c r="M226" s="20"/>
      <x:c r="N226" s="21" t="n">
        <x:v>295624</x:v>
      </x:c>
      <x:c r="O226" s="21" t="n">
        <x:v>1833</x:v>
      </x:c>
      <x:c r="P226" s="21" t="n">
        <x:f>ROUND(N226*K226,0)</x:f>
        <x:v>1833</x:v>
      </x:c>
      <x:c r="Q226" s="19" t="str">
        <x:v>否</x:v>
      </x:c>
      <x:c r="R226" s="19" t="str"/>
      <x:c r="S226" s="19" t="n">
        <x:f>IF(Q226="是",0,MIN(10,2+IF(C226="高",2,1)+IF(K226&gt;=3%,3,IF(K226&gt;=1%,2,1))+IF(L226="新出现",2,IF(M226&gt;=100%,3,IF(M226&gt;0,2,0)))))</x:f>
        <x:v>6</x:v>
      </x:c>
      <x:c r="T226" s="21"/>
      <x:c r="U226" s="20"/>
      <x:c r="V226" s="19" t="str">
        <x:v>http://pdfkor.com/</x:v>
      </x:c>
      <x:c r="W226" s="19" t="str">
        <x:v>https://pro.similarweb.com/#/digitalsuite/websiteanalysis/referrals/*/999/1m?webSource=Total&amp;selectedTab=incomingTraffic&amp;key=paddle.com</x:v>
      </x:c>
      <x:c r="X226" s="20" t="n">
        <x:f>IF(Q226="是",0,IFERROR(P226/SUMIFS($P$2:$P$964,$A$2:$A$964,A226,$Q$2:$Q$964,"否"),0))</x:f>
        <x:v>0.01207303096966264</x:v>
      </x:c>
      <x:c r="Y226" s="22" t="str">
        <x:f>IF(OR(M226="",U226=""),"未交叉",IF(M226*U226&gt;0,"同向",IF(M226*U226&lt;0,"背离","一侧持平")))</x:f>
        <x:v>未交叉</x:v>
      </x:c>
    </x:row>
    <x:row r="227">
      <x:c r="A227" s="18" t="str">
        <x:v>paddle.com</x:v>
      </x:c>
      <x:c r="B227" s="19" t="str">
        <x:v>支付商主域（混合流量）</x:v>
      </x:c>
      <x:c r="C227" s="19" t="str">
        <x:v>中</x:v>
      </x:c>
      <x:c r="D227" s="19" t="str">
        <x:v>Jul 2026</x:v>
      </x:c>
      <x:c r="E227" s="19" t="n">
        <x:v>26</x:v>
      </x:c>
      <x:c r="F227" s="19" t="str">
        <x:v>parceltracking.app</x:v>
      </x:c>
      <x:c r="G227" s="19" t="str">
        <x:v>Unknown</x:v>
      </x:c>
      <x:c r="H227" s="19" t="str">
        <x:v>其他/待核查</x:v>
      </x:c>
      <x:c r="I227" s="19" t="str">
        <x:v>Similarweb 未分类</x:v>
      </x:c>
      <x:c r="J227" s="19"/>
      <x:c r="K227" s="20" t="n">
        <x:v>0.0059</x:v>
      </x:c>
      <x:c r="L227" s="19" t="str">
        <x:v>下降</x:v>
      </x:c>
      <x:c r="M227" s="20" t="n">
        <x:v>-0.45549999999999996</x:v>
      </x:c>
      <x:c r="N227" s="21" t="n">
        <x:v>295624</x:v>
      </x:c>
      <x:c r="O227" s="21" t="n">
        <x:v>1744</x:v>
      </x:c>
      <x:c r="P227" s="21" t="n">
        <x:f>ROUND(N227*K227,0)</x:f>
        <x:v>1744</x:v>
      </x:c>
      <x:c r="Q227" s="19" t="str">
        <x:v>否</x:v>
      </x:c>
      <x:c r="R227" s="19" t="str"/>
      <x:c r="S227" s="19" t="n">
        <x:f>IF(Q227="是",0,MIN(10,2+IF(C227="高",2,1)+IF(K227&gt;=3%,3,IF(K227&gt;=1%,2,1))+IF(L227="新出现",2,IF(M227&gt;=100%,3,IF(M227&gt;0,2,0)))))</x:f>
        <x:v>4</x:v>
      </x:c>
      <x:c r="T227" s="21"/>
      <x:c r="U227" s="20"/>
      <x:c r="V227" s="19" t="str">
        <x:v>http://parceltracking.app/</x:v>
      </x:c>
      <x:c r="W227" s="19" t="str">
        <x:v>https://pro.similarweb.com/#/digitalsuite/websiteanalysis/referrals/*/999/1m?webSource=Total&amp;selectedTab=incomingTraffic&amp;key=paddle.com</x:v>
      </x:c>
      <x:c r="X227" s="20" t="n">
        <x:f>IF(Q227="是",0,IFERROR(P227/SUMIFS($P$2:$P$964,$A$2:$A$964,A227,$Q$2:$Q$964,"否"),0))</x:f>
        <x:v>0.01148683361216129</x:v>
      </x:c>
      <x:c r="Y227" s="22" t="str">
        <x:f>IF(OR(M227="",U227=""),"未交叉",IF(M227*U227&gt;0,"同向",IF(M227*U227&lt;0,"背离","一侧持平")))</x:f>
        <x:v>未交叉</x:v>
      </x:c>
    </x:row>
    <x:row r="228">
      <x:c r="A228" s="18" t="str">
        <x:v>paddle.com</x:v>
      </x:c>
      <x:c r="B228" s="19" t="str">
        <x:v>支付商主域（混合流量）</x:v>
      </x:c>
      <x:c r="C228" s="19" t="str">
        <x:v>中</x:v>
      </x:c>
      <x:c r="D228" s="19" t="str">
        <x:v>Jul 2026</x:v>
      </x:c>
      <x:c r="E228" s="19" t="n">
        <x:v>27</x:v>
      </x:c>
      <x:c r="F228" s="19" t="str">
        <x:v>betterttv.com</x:v>
      </x:c>
      <x:c r="G228" s="19" t="str">
        <x:v>Video Games Consoles and Accessories</x:v>
      </x:c>
      <x:c r="H228" s="19" t="str">
        <x:v>游戏、数字商品与虚拟内容</x:v>
      </x:c>
      <x:c r="I228" s="19" t="str">
        <x:v>Similarweb 行业映射</x:v>
      </x:c>
      <x:c r="J228" s="19" t="n">
        <x:v>35675</x:v>
      </x:c>
      <x:c r="K228" s="20" t="n">
        <x:v>0.0055000000000000005</x:v>
      </x:c>
      <x:c r="L228" s="19" t="str">
        <x:v>新出现</x:v>
      </x:c>
      <x:c r="M228" s="20"/>
      <x:c r="N228" s="21" t="n">
        <x:v>295624</x:v>
      </x:c>
      <x:c r="O228" s="21" t="n">
        <x:v>1626</x:v>
      </x:c>
      <x:c r="P228" s="21" t="n">
        <x:f>ROUND(N228*K228,0)</x:f>
        <x:v>1626</x:v>
      </x:c>
      <x:c r="Q228" s="19" t="str">
        <x:v>否</x:v>
      </x:c>
      <x:c r="R228" s="19" t="str"/>
      <x:c r="S228" s="19" t="n">
        <x:f>IF(Q228="是",0,MIN(10,2+IF(C228="高",2,1)+IF(K228&gt;=3%,3,IF(K228&gt;=1%,2,1))+IF(L228="新出现",2,IF(M228&gt;=100%,3,IF(M228&gt;0,2,0)))))</x:f>
        <x:v>6</x:v>
      </x:c>
      <x:c r="T228" s="21"/>
      <x:c r="U228" s="20"/>
      <x:c r="V228" s="19" t="str">
        <x:v>http://betterttv.com/</x:v>
      </x:c>
      <x:c r="W228" s="19" t="str">
        <x:v>https://pro.similarweb.com/#/digitalsuite/websiteanalysis/referrals/*/999/1m?webSource=Total&amp;selectedTab=incomingTraffic&amp;key=paddle.com</x:v>
      </x:c>
      <x:c r="X228" s="20" t="n">
        <x:f>IF(Q228="是",0,IFERROR(P228/SUMIFS($P$2:$P$964,$A$2:$A$964,A228,$Q$2:$Q$964,"否"),0))</x:f>
        <x:v>0.010709628126934781</x:v>
      </x:c>
      <x:c r="Y228" s="22" t="str">
        <x:f>IF(OR(M228="",U228=""),"未交叉",IF(M228*U228&gt;0,"同向",IF(M228*U228&lt;0,"背离","一侧持平")))</x:f>
        <x:v>未交叉</x:v>
      </x:c>
    </x:row>
    <x:row r="229">
      <x:c r="A229" s="18" t="str">
        <x:v>paddle.com</x:v>
      </x:c>
      <x:c r="B229" s="19" t="str">
        <x:v>支付商主域（混合流量）</x:v>
      </x:c>
      <x:c r="C229" s="19" t="str">
        <x:v>中</x:v>
      </x:c>
      <x:c r="D229" s="19" t="str">
        <x:v>Jul 2026</x:v>
      </x:c>
      <x:c r="E229" s="19" t="n">
        <x:v>28</x:v>
      </x:c>
      <x:c r="F229" s="19" t="str">
        <x:v>tornadosw.com</x:v>
      </x:c>
      <x:c r="G229" s="19" t="str">
        <x:v>Photography</x:v>
      </x:c>
      <x:c r="H229" s="19" t="str">
        <x:v>其他/待核查</x:v>
      </x:c>
      <x:c r="I229" s="19" t="str">
        <x:v>保守归类</x:v>
      </x:c>
      <x:c r="J229" s="19" t="n">
        <x:v>1253413</x:v>
      </x:c>
      <x:c r="K229" s="20" t="n">
        <x:v>0.005</x:v>
      </x:c>
      <x:c r="L229" s="19" t="str">
        <x:v>新出现</x:v>
      </x:c>
      <x:c r="M229" s="20"/>
      <x:c r="N229" s="21" t="n">
        <x:v>295624</x:v>
      </x:c>
      <x:c r="O229" s="21" t="n">
        <x:v>1478</x:v>
      </x:c>
      <x:c r="P229" s="21" t="n">
        <x:f>ROUND(N229*K229,0)</x:f>
        <x:v>1478</x:v>
      </x:c>
      <x:c r="Q229" s="19" t="str">
        <x:v>否</x:v>
      </x:c>
      <x:c r="R229" s="19" t="str"/>
      <x:c r="S229" s="19" t="n">
        <x:f>IF(Q229="是",0,MIN(10,2+IF(C229="高",2,1)+IF(K229&gt;=3%,3,IF(K229&gt;=1%,2,1))+IF(L229="新出现",2,IF(M229&gt;=100%,3,IF(M229&gt;0,2,0)))))</x:f>
        <x:v>6</x:v>
      </x:c>
      <x:c r="T229" s="21"/>
      <x:c r="U229" s="20"/>
      <x:c r="V229" s="19" t="str">
        <x:v>http://tornadosw.com/</x:v>
      </x:c>
      <x:c r="W229" s="19" t="str">
        <x:v>https://pro.similarweb.com/#/digitalsuite/websiteanalysis/referrals/*/999/1m?webSource=Total&amp;selectedTab=incomingTraffic&amp;key=paddle.com</x:v>
      </x:c>
      <x:c r="X229" s="20" t="n">
        <x:f>IF(Q229="是",0,IFERROR(P229/SUMIFS($P$2:$P$964,$A$2:$A$964,A229,$Q$2:$Q$964,"否"),0))</x:f>
        <x:v>0.009734828026820175</x:v>
      </x:c>
      <x:c r="Y229" s="22" t="str">
        <x:f>IF(OR(M229="",U229=""),"未交叉",IF(M229*U229&gt;0,"同向",IF(M229*U229&lt;0,"背离","一侧持平")))</x:f>
        <x:v>未交叉</x:v>
      </x:c>
    </x:row>
    <x:row r="230">
      <x:c r="A230" s="18" t="str">
        <x:v>paddle.com</x:v>
      </x:c>
      <x:c r="B230" s="19" t="str">
        <x:v>支付商主域（混合流量）</x:v>
      </x:c>
      <x:c r="C230" s="19" t="str">
        <x:v>中</x:v>
      </x:c>
      <x:c r="D230" s="19" t="str">
        <x:v>Jul 2026</x:v>
      </x:c>
      <x:c r="E230" s="19" t="n">
        <x:v>29</x:v>
      </x:c>
      <x:c r="F230" s="19" t="str">
        <x:v>evoto.ai</x:v>
      </x:c>
      <x:c r="G230" s="19" t="str">
        <x:v>Graphics Multimedia and Web Design</x:v>
      </x:c>
      <x:c r="H230" s="19" t="str">
        <x:v>AI 工具与应用（未细分）</x:v>
      </x:c>
      <x:c r="I230" s="19" t="str">
        <x:v>域名后缀启发式</x:v>
      </x:c>
      <x:c r="J230" s="19" t="n">
        <x:v>40374</x:v>
      </x:c>
      <x:c r="K230" s="20" t="n">
        <x:v>0.0048</x:v>
      </x:c>
      <x:c r="L230" s="19" t="str">
        <x:v>上升</x:v>
      </x:c>
      <x:c r="M230" s="20" t="n">
        <x:v>2.764</x:v>
      </x:c>
      <x:c r="N230" s="21" t="n">
        <x:v>295624</x:v>
      </x:c>
      <x:c r="O230" s="21" t="n">
        <x:v>1419</x:v>
      </x:c>
      <x:c r="P230" s="21" t="n">
        <x:f>ROUND(N230*K230,0)</x:f>
        <x:v>1419</x:v>
      </x:c>
      <x:c r="Q230" s="19" t="str">
        <x:v>否</x:v>
      </x:c>
      <x:c r="R230" s="19" t="str"/>
      <x:c r="S230" s="19" t="n">
        <x:f>IF(Q230="是",0,MIN(10,2+IF(C230="高",2,1)+IF(K230&gt;=3%,3,IF(K230&gt;=1%,2,1))+IF(L230="新出现",2,IF(M230&gt;=100%,3,IF(M230&gt;0,2,0)))))</x:f>
        <x:v>7</x:v>
      </x:c>
      <x:c r="T230" s="21"/>
      <x:c r="U230" s="20"/>
      <x:c r="V230" s="19" t="str">
        <x:v>http://evoto.ai/</x:v>
      </x:c>
      <x:c r="W230" s="19" t="str">
        <x:v>https://pro.similarweb.com/#/digitalsuite/websiteanalysis/referrals/*/999/1m?webSource=Total&amp;selectedTab=incomingTraffic&amp;key=paddle.com</x:v>
      </x:c>
      <x:c r="X230" s="20" t="n">
        <x:f>IF(Q230="是",0,IFERROR(P230/SUMIFS($P$2:$P$964,$A$2:$A$964,A230,$Q$2:$Q$964,"否"),0))</x:f>
        <x:v>0.009346225284206922</x:v>
      </x:c>
      <x:c r="Y230" s="22" t="str">
        <x:f>IF(OR(M230="",U230=""),"未交叉",IF(M230*U230&gt;0,"同向",IF(M230*U230&lt;0,"背离","一侧持平")))</x:f>
        <x:v>未交叉</x:v>
      </x:c>
    </x:row>
    <x:row r="231">
      <x:c r="A231" s="18" t="str">
        <x:v>paddle.com</x:v>
      </x:c>
      <x:c r="B231" s="19" t="str">
        <x:v>支付商主域（混合流量）</x:v>
      </x:c>
      <x:c r="C231" s="19" t="str">
        <x:v>中</x:v>
      </x:c>
      <x:c r="D231" s="19" t="str">
        <x:v>Jul 2026</x:v>
      </x:c>
      <x:c r="E231" s="19" t="n">
        <x:v>30</x:v>
      </x:c>
      <x:c r="F231" s="19" t="str">
        <x:v>netspotapp.com</x:v>
      </x:c>
      <x:c r="G231" s="19" t="str">
        <x:v>Computers Electronics and Technology</x:v>
      </x:c>
      <x:c r="H231" s="19" t="str">
        <x:v>通用数字产品与技术服务</x:v>
      </x:c>
      <x:c r="I231" s="19" t="str">
        <x:v>Similarweb 行业映射</x:v>
      </x:c>
      <x:c r="J231" s="19" t="n">
        <x:v>115765</x:v>
      </x:c>
      <x:c r="K231" s="20" t="n">
        <x:v>0.0046</x:v>
      </x:c>
      <x:c r="L231" s="19" t="str">
        <x:v>新出现</x:v>
      </x:c>
      <x:c r="M231" s="20"/>
      <x:c r="N231" s="21" t="n">
        <x:v>295624</x:v>
      </x:c>
      <x:c r="O231" s="21" t="n">
        <x:v>1360</x:v>
      </x:c>
      <x:c r="P231" s="21" t="n">
        <x:f>ROUND(N231*K231,0)</x:f>
        <x:v>1360</x:v>
      </x:c>
      <x:c r="Q231" s="19" t="str">
        <x:v>否</x:v>
      </x:c>
      <x:c r="R231" s="19" t="str"/>
      <x:c r="S231" s="19" t="n">
        <x:f>IF(Q231="是",0,MIN(10,2+IF(C231="高",2,1)+IF(K231&gt;=3%,3,IF(K231&gt;=1%,2,1))+IF(L231="新出现",2,IF(M231&gt;=100%,3,IF(M231&gt;0,2,0)))))</x:f>
        <x:v>6</x:v>
      </x:c>
      <x:c r="T231" s="21"/>
      <x:c r="U231" s="20"/>
      <x:c r="V231" s="19" t="str">
        <x:v>http://netspotapp.com/</x:v>
      </x:c>
      <x:c r="W231" s="19" t="str">
        <x:v>https://pro.similarweb.com/#/digitalsuite/websiteanalysis/referrals/*/999/1m?webSource=Total&amp;selectedTab=incomingTraffic&amp;key=paddle.com</x:v>
      </x:c>
      <x:c r="X231" s="20" t="n">
        <x:f>IF(Q231="是",0,IFERROR(P231/SUMIFS($P$2:$P$964,$A$2:$A$964,A231,$Q$2:$Q$964,"否"),0))</x:f>
        <x:v>0.008957622541593666</x:v>
      </x:c>
      <x:c r="Y231" s="22" t="str">
        <x:f>IF(OR(M231="",U231=""),"未交叉",IF(M231*U231&gt;0,"同向",IF(M231*U231&lt;0,"背离","一侧持平")))</x:f>
        <x:v>未交叉</x:v>
      </x:c>
    </x:row>
    <x:row r="232">
      <x:c r="A232" s="18" t="str">
        <x:v>paddle.com</x:v>
      </x:c>
      <x:c r="B232" s="19" t="str">
        <x:v>支付商主域（混合流量）</x:v>
      </x:c>
      <x:c r="C232" s="19" t="str">
        <x:v>中</x:v>
      </x:c>
      <x:c r="D232" s="19" t="str">
        <x:v>Jul 2026</x:v>
      </x:c>
      <x:c r="E232" s="19" t="n">
        <x:v>31</x:v>
      </x:c>
      <x:c r="F232" s="19" t="str">
        <x:v>members.erank.com</x:v>
      </x:c>
      <x:c r="G232" s="19" t="str">
        <x:v>Marketplace</x:v>
      </x:c>
      <x:c r="H232" s="19" t="str">
        <x:v>金融、支付与交易服务</x:v>
      </x:c>
      <x:c r="I232" s="19" t="str">
        <x:v>Similarweb 行业映射</x:v>
      </x:c>
      <x:c r="J232" s="19"/>
      <x:c r="K232" s="20" t="n">
        <x:v>0.0045000000000000005</x:v>
      </x:c>
      <x:c r="L232" s="19" t="str">
        <x:v>下降</x:v>
      </x:c>
      <x:c r="M232" s="20" t="n">
        <x:v>-0.0817</x:v>
      </x:c>
      <x:c r="N232" s="21" t="n">
        <x:v>295624</x:v>
      </x:c>
      <x:c r="O232" s="21" t="n">
        <x:v>1330</x:v>
      </x:c>
      <x:c r="P232" s="21" t="n">
        <x:f>ROUND(N232*K232,0)</x:f>
        <x:v>1330</x:v>
      </x:c>
      <x:c r="Q232" s="19" t="str">
        <x:v>否</x:v>
      </x:c>
      <x:c r="R232" s="19" t="str"/>
      <x:c r="S232" s="19" t="n">
        <x:f>IF(Q232="是",0,MIN(10,2+IF(C232="高",2,1)+IF(K232&gt;=3%,3,IF(K232&gt;=1%,2,1))+IF(L232="新出现",2,IF(M232&gt;=100%,3,IF(M232&gt;0,2,0)))))</x:f>
        <x:v>4</x:v>
      </x:c>
      <x:c r="T232" s="21"/>
      <x:c r="U232" s="20"/>
      <x:c r="V232" s="19" t="str">
        <x:v>http://members.erank.com/</x:v>
      </x:c>
      <x:c r="W232" s="19" t="str">
        <x:v>https://pro.similarweb.com/#/digitalsuite/websiteanalysis/referrals/*/999/1m?webSource=Total&amp;selectedTab=incomingTraffic&amp;key=paddle.com</x:v>
      </x:c>
      <x:c r="X232" s="20" t="n">
        <x:f>IF(Q232="是",0,IFERROR(P232/SUMIFS($P$2:$P$964,$A$2:$A$964,A232,$Q$2:$Q$964,"否"),0))</x:f>
        <x:v>0.00876002792670557</x:v>
      </x:c>
      <x:c r="Y232" s="22" t="str">
        <x:f>IF(OR(M232="",U232=""),"未交叉",IF(M232*U232&gt;0,"同向",IF(M232*U232&lt;0,"背离","一侧持平")))</x:f>
        <x:v>未交叉</x:v>
      </x:c>
    </x:row>
    <x:row r="233">
      <x:c r="A233" s="18" t="str">
        <x:v>paddle.com</x:v>
      </x:c>
      <x:c r="B233" s="19" t="str">
        <x:v>支付商主域（混合流量）</x:v>
      </x:c>
      <x:c r="C233" s="19" t="str">
        <x:v>中</x:v>
      </x:c>
      <x:c r="D233" s="19" t="str">
        <x:v>Jul 2026</x:v>
      </x:c>
      <x:c r="E233" s="19" t="n">
        <x:v>32</x:v>
      </x:c>
      <x:c r="F233" s="19" t="str">
        <x:v>resumeworded.com</x:v>
      </x:c>
      <x:c r="G233" s="19" t="str">
        <x:v>Computers Electronics and Technology</x:v>
      </x:c>
      <x:c r="H233" s="19" t="str">
        <x:v>通用数字产品与技术服务</x:v>
      </x:c>
      <x:c r="I233" s="19" t="str">
        <x:v>Similarweb 行业映射</x:v>
      </x:c>
      <x:c r="J233" s="19" t="n">
        <x:v>34795</x:v>
      </x:c>
      <x:c r="K233" s="20" t="n">
        <x:v>0.0045000000000000005</x:v>
      </x:c>
      <x:c r="L233" s="19" t="str">
        <x:v>上升</x:v>
      </x:c>
      <x:c r="M233" s="20" t="n">
        <x:v>0.2995</x:v>
      </x:c>
      <x:c r="N233" s="21" t="n">
        <x:v>295624</x:v>
      </x:c>
      <x:c r="O233" s="21" t="n">
        <x:v>1330</x:v>
      </x:c>
      <x:c r="P233" s="21" t="n">
        <x:f>ROUND(N233*K233,0)</x:f>
        <x:v>1330</x:v>
      </x:c>
      <x:c r="Q233" s="19" t="str">
        <x:v>否</x:v>
      </x:c>
      <x:c r="R233" s="19" t="str"/>
      <x:c r="S233" s="19" t="n">
        <x:f>IF(Q233="是",0,MIN(10,2+IF(C233="高",2,1)+IF(K233&gt;=3%,3,IF(K233&gt;=1%,2,1))+IF(L233="新出现",2,IF(M233&gt;=100%,3,IF(M233&gt;0,2,0)))))</x:f>
        <x:v>6</x:v>
      </x:c>
      <x:c r="T233" s="21"/>
      <x:c r="U233" s="20"/>
      <x:c r="V233" s="19" t="str">
        <x:v>http://resumeworded.com/</x:v>
      </x:c>
      <x:c r="W233" s="19" t="str">
        <x:v>https://pro.similarweb.com/#/digitalsuite/websiteanalysis/referrals/*/999/1m?webSource=Total&amp;selectedTab=incomingTraffic&amp;key=paddle.com</x:v>
      </x:c>
      <x:c r="X233" s="20" t="n">
        <x:f>IF(Q233="是",0,IFERROR(P233/SUMIFS($P$2:$P$964,$A$2:$A$964,A233,$Q$2:$Q$964,"否"),0))</x:f>
        <x:v>0.00876002792670557</x:v>
      </x:c>
      <x:c r="Y233" s="22" t="str">
        <x:f>IF(OR(M233="",U233=""),"未交叉",IF(M233*U233&gt;0,"同向",IF(M233*U233&lt;0,"背离","一侧持平")))</x:f>
        <x:v>未交叉</x:v>
      </x:c>
    </x:row>
    <x:row r="234">
      <x:c r="A234" s="18" t="str">
        <x:v>paddle.com</x:v>
      </x:c>
      <x:c r="B234" s="19" t="str">
        <x:v>支付商主域（混合流量）</x:v>
      </x:c>
      <x:c r="C234" s="19" t="str">
        <x:v>中</x:v>
      </x:c>
      <x:c r="D234" s="19" t="str">
        <x:v>Jul 2026</x:v>
      </x:c>
      <x:c r="E234" s="19" t="n">
        <x:v>33</x:v>
      </x:c>
      <x:c r="F234" s="19" t="str">
        <x:v>cp.flit.to</x:v>
      </x:c>
      <x:c r="G234" s="19" t="str">
        <x:v>Unknown</x:v>
      </x:c>
      <x:c r="H234" s="19" t="str">
        <x:v>其他/待核查</x:v>
      </x:c>
      <x:c r="I234" s="19" t="str">
        <x:v>Similarweb 未分类</x:v>
      </x:c>
      <x:c r="J234" s="19"/>
      <x:c r="K234" s="20" t="n">
        <x:v>0.0042</x:v>
      </x:c>
      <x:c r="L234" s="19" t="str">
        <x:v>新出现</x:v>
      </x:c>
      <x:c r="M234" s="20"/>
      <x:c r="N234" s="21" t="n">
        <x:v>295624</x:v>
      </x:c>
      <x:c r="O234" s="21" t="n">
        <x:v>1242</x:v>
      </x:c>
      <x:c r="P234" s="21" t="n">
        <x:f>ROUND(N234*K234,0)</x:f>
        <x:v>1242</x:v>
      </x:c>
      <x:c r="Q234" s="19" t="str">
        <x:v>否</x:v>
      </x:c>
      <x:c r="R234" s="19" t="str"/>
      <x:c r="S234" s="19" t="n">
        <x:f>IF(Q234="是",0,MIN(10,2+IF(C234="高",2,1)+IF(K234&gt;=3%,3,IF(K234&gt;=1%,2,1))+IF(L234="新出现",2,IF(M234&gt;=100%,3,IF(M234&gt;0,2,0)))))</x:f>
        <x:v>6</x:v>
      </x:c>
      <x:c r="T234" s="21"/>
      <x:c r="U234" s="20"/>
      <x:c r="V234" s="19" t="str">
        <x:v>http://cp.flit.to/</x:v>
      </x:c>
      <x:c r="W234" s="19" t="str">
        <x:v>https://pro.similarweb.com/#/digitalsuite/websiteanalysis/referrals/*/999/1m?webSource=Total&amp;selectedTab=incomingTraffic&amp;key=paddle.com</x:v>
      </x:c>
      <x:c r="X234" s="20" t="n">
        <x:f>IF(Q234="是",0,IFERROR(P234/SUMIFS($P$2:$P$964,$A$2:$A$964,A234,$Q$2:$Q$964,"否"),0))</x:f>
        <x:v>0.008180417056367156</x:v>
      </x:c>
      <x:c r="Y234" s="22" t="str">
        <x:f>IF(OR(M234="",U234=""),"未交叉",IF(M234*U234&gt;0,"同向",IF(M234*U234&lt;0,"背离","一侧持平")))</x:f>
        <x:v>未交叉</x:v>
      </x:c>
    </x:row>
    <x:row r="235">
      <x:c r="A235" s="18" t="str">
        <x:v>paddle.com</x:v>
      </x:c>
      <x:c r="B235" s="19" t="str">
        <x:v>支付商主域（混合流量）</x:v>
      </x:c>
      <x:c r="C235" s="19" t="str">
        <x:v>中</x:v>
      </x:c>
      <x:c r="D235" s="19" t="str">
        <x:v>Jul 2026</x:v>
      </x:c>
      <x:c r="E235" s="19" t="n">
        <x:v>34</x:v>
      </x:c>
      <x:c r="F235" s="19" t="str">
        <x:v>affiliate.watch</x:v>
      </x:c>
      <x:c r="G235" s="19" t="str">
        <x:v>Web Hosting and Domain Names</x:v>
      </x:c>
      <x:c r="H235" s="19" t="str">
        <x:v>开发者工具与互联网基础设施</x:v>
      </x:c>
      <x:c r="I235" s="19" t="str">
        <x:v>Similarweb 行业映射</x:v>
      </x:c>
      <x:c r="J235" s="19" t="n">
        <x:v>294647</x:v>
      </x:c>
      <x:c r="K235" s="20" t="n">
        <x:v>0.0038</x:v>
      </x:c>
      <x:c r="L235" s="19" t="str">
        <x:v>下降</x:v>
      </x:c>
      <x:c r="M235" s="20" t="n">
        <x:v>-0.0621</x:v>
      </x:c>
      <x:c r="N235" s="21" t="n">
        <x:v>295624</x:v>
      </x:c>
      <x:c r="O235" s="21" t="n">
        <x:v>1123</x:v>
      </x:c>
      <x:c r="P235" s="21" t="n">
        <x:f>ROUND(N235*K235,0)</x:f>
        <x:v>1123</x:v>
      </x:c>
      <x:c r="Q235" s="19" t="str">
        <x:v>否</x:v>
      </x:c>
      <x:c r="R235" s="19" t="str"/>
      <x:c r="S235" s="19" t="n">
        <x:f>IF(Q235="是",0,MIN(10,2+IF(C235="高",2,1)+IF(K235&gt;=3%,3,IF(K235&gt;=1%,2,1))+IF(L235="新出现",2,IF(M235&gt;=100%,3,IF(M235&gt;0,2,0)))))</x:f>
        <x:v>4</x:v>
      </x:c>
      <x:c r="T235" s="21"/>
      <x:c r="U235" s="20"/>
      <x:c r="V235" s="19" t="str">
        <x:v>http://affiliate.watch/</x:v>
      </x:c>
      <x:c r="W235" s="19" t="str">
        <x:v>https://pro.similarweb.com/#/digitalsuite/websiteanalysis/referrals/*/999/1m?webSource=Total&amp;selectedTab=incomingTraffic&amp;key=paddle.com</x:v>
      </x:c>
      <x:c r="X235" s="20" t="n">
        <x:f>IF(Q235="是",0,IFERROR(P235/SUMIFS($P$2:$P$964,$A$2:$A$964,A235,$Q$2:$Q$964,"否"),0))</x:f>
        <x:v>0.0073966250839777115</x:v>
      </x:c>
      <x:c r="Y235" s="22" t="str">
        <x:f>IF(OR(M235="",U235=""),"未交叉",IF(M235*U235&gt;0,"同向",IF(M235*U235&lt;0,"背离","一侧持平")))</x:f>
        <x:v>未交叉</x:v>
      </x:c>
    </x:row>
    <x:row r="236">
      <x:c r="A236" s="18" t="str">
        <x:v>paddle.com</x:v>
      </x:c>
      <x:c r="B236" s="19" t="str">
        <x:v>支付商主域（混合流量）</x:v>
      </x:c>
      <x:c r="C236" s="19" t="str">
        <x:v>中</x:v>
      </x:c>
      <x:c r="D236" s="19" t="str">
        <x:v>Jul 2026</x:v>
      </x:c>
      <x:c r="E236" s="19" t="n">
        <x:v>35</x:v>
      </x:c>
      <x:c r="F236" s="19" t="str">
        <x:v>cijapanese.com</x:v>
      </x:c>
      <x:c r="G236" s="19" t="str">
        <x:v>Dictionaries and Encyclopedias</x:v>
      </x:c>
      <x:c r="H236" s="19" t="str">
        <x:v>其他/待核查</x:v>
      </x:c>
      <x:c r="I236" s="19" t="str">
        <x:v>保守归类</x:v>
      </x:c>
      <x:c r="J236" s="19" t="n">
        <x:v>291438</x:v>
      </x:c>
      <x:c r="K236" s="20" t="n">
        <x:v>0.0037</x:v>
      </x:c>
      <x:c r="L236" s="19" t="str">
        <x:v>上升</x:v>
      </x:c>
      <x:c r="M236" s="20" t="n">
        <x:v>1.232</x:v>
      </x:c>
      <x:c r="N236" s="21" t="n">
        <x:v>295624</x:v>
      </x:c>
      <x:c r="O236" s="21" t="n">
        <x:v>1094</x:v>
      </x:c>
      <x:c r="P236" s="21" t="n">
        <x:f>ROUND(N236*K236,0)</x:f>
        <x:v>1094</x:v>
      </x:c>
      <x:c r="Q236" s="19" t="str">
        <x:v>否</x:v>
      </x:c>
      <x:c r="R236" s="19" t="str"/>
      <x:c r="S236" s="19" t="n">
        <x:f>IF(Q236="是",0,MIN(10,2+IF(C236="高",2,1)+IF(K236&gt;=3%,3,IF(K236&gt;=1%,2,1))+IF(L236="新出现",2,IF(M236&gt;=100%,3,IF(M236&gt;0,2,0)))))</x:f>
        <x:v>7</x:v>
      </x:c>
      <x:c r="T236" s="21"/>
      <x:c r="U236" s="20"/>
      <x:c r="V236" s="19" t="str">
        <x:v>http://cijapanese.com/</x:v>
      </x:c>
      <x:c r="W236" s="19" t="str">
        <x:v>https://pro.similarweb.com/#/digitalsuite/websiteanalysis/referrals/*/999/1m?webSource=Total&amp;selectedTab=incomingTraffic&amp;key=paddle.com</x:v>
      </x:c>
      <x:c r="X236" s="20" t="n">
        <x:f>IF(Q236="是",0,IFERROR(P236/SUMIFS($P$2:$P$964,$A$2:$A$964,A236,$Q$2:$Q$964,"否"),0))</x:f>
        <x:v>0.007205616956252553</x:v>
      </x:c>
      <x:c r="Y236" s="22" t="str">
        <x:f>IF(OR(M236="",U236=""),"未交叉",IF(M236*U236&gt;0,"同向",IF(M236*U236&lt;0,"背离","一侧持平")))</x:f>
        <x:v>未交叉</x:v>
      </x:c>
    </x:row>
    <x:row r="237">
      <x:c r="A237" s="18" t="str">
        <x:v>paddle.com</x:v>
      </x:c>
      <x:c r="B237" s="19" t="str">
        <x:v>支付商主域（混合流量）</x:v>
      </x:c>
      <x:c r="C237" s="19" t="str">
        <x:v>中</x:v>
      </x:c>
      <x:c r="D237" s="19" t="str">
        <x:v>Jul 2026</x:v>
      </x:c>
      <x:c r="E237" s="19" t="n">
        <x:v>36</x:v>
      </x:c>
      <x:c r="F237" s="19" t="str">
        <x:v>sitechecker.pro</x:v>
      </x:c>
      <x:c r="G237" s="19" t="str">
        <x:v>Computers Electronics and Technology</x:v>
      </x:c>
      <x:c r="H237" s="19" t="str">
        <x:v>通用数字产品与技术服务</x:v>
      </x:c>
      <x:c r="I237" s="19" t="str">
        <x:v>Similarweb 行业映射</x:v>
      </x:c>
      <x:c r="J237" s="19" t="n">
        <x:v>82459</x:v>
      </x:c>
      <x:c r="K237" s="20" t="n">
        <x:v>0.0037</x:v>
      </x:c>
      <x:c r="L237" s="19" t="str">
        <x:v>上升</x:v>
      </x:c>
      <x:c r="M237" s="20" t="n">
        <x:v>9.4276</x:v>
      </x:c>
      <x:c r="N237" s="21" t="n">
        <x:v>295624</x:v>
      </x:c>
      <x:c r="O237" s="21" t="n">
        <x:v>1094</x:v>
      </x:c>
      <x:c r="P237" s="21" t="n">
        <x:f>ROUND(N237*K237,0)</x:f>
        <x:v>1094</x:v>
      </x:c>
      <x:c r="Q237" s="19" t="str">
        <x:v>否</x:v>
      </x:c>
      <x:c r="R237" s="19" t="str"/>
      <x:c r="S237" s="19" t="n">
        <x:f>IF(Q237="是",0,MIN(10,2+IF(C237="高",2,1)+IF(K237&gt;=3%,3,IF(K237&gt;=1%,2,1))+IF(L237="新出现",2,IF(M237&gt;=100%,3,IF(M237&gt;0,2,0)))))</x:f>
        <x:v>7</x:v>
      </x:c>
      <x:c r="T237" s="21"/>
      <x:c r="U237" s="20"/>
      <x:c r="V237" s="19" t="str">
        <x:v>http://sitechecker.pro/</x:v>
      </x:c>
      <x:c r="W237" s="19" t="str">
        <x:v>https://pro.similarweb.com/#/digitalsuite/websiteanalysis/referrals/*/999/1m?webSource=Total&amp;selectedTab=incomingTraffic&amp;key=paddle.com</x:v>
      </x:c>
      <x:c r="X237" s="20" t="n">
        <x:f>IF(Q237="是",0,IFERROR(P237/SUMIFS($P$2:$P$964,$A$2:$A$964,A237,$Q$2:$Q$964,"否"),0))</x:f>
        <x:v>0.007205616956252553</x:v>
      </x:c>
      <x:c r="Y237" s="22" t="str">
        <x:f>IF(OR(M237="",U237=""),"未交叉",IF(M237*U237&gt;0,"同向",IF(M237*U237&lt;0,"背离","一侧持平")))</x:f>
        <x:v>未交叉</x:v>
      </x:c>
    </x:row>
    <x:row r="238">
      <x:c r="A238" s="18" t="str">
        <x:v>paddle.com</x:v>
      </x:c>
      <x:c r="B238" s="19" t="str">
        <x:v>支付商主域（混合流量）</x:v>
      </x:c>
      <x:c r="C238" s="19" t="str">
        <x:v>中</x:v>
      </x:c>
      <x:c r="D238" s="19" t="str">
        <x:v>Jul 2026</x:v>
      </x:c>
      <x:c r="E238" s="19" t="n">
        <x:v>37</x:v>
      </x:c>
      <x:c r="F238" s="19" t="str">
        <x:v>app.hibob.com</x:v>
      </x:c>
      <x:c r="G238" s="19" t="str">
        <x:v>Computers Electronics and Technology</x:v>
      </x:c>
      <x:c r="H238" s="19" t="str">
        <x:v>通用数字产品与技术服务</x:v>
      </x:c>
      <x:c r="I238" s="19" t="str">
        <x:v>Similarweb 行业映射</x:v>
      </x:c>
      <x:c r="J238" s="19"/>
      <x:c r="K238" s="20" t="n">
        <x:v>0.0036</x:v>
      </x:c>
      <x:c r="L238" s="19" t="str">
        <x:v>下降</x:v>
      </x:c>
      <x:c r="M238" s="20" t="n">
        <x:v>-0.5353</x:v>
      </x:c>
      <x:c r="N238" s="21" t="n">
        <x:v>295624</x:v>
      </x:c>
      <x:c r="O238" s="21" t="n">
        <x:v>1064</x:v>
      </x:c>
      <x:c r="P238" s="21" t="n">
        <x:f>ROUND(N238*K238,0)</x:f>
        <x:v>1064</x:v>
      </x:c>
      <x:c r="Q238" s="19" t="str">
        <x:v>否</x:v>
      </x:c>
      <x:c r="R238" s="19" t="str"/>
      <x:c r="S238" s="19" t="n">
        <x:f>IF(Q238="是",0,MIN(10,2+IF(C238="高",2,1)+IF(K238&gt;=3%,3,IF(K238&gt;=1%,2,1))+IF(L238="新出现",2,IF(M238&gt;=100%,3,IF(M238&gt;0,2,0)))))</x:f>
        <x:v>4</x:v>
      </x:c>
      <x:c r="T238" s="21"/>
      <x:c r="U238" s="20"/>
      <x:c r="V238" s="19" t="str">
        <x:v>http://app.hibob.com/</x:v>
      </x:c>
      <x:c r="W238" s="19" t="str">
        <x:v>https://pro.similarweb.com/#/digitalsuite/websiteanalysis/referrals/*/999/1m?webSource=Total&amp;selectedTab=incomingTraffic&amp;key=paddle.com</x:v>
      </x:c>
      <x:c r="X238" s="20" t="n">
        <x:f>IF(Q238="是",0,IFERROR(P238/SUMIFS($P$2:$P$964,$A$2:$A$964,A238,$Q$2:$Q$964,"否"),0))</x:f>
        <x:v>0.007008022341364457</x:v>
      </x:c>
      <x:c r="Y238" s="22" t="str">
        <x:f>IF(OR(M238="",U238=""),"未交叉",IF(M238*U238&gt;0,"同向",IF(M238*U238&lt;0,"背离","一侧持平")))</x:f>
        <x:v>未交叉</x:v>
      </x:c>
    </x:row>
    <x:row r="239">
      <x:c r="A239" s="18" t="str">
        <x:v>paddle.com</x:v>
      </x:c>
      <x:c r="B239" s="19" t="str">
        <x:v>支付商主域（混合流量）</x:v>
      </x:c>
      <x:c r="C239" s="19" t="str">
        <x:v>中</x:v>
      </x:c>
      <x:c r="D239" s="19" t="str">
        <x:v>Jul 2026</x:v>
      </x:c>
      <x:c r="E239" s="19" t="n">
        <x:v>38</x:v>
      </x:c>
      <x:c r="F239" s="19" t="str">
        <x:v>creative-tim.com</x:v>
      </x:c>
      <x:c r="G239" s="19" t="str">
        <x:v>Graphics Multimedia and Web Design</x:v>
      </x:c>
      <x:c r="H239" s="19" t="str">
        <x:v>创作、设计与多媒体工具</x:v>
      </x:c>
      <x:c r="I239" s="19" t="str">
        <x:v>Similarweb 行业映射</x:v>
      </x:c>
      <x:c r="J239" s="19" t="n">
        <x:v>145627</x:v>
      </x:c>
      <x:c r="K239" s="20" t="n">
        <x:v>0.0036</x:v>
      </x:c>
      <x:c r="L239" s="19" t="str">
        <x:v>上升</x:v>
      </x:c>
      <x:c r="M239" s="20" t="n">
        <x:v>29.8281</x:v>
      </x:c>
      <x:c r="N239" s="21" t="n">
        <x:v>295624</x:v>
      </x:c>
      <x:c r="O239" s="21" t="n">
        <x:v>1064</x:v>
      </x:c>
      <x:c r="P239" s="21" t="n">
        <x:f>ROUND(N239*K239,0)</x:f>
        <x:v>1064</x:v>
      </x:c>
      <x:c r="Q239" s="19" t="str">
        <x:v>否</x:v>
      </x:c>
      <x:c r="R239" s="19" t="str"/>
      <x:c r="S239" s="19" t="n">
        <x:f>IF(Q239="是",0,MIN(10,2+IF(C239="高",2,1)+IF(K239&gt;=3%,3,IF(K239&gt;=1%,2,1))+IF(L239="新出现",2,IF(M239&gt;=100%,3,IF(M239&gt;0,2,0)))))</x:f>
        <x:v>7</x:v>
      </x:c>
      <x:c r="T239" s="21"/>
      <x:c r="U239" s="20"/>
      <x:c r="V239" s="19" t="str">
        <x:v>http://creative-tim.com/</x:v>
      </x:c>
      <x:c r="W239" s="19" t="str">
        <x:v>https://pro.similarweb.com/#/digitalsuite/websiteanalysis/referrals/*/999/1m?webSource=Total&amp;selectedTab=incomingTraffic&amp;key=paddle.com</x:v>
      </x:c>
      <x:c r="X239" s="20" t="n">
        <x:f>IF(Q239="是",0,IFERROR(P239/SUMIFS($P$2:$P$964,$A$2:$A$964,A239,$Q$2:$Q$964,"否"),0))</x:f>
        <x:v>0.007008022341364457</x:v>
      </x:c>
      <x:c r="Y239" s="22" t="str">
        <x:f>IF(OR(M239="",U239=""),"未交叉",IF(M239*U239&gt;0,"同向",IF(M239*U239&lt;0,"背离","一侧持平")))</x:f>
        <x:v>未交叉</x:v>
      </x:c>
    </x:row>
    <x:row r="240">
      <x:c r="A240" s="18" t="str">
        <x:v>paddle.com</x:v>
      </x:c>
      <x:c r="B240" s="19" t="str">
        <x:v>支付商主域（混合流量）</x:v>
      </x:c>
      <x:c r="C240" s="19" t="str">
        <x:v>中</x:v>
      </x:c>
      <x:c r="D240" s="19" t="str">
        <x:v>Jul 2026</x:v>
      </x:c>
      <x:c r="E240" s="19" t="n">
        <x:v>39</x:v>
      </x:c>
      <x:c r="F240" s="19" t="str">
        <x:v>sequoia.com</x:v>
      </x:c>
      <x:c r="G240" s="19" t="str">
        <x:v>Finance</x:v>
      </x:c>
      <x:c r="H240" s="19" t="str">
        <x:v>金融、支付与交易服务</x:v>
      </x:c>
      <x:c r="I240" s="19" t="str">
        <x:v>Similarweb 行业映射</x:v>
      </x:c>
      <x:c r="J240" s="19" t="n">
        <x:v>186072</x:v>
      </x:c>
      <x:c r="K240" s="20" t="n">
        <x:v>0.0036</x:v>
      </x:c>
      <x:c r="L240" s="19" t="str">
        <x:v>上升</x:v>
      </x:c>
      <x:c r="M240" s="20" t="n">
        <x:v>0.8439</x:v>
      </x:c>
      <x:c r="N240" s="21" t="n">
        <x:v>295624</x:v>
      </x:c>
      <x:c r="O240" s="21" t="n">
        <x:v>1064</x:v>
      </x:c>
      <x:c r="P240" s="21" t="n">
        <x:f>ROUND(N240*K240,0)</x:f>
        <x:v>1064</x:v>
      </x:c>
      <x:c r="Q240" s="19" t="str">
        <x:v>否</x:v>
      </x:c>
      <x:c r="R240" s="19" t="str"/>
      <x:c r="S240" s="19" t="n">
        <x:f>IF(Q240="是",0,MIN(10,2+IF(C240="高",2,1)+IF(K240&gt;=3%,3,IF(K240&gt;=1%,2,1))+IF(L240="新出现",2,IF(M240&gt;=100%,3,IF(M240&gt;0,2,0)))))</x:f>
        <x:v>6</x:v>
      </x:c>
      <x:c r="T240" s="21"/>
      <x:c r="U240" s="20"/>
      <x:c r="V240" s="19" t="str">
        <x:v>http://sequoia.com/</x:v>
      </x:c>
      <x:c r="W240" s="19" t="str">
        <x:v>https://pro.similarweb.com/#/digitalsuite/websiteanalysis/referrals/*/999/1m?webSource=Total&amp;selectedTab=incomingTraffic&amp;key=paddle.com</x:v>
      </x:c>
      <x:c r="X240" s="20" t="n">
        <x:f>IF(Q240="是",0,IFERROR(P240/SUMIFS($P$2:$P$964,$A$2:$A$964,A240,$Q$2:$Q$964,"否"),0))</x:f>
        <x:v>0.007008022341364457</x:v>
      </x:c>
      <x:c r="Y240" s="22" t="str">
        <x:f>IF(OR(M240="",U240=""),"未交叉",IF(M240*U240&gt;0,"同向",IF(M240*U240&lt;0,"背离","一侧持平")))</x:f>
        <x:v>未交叉</x:v>
      </x:c>
    </x:row>
    <x:row r="241">
      <x:c r="A241" s="18" t="str">
        <x:v>paddle.com</x:v>
      </x:c>
      <x:c r="B241" s="19" t="str">
        <x:v>支付商主域（混合流量）</x:v>
      </x:c>
      <x:c r="C241" s="19" t="str">
        <x:v>中</x:v>
      </x:c>
      <x:c r="D241" s="19" t="str">
        <x:v>Jul 2026</x:v>
      </x:c>
      <x:c r="E241" s="19" t="n">
        <x:v>40</x:v>
      </x:c>
      <x:c r="F241" s="19" t="str">
        <x:v>cloud.tiptap.dev</x:v>
      </x:c>
      <x:c r="G241" s="19" t="str">
        <x:v>Programming and Developer Software</x:v>
      </x:c>
      <x:c r="H241" s="19" t="str">
        <x:v>开发者工具与互联网基础设施</x:v>
      </x:c>
      <x:c r="I241" s="19" t="str">
        <x:v>Similarweb 行业映射</x:v>
      </x:c>
      <x:c r="J241" s="19" t="n">
        <x:v>2757950</x:v>
      </x:c>
      <x:c r="K241" s="20" t="n">
        <x:v>0.0034999999999999996</x:v>
      </x:c>
      <x:c r="L241" s="19" t="str">
        <x:v>新出现</x:v>
      </x:c>
      <x:c r="M241" s="20"/>
      <x:c r="N241" s="21" t="n">
        <x:v>295624</x:v>
      </x:c>
      <x:c r="O241" s="21" t="n">
        <x:v>1035</x:v>
      </x:c>
      <x:c r="P241" s="21" t="n">
        <x:f>ROUND(N241*K241,0)</x:f>
        <x:v>1035</x:v>
      </x:c>
      <x:c r="Q241" s="19" t="str">
        <x:v>否</x:v>
      </x:c>
      <x:c r="R241" s="19" t="str"/>
      <x:c r="S241" s="19" t="n">
        <x:f>IF(Q241="是",0,MIN(10,2+IF(C241="高",2,1)+IF(K241&gt;=3%,3,IF(K241&gt;=1%,2,1))+IF(L241="新出现",2,IF(M241&gt;=100%,3,IF(M241&gt;0,2,0)))))</x:f>
        <x:v>6</x:v>
      </x:c>
      <x:c r="T241" s="21"/>
      <x:c r="U241" s="20"/>
      <x:c r="V241" s="19" t="str">
        <x:v>http://cloud.tiptap.dev/</x:v>
      </x:c>
      <x:c r="W241" s="19" t="str">
        <x:v>https://pro.similarweb.com/#/digitalsuite/websiteanalysis/referrals/*/999/1m?webSource=Total&amp;selectedTab=incomingTraffic&amp;key=paddle.com</x:v>
      </x:c>
      <x:c r="X241" s="20" t="n">
        <x:f>IF(Q241="是",0,IFERROR(P241/SUMIFS($P$2:$P$964,$A$2:$A$964,A241,$Q$2:$Q$964,"否"),0))</x:f>
        <x:v>0.006817014213639298</x:v>
      </x:c>
      <x:c r="Y241" s="22" t="str">
        <x:f>IF(OR(M241="",U241=""),"未交叉",IF(M241*U241&gt;0,"同向",IF(M241*U241&lt;0,"背离","一侧持平")))</x:f>
        <x:v>未交叉</x:v>
      </x:c>
    </x:row>
    <x:row r="242">
      <x:c r="A242" s="18" t="str">
        <x:v>paddle.com</x:v>
      </x:c>
      <x:c r="B242" s="19" t="str">
        <x:v>支付商主域（混合流量）</x:v>
      </x:c>
      <x:c r="C242" s="19" t="str">
        <x:v>中</x:v>
      </x:c>
      <x:c r="D242" s="19" t="str">
        <x:v>Jul 2026</x:v>
      </x:c>
      <x:c r="E242" s="19" t="n">
        <x:v>41</x:v>
      </x:c>
      <x:c r="F242" s="19" t="str">
        <x:v>d7leadfinder.com</x:v>
      </x:c>
      <x:c r="G242" s="19" t="str">
        <x:v>Online Marketing</x:v>
      </x:c>
      <x:c r="H242" s="19" t="str">
        <x:v>营销、生产力与商业服务</x:v>
      </x:c>
      <x:c r="I242" s="19" t="str">
        <x:v>Similarweb 行业映射</x:v>
      </x:c>
      <x:c r="J242" s="19" t="n">
        <x:v>237750</x:v>
      </x:c>
      <x:c r="K242" s="20" t="n">
        <x:v>0.0034000000000000002</x:v>
      </x:c>
      <x:c r="L242" s="19" t="str">
        <x:v>上升</x:v>
      </x:c>
      <x:c r="M242" s="20" t="n">
        <x:v>1.0214</x:v>
      </x:c>
      <x:c r="N242" s="21" t="n">
        <x:v>295624</x:v>
      </x:c>
      <x:c r="O242" s="21" t="n">
        <x:v>1005</x:v>
      </x:c>
      <x:c r="P242" s="21" t="n">
        <x:f>ROUND(N242*K242,0)</x:f>
        <x:v>1005</x:v>
      </x:c>
      <x:c r="Q242" s="19" t="str">
        <x:v>否</x:v>
      </x:c>
      <x:c r="R242" s="19" t="str"/>
      <x:c r="S242" s="19" t="n">
        <x:f>IF(Q242="是",0,MIN(10,2+IF(C242="高",2,1)+IF(K242&gt;=3%,3,IF(K242&gt;=1%,2,1))+IF(L242="新出现",2,IF(M242&gt;=100%,3,IF(M242&gt;0,2,0)))))</x:f>
        <x:v>7</x:v>
      </x:c>
      <x:c r="T242" s="21"/>
      <x:c r="U242" s="20"/>
      <x:c r="V242" s="19" t="str">
        <x:v>http://d7leadfinder.com/</x:v>
      </x:c>
      <x:c r="W242" s="19" t="str">
        <x:v>https://pro.similarweb.com/#/digitalsuite/websiteanalysis/referrals/*/999/1m?webSource=Total&amp;selectedTab=incomingTraffic&amp;key=paddle.com</x:v>
      </x:c>
      <x:c r="X242" s="20" t="n">
        <x:f>IF(Q242="是",0,IFERROR(P242/SUMIFS($P$2:$P$964,$A$2:$A$964,A242,$Q$2:$Q$964,"否"),0))</x:f>
        <x:v>0.006619419598751202</x:v>
      </x:c>
      <x:c r="Y242" s="22" t="str">
        <x:f>IF(OR(M242="",U242=""),"未交叉",IF(M242*U242&gt;0,"同向",IF(M242*U242&lt;0,"背离","一侧持平")))</x:f>
        <x:v>未交叉</x:v>
      </x:c>
    </x:row>
    <x:row r="243">
      <x:c r="A243" s="18" t="str">
        <x:v>paddle.com</x:v>
      </x:c>
      <x:c r="B243" s="19" t="str">
        <x:v>支付商主域（混合流量）</x:v>
      </x:c>
      <x:c r="C243" s="19" t="str">
        <x:v>中</x:v>
      </x:c>
      <x:c r="D243" s="19" t="str">
        <x:v>Jul 2026</x:v>
      </x:c>
      <x:c r="E243" s="19" t="n">
        <x:v>42</x:v>
      </x:c>
      <x:c r="F243" s="19" t="str">
        <x:v>snapedit.app</x:v>
      </x:c>
      <x:c r="G243" s="19" t="str">
        <x:v>Graphics Multimedia and Web Design</x:v>
      </x:c>
      <x:c r="H243" s="19" t="str">
        <x:v>创作、设计与多媒体工具</x:v>
      </x:c>
      <x:c r="I243" s="19" t="str">
        <x:v>Similarweb 行业映射</x:v>
      </x:c>
      <x:c r="J243" s="19" t="n">
        <x:v>44508</x:v>
      </x:c>
      <x:c r="K243" s="20" t="n">
        <x:v>0.0032</x:v>
      </x:c>
      <x:c r="L243" s="19" t="str">
        <x:v>上升</x:v>
      </x:c>
      <x:c r="M243" s="20" t="n">
        <x:v>15.974400000000001</x:v>
      </x:c>
      <x:c r="N243" s="21" t="n">
        <x:v>295624</x:v>
      </x:c>
      <x:c r="O243" s="21" t="n">
        <x:v>946</x:v>
      </x:c>
      <x:c r="P243" s="21" t="n">
        <x:f>ROUND(N243*K243,0)</x:f>
        <x:v>946</x:v>
      </x:c>
      <x:c r="Q243" s="19" t="str">
        <x:v>否</x:v>
      </x:c>
      <x:c r="R243" s="19" t="str"/>
      <x:c r="S243" s="19" t="n">
        <x:f>IF(Q243="是",0,MIN(10,2+IF(C243="高",2,1)+IF(K243&gt;=3%,3,IF(K243&gt;=1%,2,1))+IF(L243="新出现",2,IF(M243&gt;=100%,3,IF(M243&gt;0,2,0)))))</x:f>
        <x:v>7</x:v>
      </x:c>
      <x:c r="T243" s="21"/>
      <x:c r="U243" s="20"/>
      <x:c r="V243" s="19" t="str">
        <x:v>http://snapedit.app/</x:v>
      </x:c>
      <x:c r="W243" s="19" t="str">
        <x:v>https://pro.similarweb.com/#/digitalsuite/websiteanalysis/referrals/*/999/1m?webSource=Total&amp;selectedTab=incomingTraffic&amp;key=paddle.com</x:v>
      </x:c>
      <x:c r="X243" s="20" t="n">
        <x:f>IF(Q243="是",0,IFERROR(P243/SUMIFS($P$2:$P$964,$A$2:$A$964,A243,$Q$2:$Q$964,"否"),0))</x:f>
        <x:v>0.006230816856137947</x:v>
      </x:c>
      <x:c r="Y243" s="22" t="str">
        <x:f>IF(OR(M243="",U243=""),"未交叉",IF(M243*U243&gt;0,"同向",IF(M243*U243&lt;0,"背离","一侧持平")))</x:f>
        <x:v>未交叉</x:v>
      </x:c>
    </x:row>
    <x:row r="244">
      <x:c r="A244" s="18" t="str">
        <x:v>paddle.com</x:v>
      </x:c>
      <x:c r="B244" s="19" t="str">
        <x:v>支付商主域（混合流量）</x:v>
      </x:c>
      <x:c r="C244" s="19" t="str">
        <x:v>中</x:v>
      </x:c>
      <x:c r="D244" s="19" t="str">
        <x:v>Jul 2026</x:v>
      </x:c>
      <x:c r="E244" s="19" t="n">
        <x:v>43</x:v>
      </x:c>
      <x:c r="F244" s="19" t="str">
        <x:v>app.pinclicks.com</x:v>
      </x:c>
      <x:c r="G244" s="19" t="str">
        <x:v>Online Marketing</x:v>
      </x:c>
      <x:c r="H244" s="19" t="str">
        <x:v>营销、生产力与商业服务</x:v>
      </x:c>
      <x:c r="I244" s="19" t="str">
        <x:v>Similarweb 行业映射</x:v>
      </x:c>
      <x:c r="J244" s="19"/>
      <x:c r="K244" s="20" t="n">
        <x:v>0.0032</x:v>
      </x:c>
      <x:c r="L244" s="19" t="str">
        <x:v>下降</x:v>
      </x:c>
      <x:c r="M244" s="20" t="n">
        <x:v>-0.1643</x:v>
      </x:c>
      <x:c r="N244" s="21" t="n">
        <x:v>295624</x:v>
      </x:c>
      <x:c r="O244" s="21" t="n">
        <x:v>946</x:v>
      </x:c>
      <x:c r="P244" s="21" t="n">
        <x:f>ROUND(N244*K244,0)</x:f>
        <x:v>946</x:v>
      </x:c>
      <x:c r="Q244" s="19" t="str">
        <x:v>否</x:v>
      </x:c>
      <x:c r="R244" s="19" t="str"/>
      <x:c r="S244" s="19" t="n">
        <x:f>IF(Q244="是",0,MIN(10,2+IF(C244="高",2,1)+IF(K244&gt;=3%,3,IF(K244&gt;=1%,2,1))+IF(L244="新出现",2,IF(M244&gt;=100%,3,IF(M244&gt;0,2,0)))))</x:f>
        <x:v>4</x:v>
      </x:c>
      <x:c r="T244" s="21"/>
      <x:c r="U244" s="20"/>
      <x:c r="V244" s="19" t="str">
        <x:v>http://app.pinclicks.com/</x:v>
      </x:c>
      <x:c r="W244" s="19" t="str">
        <x:v>https://pro.similarweb.com/#/digitalsuite/websiteanalysis/referrals/*/999/1m?webSource=Total&amp;selectedTab=incomingTraffic&amp;key=paddle.com</x:v>
      </x:c>
      <x:c r="X244" s="20" t="n">
        <x:f>IF(Q244="是",0,IFERROR(P244/SUMIFS($P$2:$P$964,$A$2:$A$964,A244,$Q$2:$Q$964,"否"),0))</x:f>
        <x:v>0.006230816856137947</x:v>
      </x:c>
      <x:c r="Y244" s="22" t="str">
        <x:f>IF(OR(M244="",U244=""),"未交叉",IF(M244*U244&gt;0,"同向",IF(M244*U244&lt;0,"背离","一侧持平")))</x:f>
        <x:v>未交叉</x:v>
      </x:c>
    </x:row>
    <x:row r="245">
      <x:c r="A245" s="18" t="str">
        <x:v>paddle.com</x:v>
      </x:c>
      <x:c r="B245" s="19" t="str">
        <x:v>支付商主域（混合流量）</x:v>
      </x:c>
      <x:c r="C245" s="19" t="str">
        <x:v>中</x:v>
      </x:c>
      <x:c r="D245" s="19" t="str">
        <x:v>Jul 2026</x:v>
      </x:c>
      <x:c r="E245" s="19" t="n">
        <x:v>44</x:v>
      </x:c>
      <x:c r="F245" s="19" t="str">
        <x:v>auth.kolide.com</x:v>
      </x:c>
      <x:c r="G245" s="19" t="str">
        <x:v>Programming and Developer Software</x:v>
      </x:c>
      <x:c r="H245" s="19" t="str">
        <x:v>开发者工具与互联网基础设施</x:v>
      </x:c>
      <x:c r="I245" s="19" t="str">
        <x:v>Similarweb 行业映射</x:v>
      </x:c>
      <x:c r="J245" s="19"/>
      <x:c r="K245" s="20" t="n">
        <x:v>0.0031</x:v>
      </x:c>
      <x:c r="L245" s="19" t="str">
        <x:v>下降</x:v>
      </x:c>
      <x:c r="M245" s="20" t="n">
        <x:v>-0.6086</x:v>
      </x:c>
      <x:c r="N245" s="21" t="n">
        <x:v>295624</x:v>
      </x:c>
      <x:c r="O245" s="21" t="n">
        <x:v>916</x:v>
      </x:c>
      <x:c r="P245" s="21" t="n">
        <x:f>ROUND(N245*K245,0)</x:f>
        <x:v>916</x:v>
      </x:c>
      <x:c r="Q245" s="19" t="str">
        <x:v>否</x:v>
      </x:c>
      <x:c r="R245" s="19" t="str"/>
      <x:c r="S245" s="19" t="n">
        <x:f>IF(Q245="是",0,MIN(10,2+IF(C245="高",2,1)+IF(K245&gt;=3%,3,IF(K245&gt;=1%,2,1))+IF(L245="新出现",2,IF(M245&gt;=100%,3,IF(M245&gt;0,2,0)))))</x:f>
        <x:v>4</x:v>
      </x:c>
      <x:c r="T245" s="21"/>
      <x:c r="U245" s="20"/>
      <x:c r="V245" s="19" t="str">
        <x:v>http://auth.kolide.com/</x:v>
      </x:c>
      <x:c r="W245" s="19" t="str">
        <x:v>https://pro.similarweb.com/#/digitalsuite/websiteanalysis/referrals/*/999/1m?webSource=Total&amp;selectedTab=incomingTraffic&amp;key=paddle.com</x:v>
      </x:c>
      <x:c r="X245" s="20" t="n">
        <x:f>IF(Q245="是",0,IFERROR(P245/SUMIFS($P$2:$P$964,$A$2:$A$964,A245,$Q$2:$Q$964,"否"),0))</x:f>
        <x:v>0.006033222241249852</x:v>
      </x:c>
      <x:c r="Y245" s="22" t="str">
        <x:f>IF(OR(M245="",U245=""),"未交叉",IF(M245*U245&gt;0,"同向",IF(M245*U245&lt;0,"背离","一侧持平")))</x:f>
        <x:v>未交叉</x:v>
      </x:c>
    </x:row>
    <x:row r="246">
      <x:c r="A246" s="18" t="str">
        <x:v>paddle.com</x:v>
      </x:c>
      <x:c r="B246" s="19" t="str">
        <x:v>支付商主域（混合流量）</x:v>
      </x:c>
      <x:c r="C246" s="19" t="str">
        <x:v>中</x:v>
      </x:c>
      <x:c r="D246" s="19" t="str">
        <x:v>Jul 2026</x:v>
      </x:c>
      <x:c r="E246" s="19" t="n">
        <x:v>45</x:v>
      </x:c>
      <x:c r="F246" s="19" t="str">
        <x:v>leadpages.com</x:v>
      </x:c>
      <x:c r="G246" s="19" t="str">
        <x:v>Online Marketing</x:v>
      </x:c>
      <x:c r="H246" s="19" t="str">
        <x:v>营销、生产力与商业服务</x:v>
      </x:c>
      <x:c r="I246" s="19" t="str">
        <x:v>Similarweb 行业映射</x:v>
      </x:c>
      <x:c r="J246" s="19" t="n">
        <x:v>145766</x:v>
      </x:c>
      <x:c r="K246" s="20" t="n">
        <x:v>0.0031</x:v>
      </x:c>
      <x:c r="L246" s="19" t="str">
        <x:v>上升</x:v>
      </x:c>
      <x:c r="M246" s="20" t="n">
        <x:v>0.4607</x:v>
      </x:c>
      <x:c r="N246" s="21" t="n">
        <x:v>295624</x:v>
      </x:c>
      <x:c r="O246" s="21" t="n">
        <x:v>916</x:v>
      </x:c>
      <x:c r="P246" s="21" t="n">
        <x:f>ROUND(N246*K246,0)</x:f>
        <x:v>916</x:v>
      </x:c>
      <x:c r="Q246" s="19" t="str">
        <x:v>否</x:v>
      </x:c>
      <x:c r="R246" s="19" t="str"/>
      <x:c r="S246" s="19" t="n">
        <x:f>IF(Q246="是",0,MIN(10,2+IF(C246="高",2,1)+IF(K246&gt;=3%,3,IF(K246&gt;=1%,2,1))+IF(L246="新出现",2,IF(M246&gt;=100%,3,IF(M246&gt;0,2,0)))))</x:f>
        <x:v>6</x:v>
      </x:c>
      <x:c r="T246" s="21"/>
      <x:c r="U246" s="20"/>
      <x:c r="V246" s="19" t="str">
        <x:v>http://leadpages.com/</x:v>
      </x:c>
      <x:c r="W246" s="19" t="str">
        <x:v>https://pro.similarweb.com/#/digitalsuite/websiteanalysis/referrals/*/999/1m?webSource=Total&amp;selectedTab=incomingTraffic&amp;key=paddle.com</x:v>
      </x:c>
      <x:c r="X246" s="20" t="n">
        <x:f>IF(Q246="是",0,IFERROR(P246/SUMIFS($P$2:$P$964,$A$2:$A$964,A246,$Q$2:$Q$964,"否"),0))</x:f>
        <x:v>0.006033222241249852</x:v>
      </x:c>
      <x:c r="Y246" s="22" t="str">
        <x:f>IF(OR(M246="",U246=""),"未交叉",IF(M246*U246&gt;0,"同向",IF(M246*U246&lt;0,"背离","一侧持平")))</x:f>
        <x:v>未交叉</x:v>
      </x:c>
    </x:row>
    <x:row r="247">
      <x:c r="A247" s="18" t="str">
        <x:v>paddle.com</x:v>
      </x:c>
      <x:c r="B247" s="19" t="str">
        <x:v>支付商主域（混合流量）</x:v>
      </x:c>
      <x:c r="C247" s="19" t="str">
        <x:v>中</x:v>
      </x:c>
      <x:c r="D247" s="19" t="str">
        <x:v>Jul 2026</x:v>
      </x:c>
      <x:c r="E247" s="19" t="n">
        <x:v>46</x:v>
      </x:c>
      <x:c r="F247" s="19" t="str">
        <x:v>easydriverpro.com</x:v>
      </x:c>
      <x:c r="G247" s="19" t="str">
        <x:v>Programming and Developer Software</x:v>
      </x:c>
      <x:c r="H247" s="19" t="str">
        <x:v>开发者工具与互联网基础设施</x:v>
      </x:c>
      <x:c r="I247" s="19" t="str">
        <x:v>Similarweb 行业映射</x:v>
      </x:c>
      <x:c r="J247" s="19"/>
      <x:c r="K247" s="20" t="n">
        <x:v>0.0028000000000000004</x:v>
      </x:c>
      <x:c r="L247" s="19" t="str">
        <x:v>下降</x:v>
      </x:c>
      <x:c r="M247" s="20" t="n">
        <x:v>-0.6433</x:v>
      </x:c>
      <x:c r="N247" s="21" t="n">
        <x:v>295624</x:v>
      </x:c>
      <x:c r="O247" s="21" t="n">
        <x:v>828</x:v>
      </x:c>
      <x:c r="P247" s="21" t="n">
        <x:f>ROUND(N247*K247,0)</x:f>
        <x:v>828</x:v>
      </x:c>
      <x:c r="Q247" s="19" t="str">
        <x:v>否</x:v>
      </x:c>
      <x:c r="R247" s="19" t="str"/>
      <x:c r="S247" s="19" t="n">
        <x:f>IF(Q247="是",0,MIN(10,2+IF(C247="高",2,1)+IF(K247&gt;=3%,3,IF(K247&gt;=1%,2,1))+IF(L247="新出现",2,IF(M247&gt;=100%,3,IF(M247&gt;0,2,0)))))</x:f>
        <x:v>4</x:v>
      </x:c>
      <x:c r="T247" s="21"/>
      <x:c r="U247" s="20"/>
      <x:c r="V247" s="19" t="str">
        <x:v>http://easydriverpro.com/</x:v>
      </x:c>
      <x:c r="W247" s="19" t="str">
        <x:v>https://pro.similarweb.com/#/digitalsuite/websiteanalysis/referrals/*/999/1m?webSource=Total&amp;selectedTab=incomingTraffic&amp;key=paddle.com</x:v>
      </x:c>
      <x:c r="X247" s="20" t="n">
        <x:f>IF(Q247="是",0,IFERROR(P247/SUMIFS($P$2:$P$964,$A$2:$A$964,A247,$Q$2:$Q$964,"否"),0))</x:f>
        <x:v>0.005453611370911438</x:v>
      </x:c>
      <x:c r="Y247" s="22" t="str">
        <x:f>IF(OR(M247="",U247=""),"未交叉",IF(M247*U247&gt;0,"同向",IF(M247*U247&lt;0,"背离","一侧持平")))</x:f>
        <x:v>未交叉</x:v>
      </x:c>
    </x:row>
    <x:row r="248">
      <x:c r="A248" s="18" t="str">
        <x:v>paddle.com</x:v>
      </x:c>
      <x:c r="B248" s="19" t="str">
        <x:v>支付商主域（混合流量）</x:v>
      </x:c>
      <x:c r="C248" s="19" t="str">
        <x:v>中</x:v>
      </x:c>
      <x:c r="D248" s="19" t="str">
        <x:v>Jul 2026</x:v>
      </x:c>
      <x:c r="E248" s="19" t="n">
        <x:v>47</x:v>
      </x:c>
      <x:c r="F248" s="19" t="str">
        <x:v>abbieemmonsauthor.com</x:v>
      </x:c>
      <x:c r="G248" s="19" t="str">
        <x:v>Books and Literature</x:v>
      </x:c>
      <x:c r="H248" s="19" t="str">
        <x:v>其他/待核查</x:v>
      </x:c>
      <x:c r="I248" s="19" t="str">
        <x:v>保守归类</x:v>
      </x:c>
      <x:c r="J248" s="19" t="n">
        <x:v>1159398</x:v>
      </x:c>
      <x:c r="K248" s="20" t="n">
        <x:v>0.0027</x:v>
      </x:c>
      <x:c r="L248" s="19" t="str">
        <x:v>上升</x:v>
      </x:c>
      <x:c r="M248" s="20" t="n">
        <x:v>8.6266</x:v>
      </x:c>
      <x:c r="N248" s="21" t="n">
        <x:v>295624</x:v>
      </x:c>
      <x:c r="O248" s="21" t="n">
        <x:v>798</x:v>
      </x:c>
      <x:c r="P248" s="21" t="n">
        <x:f>ROUND(N248*K248,0)</x:f>
        <x:v>798</x:v>
      </x:c>
      <x:c r="Q248" s="19" t="str">
        <x:v>否</x:v>
      </x:c>
      <x:c r="R248" s="19" t="str"/>
      <x:c r="S248" s="19" t="n">
        <x:f>IF(Q248="是",0,MIN(10,2+IF(C248="高",2,1)+IF(K248&gt;=3%,3,IF(K248&gt;=1%,2,1))+IF(L248="新出现",2,IF(M248&gt;=100%,3,IF(M248&gt;0,2,0)))))</x:f>
        <x:v>7</x:v>
      </x:c>
      <x:c r="T248" s="21"/>
      <x:c r="U248" s="20"/>
      <x:c r="V248" s="19" t="str">
        <x:v>http://abbieemmonsauthor.com/</x:v>
      </x:c>
      <x:c r="W248" s="19" t="str">
        <x:v>https://pro.similarweb.com/#/digitalsuite/websiteanalysis/referrals/*/999/1m?webSource=Total&amp;selectedTab=incomingTraffic&amp;key=paddle.com</x:v>
      </x:c>
      <x:c r="X248" s="20" t="n">
        <x:f>IF(Q248="是",0,IFERROR(P248/SUMIFS($P$2:$P$964,$A$2:$A$964,A248,$Q$2:$Q$964,"否"),0))</x:f>
        <x:v>0.0052560167560233425</x:v>
      </x:c>
      <x:c r="Y248" s="22" t="str">
        <x:f>IF(OR(M248="",U248=""),"未交叉",IF(M248*U248&gt;0,"同向",IF(M248*U248&lt;0,"背离","一侧持平")))</x:f>
        <x:v>未交叉</x:v>
      </x:c>
    </x:row>
    <x:row r="249">
      <x:c r="A249" s="18" t="str">
        <x:v>paddle.com</x:v>
      </x:c>
      <x:c r="B249" s="19" t="str">
        <x:v>支付商主域（混合流量）</x:v>
      </x:c>
      <x:c r="C249" s="19" t="str">
        <x:v>中</x:v>
      </x:c>
      <x:c r="D249" s="19" t="str">
        <x:v>Jul 2026</x:v>
      </x:c>
      <x:c r="E249" s="19" t="n">
        <x:v>48</x:v>
      </x:c>
      <x:c r="F249" s="19" t="str">
        <x:v>app.discolike.com</x:v>
      </x:c>
      <x:c r="G249" s="19" t="str">
        <x:v>Unknown</x:v>
      </x:c>
      <x:c r="H249" s="19" t="str">
        <x:v>其他/待核查</x:v>
      </x:c>
      <x:c r="I249" s="19" t="str">
        <x:v>Similarweb 未分类</x:v>
      </x:c>
      <x:c r="J249" s="19"/>
      <x:c r="K249" s="20" t="n">
        <x:v>0.0027</x:v>
      </x:c>
      <x:c r="L249" s="19" t="str">
        <x:v>上升</x:v>
      </x:c>
      <x:c r="M249" s="20" t="n">
        <x:v>1.4877</x:v>
      </x:c>
      <x:c r="N249" s="21" t="n">
        <x:v>295624</x:v>
      </x:c>
      <x:c r="O249" s="21" t="n">
        <x:v>798</x:v>
      </x:c>
      <x:c r="P249" s="21" t="n">
        <x:f>ROUND(N249*K249,0)</x:f>
        <x:v>798</x:v>
      </x:c>
      <x:c r="Q249" s="19" t="str">
        <x:v>否</x:v>
      </x:c>
      <x:c r="R249" s="19" t="str"/>
      <x:c r="S249" s="19" t="n">
        <x:f>IF(Q249="是",0,MIN(10,2+IF(C249="高",2,1)+IF(K249&gt;=3%,3,IF(K249&gt;=1%,2,1))+IF(L249="新出现",2,IF(M249&gt;=100%,3,IF(M249&gt;0,2,0)))))</x:f>
        <x:v>7</x:v>
      </x:c>
      <x:c r="T249" s="21"/>
      <x:c r="U249" s="20"/>
      <x:c r="V249" s="19" t="str">
        <x:v>http://app.discolike.com/</x:v>
      </x:c>
      <x:c r="W249" s="19" t="str">
        <x:v>https://pro.similarweb.com/#/digitalsuite/websiteanalysis/referrals/*/999/1m?webSource=Total&amp;selectedTab=incomingTraffic&amp;key=paddle.com</x:v>
      </x:c>
      <x:c r="X249" s="20" t="n">
        <x:f>IF(Q249="是",0,IFERROR(P249/SUMIFS($P$2:$P$964,$A$2:$A$964,A249,$Q$2:$Q$964,"否"),0))</x:f>
        <x:v>0.0052560167560233425</x:v>
      </x:c>
      <x:c r="Y249" s="22" t="str">
        <x:f>IF(OR(M249="",U249=""),"未交叉",IF(M249*U249&gt;0,"同向",IF(M249*U249&lt;0,"背离","一侧持平")))</x:f>
        <x:v>未交叉</x:v>
      </x:c>
    </x:row>
    <x:row r="250">
      <x:c r="A250" s="18" t="str">
        <x:v>paddle.com</x:v>
      </x:c>
      <x:c r="B250" s="19" t="str">
        <x:v>支付商主域（混合流量）</x:v>
      </x:c>
      <x:c r="C250" s="19" t="str">
        <x:v>中</x:v>
      </x:c>
      <x:c r="D250" s="19" t="str">
        <x:v>Jul 2026</x:v>
      </x:c>
      <x:c r="E250" s="19" t="n">
        <x:v>49</x:v>
      </x:c>
      <x:c r="F250" s="19" t="str">
        <x:v>pay.nicepay.co.kr</x:v>
      </x:c>
      <x:c r="G250" s="19" t="str">
        <x:v>Graphics Multimedia and Web Design</x:v>
      </x:c>
      <x:c r="H250" s="19" t="str">
        <x:v>创作、设计与多媒体工具</x:v>
      </x:c>
      <x:c r="I250" s="19" t="str">
        <x:v>Similarweb 行业映射</x:v>
      </x:c>
      <x:c r="J250" s="19"/>
      <x:c r="K250" s="20" t="n">
        <x:v>0.0026</x:v>
      </x:c>
      <x:c r="L250" s="19" t="str">
        <x:v>新出现</x:v>
      </x:c>
      <x:c r="M250" s="20"/>
      <x:c r="N250" s="21" t="n">
        <x:v>295624</x:v>
      </x:c>
      <x:c r="O250" s="21" t="n">
        <x:v>769</x:v>
      </x:c>
      <x:c r="P250" s="21" t="n">
        <x:f>ROUND(N250*K250,0)</x:f>
        <x:v>769</x:v>
      </x:c>
      <x:c r="Q250" s="19" t="str">
        <x:v>是</x:v>
      </x:c>
      <x:c r="R250" s="19" t="str">
        <x:v>支付平台、自引荐或流量中介</x:v>
      </x:c>
      <x:c r="S250" s="19" t="n">
        <x:f>IF(Q250="是",0,MIN(10,2+IF(C250="高",2,1)+IF(K250&gt;=3%,3,IF(K250&gt;=1%,2,1))+IF(L250="新出现",2,IF(M250&gt;=100%,3,IF(M250&gt;0,2,0)))))</x:f>
        <x:v>0</x:v>
      </x:c>
      <x:c r="T250" s="21"/>
      <x:c r="U250" s="20"/>
      <x:c r="V250" s="19" t="str">
        <x:v>http://pay.nicepay.co.kr/</x:v>
      </x:c>
      <x:c r="W250" s="19" t="str">
        <x:v>https://pro.similarweb.com/#/digitalsuite/websiteanalysis/referrals/*/999/1m?webSource=Total&amp;selectedTab=incomingTraffic&amp;key=paddle.com</x:v>
      </x:c>
      <x:c r="X250" s="20" t="n">
        <x:f>IF(Q250="是",0,IFERROR(P250/SUMIFS($P$2:$P$964,$A$2:$A$964,A250,$Q$2:$Q$964,"否"),0))</x:f>
        <x:v>0</x:v>
      </x:c>
      <x:c r="Y250" s="22" t="str">
        <x:f>IF(OR(M250="",U250=""),"未交叉",IF(M250*U250&gt;0,"同向",IF(M250*U250&lt;0,"背离","一侧持平")))</x:f>
        <x:v>未交叉</x:v>
      </x:c>
    </x:row>
    <x:row r="251">
      <x:c r="A251" s="18" t="str">
        <x:v>paddle.com</x:v>
      </x:c>
      <x:c r="B251" s="19" t="str">
        <x:v>支付商主域（混合流量）</x:v>
      </x:c>
      <x:c r="C251" s="19" t="str">
        <x:v>中</x:v>
      </x:c>
      <x:c r="D251" s="19" t="str">
        <x:v>Jul 2026</x:v>
      </x:c>
      <x:c r="E251" s="19" t="n">
        <x:v>50</x:v>
      </x:c>
      <x:c r="F251" s="19" t="str">
        <x:v>vc.ru</x:v>
      </x:c>
      <x:c r="G251" s="19" t="str">
        <x:v>Computers Electronics and Technology</x:v>
      </x:c>
      <x:c r="H251" s="19" t="str">
        <x:v>通用数字产品与技术服务</x:v>
      </x:c>
      <x:c r="I251" s="19" t="str">
        <x:v>Similarweb 行业映射</x:v>
      </x:c>
      <x:c r="J251" s="19" t="n">
        <x:v>6702</x:v>
      </x:c>
      <x:c r="K251" s="20" t="n">
        <x:v>0.0025</x:v>
      </x:c>
      <x:c r="L251" s="19" t="str">
        <x:v>新出现</x:v>
      </x:c>
      <x:c r="M251" s="20"/>
      <x:c r="N251" s="21" t="n">
        <x:v>295624</x:v>
      </x:c>
      <x:c r="O251" s="21" t="n">
        <x:v>739</x:v>
      </x:c>
      <x:c r="P251" s="21" t="n">
        <x:f>ROUND(N251*K251,0)</x:f>
        <x:v>739</x:v>
      </x:c>
      <x:c r="Q251" s="19" t="str">
        <x:v>否</x:v>
      </x:c>
      <x:c r="R251" s="19" t="str"/>
      <x:c r="S251" s="19" t="n">
        <x:f>IF(Q251="是",0,MIN(10,2+IF(C251="高",2,1)+IF(K251&gt;=3%,3,IF(K251&gt;=1%,2,1))+IF(L251="新出现",2,IF(M251&gt;=100%,3,IF(M251&gt;0,2,0)))))</x:f>
        <x:v>6</x:v>
      </x:c>
      <x:c r="T251" s="21"/>
      <x:c r="U251" s="20"/>
      <x:c r="V251" s="19" t="str">
        <x:v>http://vc.ru/</x:v>
      </x:c>
      <x:c r="W251" s="19" t="str">
        <x:v>https://pro.similarweb.com/#/digitalsuite/websiteanalysis/referrals/*/999/1m?webSource=Total&amp;selectedTab=incomingTraffic&amp;key=paddle.com</x:v>
      </x:c>
      <x:c r="X251" s="20" t="n">
        <x:f>IF(Q251="是",0,IFERROR(P251/SUMIFS($P$2:$P$964,$A$2:$A$964,A251,$Q$2:$Q$964,"否"),0))</x:f>
        <x:v>0.004867414013410088</x:v>
      </x:c>
      <x:c r="Y251" s="22" t="str">
        <x:f>IF(OR(M251="",U251=""),"未交叉",IF(M251*U251&gt;0,"同向",IF(M251*U251&lt;0,"背离","一侧持平")))</x:f>
        <x:v>未交叉</x:v>
      </x:c>
    </x:row>
    <x:row r="252">
      <x:c r="A252" s="18" t="str">
        <x:v>paddle.com</x:v>
      </x:c>
      <x:c r="B252" s="19" t="str">
        <x:v>支付商主域（混合流量）</x:v>
      </x:c>
      <x:c r="C252" s="19" t="str">
        <x:v>中</x:v>
      </x:c>
      <x:c r="D252" s="19" t="str">
        <x:v>Jul 2026</x:v>
      </x:c>
      <x:c r="E252" s="19" t="n">
        <x:v>51</x:v>
      </x:c>
      <x:c r="F252" s="19" t="str">
        <x:v>wokwi.com</x:v>
      </x:c>
      <x:c r="G252" s="19" t="str">
        <x:v>Computer Hardware</x:v>
      </x:c>
      <x:c r="H252" s="19" t="str">
        <x:v>其他/待核查</x:v>
      </x:c>
      <x:c r="I252" s="19" t="str">
        <x:v>保守归类</x:v>
      </x:c>
      <x:c r="J252" s="19" t="n">
        <x:v>28971</x:v>
      </x:c>
      <x:c r="K252" s="20" t="n">
        <x:v>0.0025</x:v>
      </x:c>
      <x:c r="L252" s="19" t="str">
        <x:v>上升</x:v>
      </x:c>
      <x:c r="M252" s="20" t="n">
        <x:v>0.1998</x:v>
      </x:c>
      <x:c r="N252" s="21" t="n">
        <x:v>295624</x:v>
      </x:c>
      <x:c r="O252" s="21" t="n">
        <x:v>739</x:v>
      </x:c>
      <x:c r="P252" s="21" t="n">
        <x:f>ROUND(N252*K252,0)</x:f>
        <x:v>739</x:v>
      </x:c>
      <x:c r="Q252" s="19" t="str">
        <x:v>否</x:v>
      </x:c>
      <x:c r="R252" s="19" t="str"/>
      <x:c r="S252" s="19" t="n">
        <x:f>IF(Q252="是",0,MIN(10,2+IF(C252="高",2,1)+IF(K252&gt;=3%,3,IF(K252&gt;=1%,2,1))+IF(L252="新出现",2,IF(M252&gt;=100%,3,IF(M252&gt;0,2,0)))))</x:f>
        <x:v>6</x:v>
      </x:c>
      <x:c r="T252" s="21"/>
      <x:c r="U252" s="20"/>
      <x:c r="V252" s="19" t="str">
        <x:v>http://wokwi.com/</x:v>
      </x:c>
      <x:c r="W252" s="19" t="str">
        <x:v>https://pro.similarweb.com/#/digitalsuite/websiteanalysis/referrals/*/999/1m?webSource=Total&amp;selectedTab=incomingTraffic&amp;key=paddle.com</x:v>
      </x:c>
      <x:c r="X252" s="20" t="n">
        <x:f>IF(Q252="是",0,IFERROR(P252/SUMIFS($P$2:$P$964,$A$2:$A$964,A252,$Q$2:$Q$964,"否"),0))</x:f>
        <x:v>0.004867414013410088</x:v>
      </x:c>
      <x:c r="Y252" s="22" t="str">
        <x:f>IF(OR(M252="",U252=""),"未交叉",IF(M252*U252&gt;0,"同向",IF(M252*U252&lt;0,"背离","一侧持平")))</x:f>
        <x:v>未交叉</x:v>
      </x:c>
    </x:row>
    <x:row r="253">
      <x:c r="A253" s="18" t="str">
        <x:v>paddle.com</x:v>
      </x:c>
      <x:c r="B253" s="19" t="str">
        <x:v>支付商主域（混合流量）</x:v>
      </x:c>
      <x:c r="C253" s="19" t="str">
        <x:v>中</x:v>
      </x:c>
      <x:c r="D253" s="19" t="str">
        <x:v>Jul 2026</x:v>
      </x:c>
      <x:c r="E253" s="19" t="n">
        <x:v>52</x:v>
      </x:c>
      <x:c r="F253" s="19" t="str">
        <x:v>account.sliderrevolution.com</x:v>
      </x:c>
      <x:c r="G253" s="19" t="str">
        <x:v>Online Marketing</x:v>
      </x:c>
      <x:c r="H253" s="19" t="str">
        <x:v>营销、生产力与商业服务</x:v>
      </x:c>
      <x:c r="I253" s="19" t="str">
        <x:v>Similarweb 行业映射</x:v>
      </x:c>
      <x:c r="J253" s="19"/>
      <x:c r="K253" s="20" t="n">
        <x:v>0.0024</x:v>
      </x:c>
      <x:c r="L253" s="19" t="str">
        <x:v>上升</x:v>
      </x:c>
      <x:c r="M253" s="20" t="n">
        <x:v>11.232000000000001</x:v>
      </x:c>
      <x:c r="N253" s="21" t="n">
        <x:v>295624</x:v>
      </x:c>
      <x:c r="O253" s="21" t="n">
        <x:v>709</x:v>
      </x:c>
      <x:c r="P253" s="21" t="n">
        <x:f>ROUND(N253*K253,0)</x:f>
        <x:v>709</x:v>
      </x:c>
      <x:c r="Q253" s="19" t="str">
        <x:v>否</x:v>
      </x:c>
      <x:c r="R253" s="19" t="str"/>
      <x:c r="S253" s="19" t="n">
        <x:f>IF(Q253="是",0,MIN(10,2+IF(C253="高",2,1)+IF(K253&gt;=3%,3,IF(K253&gt;=1%,2,1))+IF(L253="新出现",2,IF(M253&gt;=100%,3,IF(M253&gt;0,2,0)))))</x:f>
        <x:v>7</x:v>
      </x:c>
      <x:c r="T253" s="21"/>
      <x:c r="U253" s="20"/>
      <x:c r="V253" s="19" t="str">
        <x:v>http://account.sliderrevolution.com/</x:v>
      </x:c>
      <x:c r="W253" s="19" t="str">
        <x:v>https://pro.similarweb.com/#/digitalsuite/websiteanalysis/referrals/*/999/1m?webSource=Total&amp;selectedTab=incomingTraffic&amp;key=paddle.com</x:v>
      </x:c>
      <x:c r="X253" s="20" t="n">
        <x:f>IF(Q253="是",0,IFERROR(P253/SUMIFS($P$2:$P$964,$A$2:$A$964,A253,$Q$2:$Q$964,"否"),0))</x:f>
        <x:v>0.004669819398521992</x:v>
      </x:c>
      <x:c r="Y253" s="22" t="str">
        <x:f>IF(OR(M253="",U253=""),"未交叉",IF(M253*U253&gt;0,"同向",IF(M253*U253&lt;0,"背离","一侧持平")))</x:f>
        <x:v>未交叉</x:v>
      </x:c>
    </x:row>
    <x:row r="254">
      <x:c r="A254" s="18" t="str">
        <x:v>paddle.com</x:v>
      </x:c>
      <x:c r="B254" s="19" t="str">
        <x:v>支付商主域（混合流量）</x:v>
      </x:c>
      <x:c r="C254" s="19" t="str">
        <x:v>中</x:v>
      </x:c>
      <x:c r="D254" s="19" t="str">
        <x:v>Jul 2026</x:v>
      </x:c>
      <x:c r="E254" s="19" t="n">
        <x:v>53</x:v>
      </x:c>
      <x:c r="F254" s="19" t="str">
        <x:v>crashplan.com</x:v>
      </x:c>
      <x:c r="G254" s="19" t="str">
        <x:v>File Sharing and Hosting</x:v>
      </x:c>
      <x:c r="H254" s="19" t="str">
        <x:v>开发者工具与互联网基础设施</x:v>
      </x:c>
      <x:c r="I254" s="19" t="str">
        <x:v>Similarweb 行业映射</x:v>
      </x:c>
      <x:c r="J254" s="19" t="n">
        <x:v>342408</x:v>
      </x:c>
      <x:c r="K254" s="20" t="n">
        <x:v>0.0024</x:v>
      </x:c>
      <x:c r="L254" s="19" t="str">
        <x:v>下降</x:v>
      </x:c>
      <x:c r="M254" s="20" t="n">
        <x:v>-0.6498</x:v>
      </x:c>
      <x:c r="N254" s="21" t="n">
        <x:v>295624</x:v>
      </x:c>
      <x:c r="O254" s="21" t="n">
        <x:v>709</x:v>
      </x:c>
      <x:c r="P254" s="21" t="n">
        <x:f>ROUND(N254*K254,0)</x:f>
        <x:v>709</x:v>
      </x:c>
      <x:c r="Q254" s="19" t="str">
        <x:v>否</x:v>
      </x:c>
      <x:c r="R254" s="19" t="str"/>
      <x:c r="S254" s="19" t="n">
        <x:f>IF(Q254="是",0,MIN(10,2+IF(C254="高",2,1)+IF(K254&gt;=3%,3,IF(K254&gt;=1%,2,1))+IF(L254="新出现",2,IF(M254&gt;=100%,3,IF(M254&gt;0,2,0)))))</x:f>
        <x:v>4</x:v>
      </x:c>
      <x:c r="T254" s="21"/>
      <x:c r="U254" s="20"/>
      <x:c r="V254" s="19" t="str">
        <x:v>http://crashplan.com/</x:v>
      </x:c>
      <x:c r="W254" s="19" t="str">
        <x:v>https://pro.similarweb.com/#/digitalsuite/websiteanalysis/referrals/*/999/1m?webSource=Total&amp;selectedTab=incomingTraffic&amp;key=paddle.com</x:v>
      </x:c>
      <x:c r="X254" s="20" t="n">
        <x:f>IF(Q254="是",0,IFERROR(P254/SUMIFS($P$2:$P$964,$A$2:$A$964,A254,$Q$2:$Q$964,"否"),0))</x:f>
        <x:v>0.004669819398521992</x:v>
      </x:c>
      <x:c r="Y254" s="22" t="str">
        <x:f>IF(OR(M254="",U254=""),"未交叉",IF(M254*U254&gt;0,"同向",IF(M254*U254&lt;0,"背离","一侧持平")))</x:f>
        <x:v>未交叉</x:v>
      </x:c>
    </x:row>
    <x:row r="255">
      <x:c r="A255" s="18" t="str">
        <x:v>paddle.com</x:v>
      </x:c>
      <x:c r="B255" s="19" t="str">
        <x:v>支付商主域（混合流量）</x:v>
      </x:c>
      <x:c r="C255" s="19" t="str">
        <x:v>中</x:v>
      </x:c>
      <x:c r="D255" s="19" t="str">
        <x:v>Jul 2026</x:v>
      </x:c>
      <x:c r="E255" s="19" t="n">
        <x:v>54</x:v>
      </x:c>
      <x:c r="F255" s="19" t="str">
        <x:v>paddle.kustomerapp.com</x:v>
      </x:c>
      <x:c r="G255" s="19" t="str">
        <x:v>Programming and Developer Software</x:v>
      </x:c>
      <x:c r="H255" s="19" t="str">
        <x:v>开发者工具与互联网基础设施</x:v>
      </x:c>
      <x:c r="I255" s="19" t="str">
        <x:v>Similarweb 行业映射</x:v>
      </x:c>
      <x:c r="J255" s="19"/>
      <x:c r="K255" s="20" t="n">
        <x:v>0.0023</x:v>
      </x:c>
      <x:c r="L255" s="19" t="str">
        <x:v>下降</x:v>
      </x:c>
      <x:c r="M255" s="20" t="n">
        <x:v>-0.6165999999999999</x:v>
      </x:c>
      <x:c r="N255" s="21" t="n">
        <x:v>295624</x:v>
      </x:c>
      <x:c r="O255" s="21" t="n">
        <x:v>680</x:v>
      </x:c>
      <x:c r="P255" s="21" t="n">
        <x:f>ROUND(N255*K255,0)</x:f>
        <x:v>680</x:v>
      </x:c>
      <x:c r="Q255" s="19" t="str">
        <x:v>否</x:v>
      </x:c>
      <x:c r="R255" s="19" t="str"/>
      <x:c r="S255" s="19" t="n">
        <x:f>IF(Q255="是",0,MIN(10,2+IF(C255="高",2,1)+IF(K255&gt;=3%,3,IF(K255&gt;=1%,2,1))+IF(L255="新出现",2,IF(M255&gt;=100%,3,IF(M255&gt;0,2,0)))))</x:f>
        <x:v>4</x:v>
      </x:c>
      <x:c r="T255" s="21"/>
      <x:c r="U255" s="20"/>
      <x:c r="V255" s="19" t="str">
        <x:v>http://paddle.kustomerapp.com/</x:v>
      </x:c>
      <x:c r="W255" s="19" t="str">
        <x:v>https://pro.similarweb.com/#/digitalsuite/websiteanalysis/referrals/*/999/1m?webSource=Total&amp;selectedTab=incomingTraffic&amp;key=paddle.com</x:v>
      </x:c>
      <x:c r="X255" s="20" t="n">
        <x:f>IF(Q255="是",0,IFERROR(P255/SUMIFS($P$2:$P$964,$A$2:$A$964,A255,$Q$2:$Q$964,"否"),0))</x:f>
        <x:v>0.004478811270796833</x:v>
      </x:c>
      <x:c r="Y255" s="22" t="str">
        <x:f>IF(OR(M255="",U255=""),"未交叉",IF(M255*U255&gt;0,"同向",IF(M255*U255&lt;0,"背离","一侧持平")))</x:f>
        <x:v>未交叉</x:v>
      </x:c>
    </x:row>
    <x:row r="256">
      <x:c r="A256" s="18" t="str">
        <x:v>paddle.com</x:v>
      </x:c>
      <x:c r="B256" s="19" t="str">
        <x:v>支付商主域（混合流量）</x:v>
      </x:c>
      <x:c r="C256" s="19" t="str">
        <x:v>中</x:v>
      </x:c>
      <x:c r="D256" s="19" t="str">
        <x:v>Jul 2026</x:v>
      </x:c>
      <x:c r="E256" s="19" t="n">
        <x:v>55</x:v>
      </x:c>
      <x:c r="F256" s="19" t="str">
        <x:v>storrito.com</x:v>
      </x:c>
      <x:c r="G256" s="19" t="str">
        <x:v>Graphics Multimedia and Web Design</x:v>
      </x:c>
      <x:c r="H256" s="19" t="str">
        <x:v>创作、设计与多媒体工具</x:v>
      </x:c>
      <x:c r="I256" s="19" t="str">
        <x:v>Similarweb 行业映射</x:v>
      </x:c>
      <x:c r="J256" s="19" t="n">
        <x:v>278471</x:v>
      </x:c>
      <x:c r="K256" s="20" t="n">
        <x:v>0.0022</x:v>
      </x:c>
      <x:c r="L256" s="19" t="str">
        <x:v>上升</x:v>
      </x:c>
      <x:c r="M256" s="20" t="n">
        <x:v>1.5588</x:v>
      </x:c>
      <x:c r="N256" s="21" t="n">
        <x:v>295624</x:v>
      </x:c>
      <x:c r="O256" s="21" t="n">
        <x:v>650</x:v>
      </x:c>
      <x:c r="P256" s="21" t="n">
        <x:f>ROUND(N256*K256,0)</x:f>
        <x:v>650</x:v>
      </x:c>
      <x:c r="Q256" s="19" t="str">
        <x:v>否</x:v>
      </x:c>
      <x:c r="R256" s="19" t="str"/>
      <x:c r="S256" s="19" t="n">
        <x:f>IF(Q256="是",0,MIN(10,2+IF(C256="高",2,1)+IF(K256&gt;=3%,3,IF(K256&gt;=1%,2,1))+IF(L256="新出现",2,IF(M256&gt;=100%,3,IF(M256&gt;0,2,0)))))</x:f>
        <x:v>7</x:v>
      </x:c>
      <x:c r="T256" s="21"/>
      <x:c r="U256" s="20"/>
      <x:c r="V256" s="19" t="str">
        <x:v>http://storrito.com/</x:v>
      </x:c>
      <x:c r="W256" s="19" t="str">
        <x:v>https://pro.similarweb.com/#/digitalsuite/websiteanalysis/referrals/*/999/1m?webSource=Total&amp;selectedTab=incomingTraffic&amp;key=paddle.com</x:v>
      </x:c>
      <x:c r="X256" s="20" t="n">
        <x:f>IF(Q256="是",0,IFERROR(P256/SUMIFS($P$2:$P$964,$A$2:$A$964,A256,$Q$2:$Q$964,"否"),0))</x:f>
        <x:v>0.004281216655908738</x:v>
      </x:c>
      <x:c r="Y256" s="22" t="str">
        <x:f>IF(OR(M256="",U256=""),"未交叉",IF(M256*U256&gt;0,"同向",IF(M256*U256&lt;0,"背离","一侧持平")))</x:f>
        <x:v>未交叉</x:v>
      </x:c>
    </x:row>
    <x:row r="257">
      <x:c r="A257" s="18" t="str">
        <x:v>paddle.com</x:v>
      </x:c>
      <x:c r="B257" s="19" t="str">
        <x:v>支付商主域（混合流量）</x:v>
      </x:c>
      <x:c r="C257" s="19" t="str">
        <x:v>中</x:v>
      </x:c>
      <x:c r="D257" s="19" t="str">
        <x:v>Jul 2026</x:v>
      </x:c>
      <x:c r="E257" s="19" t="n">
        <x:v>56</x:v>
      </x:c>
      <x:c r="F257" s="19" t="str">
        <x:v>clipdrop.co</x:v>
      </x:c>
      <x:c r="G257" s="19" t="str">
        <x:v>Computers Electronics and Technology</x:v>
      </x:c>
      <x:c r="H257" s="19" t="str">
        <x:v>通用数字产品与技术服务</x:v>
      </x:c>
      <x:c r="I257" s="19" t="str">
        <x:v>Similarweb 行业映射</x:v>
      </x:c>
      <x:c r="J257" s="19" t="n">
        <x:v>73523</x:v>
      </x:c>
      <x:c r="K257" s="20" t="n">
        <x:v>0.0022</x:v>
      </x:c>
      <x:c r="L257" s="19" t="str">
        <x:v>上升</x:v>
      </x:c>
      <x:c r="M257" s="20" t="n">
        <x:v>0.025</x:v>
      </x:c>
      <x:c r="N257" s="21" t="n">
        <x:v>295624</x:v>
      </x:c>
      <x:c r="O257" s="21" t="n">
        <x:v>650</x:v>
      </x:c>
      <x:c r="P257" s="21" t="n">
        <x:f>ROUND(N257*K257,0)</x:f>
        <x:v>650</x:v>
      </x:c>
      <x:c r="Q257" s="19" t="str">
        <x:v>否</x:v>
      </x:c>
      <x:c r="R257" s="19" t="str"/>
      <x:c r="S257" s="19" t="n">
        <x:f>IF(Q257="是",0,MIN(10,2+IF(C257="高",2,1)+IF(K257&gt;=3%,3,IF(K257&gt;=1%,2,1))+IF(L257="新出现",2,IF(M257&gt;=100%,3,IF(M257&gt;0,2,0)))))</x:f>
        <x:v>6</x:v>
      </x:c>
      <x:c r="T257" s="21"/>
      <x:c r="U257" s="20"/>
      <x:c r="V257" s="19" t="str">
        <x:v>http://clipdrop.co/</x:v>
      </x:c>
      <x:c r="W257" s="19" t="str">
        <x:v>https://pro.similarweb.com/#/digitalsuite/websiteanalysis/referrals/*/999/1m?webSource=Total&amp;selectedTab=incomingTraffic&amp;key=paddle.com</x:v>
      </x:c>
      <x:c r="X257" s="20" t="n">
        <x:f>IF(Q257="是",0,IFERROR(P257/SUMIFS($P$2:$P$964,$A$2:$A$964,A257,$Q$2:$Q$964,"否"),0))</x:f>
        <x:v>0.004281216655908738</x:v>
      </x:c>
      <x:c r="Y257" s="22" t="str">
        <x:f>IF(OR(M257="",U257=""),"未交叉",IF(M257*U257&gt;0,"同向",IF(M257*U257&lt;0,"背离","一侧持平")))</x:f>
        <x:v>未交叉</x:v>
      </x:c>
    </x:row>
    <x:row r="258">
      <x:c r="A258" s="18" t="str">
        <x:v>paddle.com</x:v>
      </x:c>
      <x:c r="B258" s="19" t="str">
        <x:v>支付商主域（混合流量）</x:v>
      </x:c>
      <x:c r="C258" s="19" t="str">
        <x:v>中</x:v>
      </x:c>
      <x:c r="D258" s="19" t="str">
        <x:v>Jul 2026</x:v>
      </x:c>
      <x:c r="E258" s="19" t="n">
        <x:v>57</x:v>
      </x:c>
      <x:c r="F258" s="19" t="str">
        <x:v>hypersolutions.co</x:v>
      </x:c>
      <x:c r="G258" s="19" t="str">
        <x:v>Unknown</x:v>
      </x:c>
      <x:c r="H258" s="19" t="str">
        <x:v>其他/待核查</x:v>
      </x:c>
      <x:c r="I258" s="19" t="str">
        <x:v>Similarweb 未分类</x:v>
      </x:c>
      <x:c r="J258" s="19" t="n">
        <x:v>1400705</x:v>
      </x:c>
      <x:c r="K258" s="20" t="n">
        <x:v>0.0022</x:v>
      </x:c>
      <x:c r="L258" s="19" t="str">
        <x:v>上升</x:v>
      </x:c>
      <x:c r="M258" s="20" t="n">
        <x:v>0.6878</x:v>
      </x:c>
      <x:c r="N258" s="21" t="n">
        <x:v>295624</x:v>
      </x:c>
      <x:c r="O258" s="21" t="n">
        <x:v>650</x:v>
      </x:c>
      <x:c r="P258" s="21" t="n">
        <x:f>ROUND(N258*K258,0)</x:f>
        <x:v>650</x:v>
      </x:c>
      <x:c r="Q258" s="19" t="str">
        <x:v>否</x:v>
      </x:c>
      <x:c r="R258" s="19" t="str"/>
      <x:c r="S258" s="19" t="n">
        <x:f>IF(Q258="是",0,MIN(10,2+IF(C258="高",2,1)+IF(K258&gt;=3%,3,IF(K258&gt;=1%,2,1))+IF(L258="新出现",2,IF(M258&gt;=100%,3,IF(M258&gt;0,2,0)))))</x:f>
        <x:v>6</x:v>
      </x:c>
      <x:c r="T258" s="21"/>
      <x:c r="U258" s="20"/>
      <x:c r="V258" s="19" t="str">
        <x:v>http://hypersolutions.co/</x:v>
      </x:c>
      <x:c r="W258" s="19" t="str">
        <x:v>https://pro.similarweb.com/#/digitalsuite/websiteanalysis/referrals/*/999/1m?webSource=Total&amp;selectedTab=incomingTraffic&amp;key=paddle.com</x:v>
      </x:c>
      <x:c r="X258" s="20" t="n">
        <x:f>IF(Q258="是",0,IFERROR(P258/SUMIFS($P$2:$P$964,$A$2:$A$964,A258,$Q$2:$Q$964,"否"),0))</x:f>
        <x:v>0.004281216655908738</x:v>
      </x:c>
      <x:c r="Y258" s="22" t="str">
        <x:f>IF(OR(M258="",U258=""),"未交叉",IF(M258*U258&gt;0,"同向",IF(M258*U258&lt;0,"背离","一侧持平")))</x:f>
        <x:v>未交叉</x:v>
      </x:c>
    </x:row>
    <x:row r="259">
      <x:c r="A259" s="18" t="str">
        <x:v>paddle.com</x:v>
      </x:c>
      <x:c r="B259" s="19" t="str">
        <x:v>支付商主域（混合流量）</x:v>
      </x:c>
      <x:c r="C259" s="19" t="str">
        <x:v>中</x:v>
      </x:c>
      <x:c r="D259" s="19" t="str">
        <x:v>Jul 2026</x:v>
      </x:c>
      <x:c r="E259" s="19" t="n">
        <x:v>58</x:v>
      </x:c>
      <x:c r="F259" s="19" t="str">
        <x:v>demo.pestrouting.com</x:v>
      </x:c>
      <x:c r="G259" s="19" t="str">
        <x:v>Unknown</x:v>
      </x:c>
      <x:c r="H259" s="19" t="str">
        <x:v>其他/待核查</x:v>
      </x:c>
      <x:c r="I259" s="19" t="str">
        <x:v>Similarweb 未分类</x:v>
      </x:c>
      <x:c r="J259" s="19"/>
      <x:c r="K259" s="20" t="n">
        <x:v>0.0022</x:v>
      </x:c>
      <x:c r="L259" s="19" t="str">
        <x:v>新出现</x:v>
      </x:c>
      <x:c r="M259" s="20"/>
      <x:c r="N259" s="21" t="n">
        <x:v>295624</x:v>
      </x:c>
      <x:c r="O259" s="21" t="n">
        <x:v>650</x:v>
      </x:c>
      <x:c r="P259" s="21" t="n">
        <x:f>ROUND(N259*K259,0)</x:f>
        <x:v>650</x:v>
      </x:c>
      <x:c r="Q259" s="19" t="str">
        <x:v>否</x:v>
      </x:c>
      <x:c r="R259" s="19" t="str"/>
      <x:c r="S259" s="19" t="n">
        <x:f>IF(Q259="是",0,MIN(10,2+IF(C259="高",2,1)+IF(K259&gt;=3%,3,IF(K259&gt;=1%,2,1))+IF(L259="新出现",2,IF(M259&gt;=100%,3,IF(M259&gt;0,2,0)))))</x:f>
        <x:v>6</x:v>
      </x:c>
      <x:c r="T259" s="21"/>
      <x:c r="U259" s="20"/>
      <x:c r="V259" s="19" t="str">
        <x:v>http://demo.pestrouting.com/</x:v>
      </x:c>
      <x:c r="W259" s="19" t="str">
        <x:v>https://pro.similarweb.com/#/digitalsuite/websiteanalysis/referrals/*/999/1m?webSource=Total&amp;selectedTab=incomingTraffic&amp;key=paddle.com</x:v>
      </x:c>
      <x:c r="X259" s="20" t="n">
        <x:f>IF(Q259="是",0,IFERROR(P259/SUMIFS($P$2:$P$964,$A$2:$A$964,A259,$Q$2:$Q$964,"否"),0))</x:f>
        <x:v>0.004281216655908738</x:v>
      </x:c>
      <x:c r="Y259" s="22" t="str">
        <x:f>IF(OR(M259="",U259=""),"未交叉",IF(M259*U259&gt;0,"同向",IF(M259*U259&lt;0,"背离","一侧持平")))</x:f>
        <x:v>未交叉</x:v>
      </x:c>
    </x:row>
    <x:row r="260">
      <x:c r="A260" s="18" t="str">
        <x:v>paddle.com</x:v>
      </x:c>
      <x:c r="B260" s="19" t="str">
        <x:v>支付商主域（混合流量）</x:v>
      </x:c>
      <x:c r="C260" s="19" t="str">
        <x:v>中</x:v>
      </x:c>
      <x:c r="D260" s="19" t="str">
        <x:v>Jul 2026</x:v>
      </x:c>
      <x:c r="E260" s="19" t="n">
        <x:v>59</x:v>
      </x:c>
      <x:c r="F260" s="19" t="str">
        <x:v>cleverfiles.com</x:v>
      </x:c>
      <x:c r="G260" s="19" t="str">
        <x:v>Programming and Developer Software</x:v>
      </x:c>
      <x:c r="H260" s="19" t="str">
        <x:v>开发者工具与互联网基础设施</x:v>
      </x:c>
      <x:c r="I260" s="19" t="str">
        <x:v>Similarweb 行业映射</x:v>
      </x:c>
      <x:c r="J260" s="19" t="n">
        <x:v>41864</x:v>
      </x:c>
      <x:c r="K260" s="20" t="n">
        <x:v>0.0021</x:v>
      </x:c>
      <x:c r="L260" s="19" t="str">
        <x:v>新出现</x:v>
      </x:c>
      <x:c r="M260" s="20"/>
      <x:c r="N260" s="21" t="n">
        <x:v>295624</x:v>
      </x:c>
      <x:c r="O260" s="21" t="n">
        <x:v>621</x:v>
      </x:c>
      <x:c r="P260" s="21" t="n">
        <x:f>ROUND(N260*K260,0)</x:f>
        <x:v>621</x:v>
      </x:c>
      <x:c r="Q260" s="19" t="str">
        <x:v>否</x:v>
      </x:c>
      <x:c r="R260" s="19" t="str"/>
      <x:c r="S260" s="19" t="n">
        <x:f>IF(Q260="是",0,MIN(10,2+IF(C260="高",2,1)+IF(K260&gt;=3%,3,IF(K260&gt;=1%,2,1))+IF(L260="新出现",2,IF(M260&gt;=100%,3,IF(M260&gt;0,2,0)))))</x:f>
        <x:v>6</x:v>
      </x:c>
      <x:c r="T260" s="21"/>
      <x:c r="U260" s="20"/>
      <x:c r="V260" s="19" t="str">
        <x:v>http://cleverfiles.com/</x:v>
      </x:c>
      <x:c r="W260" s="19" t="str">
        <x:v>https://pro.similarweb.com/#/digitalsuite/websiteanalysis/referrals/*/999/1m?webSource=Total&amp;selectedTab=incomingTraffic&amp;key=paddle.com</x:v>
      </x:c>
      <x:c r="X260" s="20" t="n">
        <x:f>IF(Q260="是",0,IFERROR(P260/SUMIFS($P$2:$P$964,$A$2:$A$964,A260,$Q$2:$Q$964,"否"),0))</x:f>
        <x:v>0.004090208528183578</x:v>
      </x:c>
      <x:c r="Y260" s="22" t="str">
        <x:f>IF(OR(M260="",U260=""),"未交叉",IF(M260*U260&gt;0,"同向",IF(M260*U260&lt;0,"背离","一侧持平")))</x:f>
        <x:v>未交叉</x:v>
      </x:c>
    </x:row>
    <x:row r="261">
      <x:c r="A261" s="18" t="str">
        <x:v>paddle.com</x:v>
      </x:c>
      <x:c r="B261" s="19" t="str">
        <x:v>支付商主域（混合流量）</x:v>
      </x:c>
      <x:c r="C261" s="19" t="str">
        <x:v>中</x:v>
      </x:c>
      <x:c r="D261" s="19" t="str">
        <x:v>Jul 2026</x:v>
      </x:c>
      <x:c r="E261" s="19" t="n">
        <x:v>60</x:v>
      </x:c>
      <x:c r="F261" s="19" t="str">
        <x:v>minihotel.io</x:v>
      </x:c>
      <x:c r="G261" s="19" t="str">
        <x:v>Accommodation and Hotels</x:v>
      </x:c>
      <x:c r="H261" s="19" t="str">
        <x:v>其他/待核查</x:v>
      </x:c>
      <x:c r="I261" s="19" t="str">
        <x:v>保守归类</x:v>
      </x:c>
      <x:c r="J261" s="19" t="n">
        <x:v>1962019</x:v>
      </x:c>
      <x:c r="K261" s="20" t="n">
        <x:v>0.002</x:v>
      </x:c>
      <x:c r="L261" s="19" t="str">
        <x:v>新出现</x:v>
      </x:c>
      <x:c r="M261" s="20"/>
      <x:c r="N261" s="21" t="n">
        <x:v>295624</x:v>
      </x:c>
      <x:c r="O261" s="21" t="n">
        <x:v>591</x:v>
      </x:c>
      <x:c r="P261" s="21" t="n">
        <x:f>ROUND(N261*K261,0)</x:f>
        <x:v>591</x:v>
      </x:c>
      <x:c r="Q261" s="19" t="str">
        <x:v>否</x:v>
      </x:c>
      <x:c r="R261" s="19" t="str"/>
      <x:c r="S261" s="19" t="n">
        <x:f>IF(Q261="是",0,MIN(10,2+IF(C261="高",2,1)+IF(K261&gt;=3%,3,IF(K261&gt;=1%,2,1))+IF(L261="新出现",2,IF(M261&gt;=100%,3,IF(M261&gt;0,2,0)))))</x:f>
        <x:v>6</x:v>
      </x:c>
      <x:c r="T261" s="21"/>
      <x:c r="U261" s="20"/>
      <x:c r="V261" s="19" t="str">
        <x:v>http://minihotel.io/</x:v>
      </x:c>
      <x:c r="W261" s="19" t="str">
        <x:v>https://pro.similarweb.com/#/digitalsuite/websiteanalysis/referrals/*/999/1m?webSource=Total&amp;selectedTab=incomingTraffic&amp;key=paddle.com</x:v>
      </x:c>
      <x:c r="X261" s="20" t="n">
        <x:f>IF(Q261="是",0,IFERROR(P261/SUMIFS($P$2:$P$964,$A$2:$A$964,A261,$Q$2:$Q$964,"否"),0))</x:f>
        <x:v>0.003892613913295483</x:v>
      </x:c>
      <x:c r="Y261" s="22" t="str">
        <x:f>IF(OR(M261="",U261=""),"未交叉",IF(M261*U261&gt;0,"同向",IF(M261*U261&lt;0,"背离","一侧持平")))</x:f>
        <x:v>未交叉</x:v>
      </x:c>
    </x:row>
    <x:row r="262">
      <x:c r="A262" s="18" t="str">
        <x:v>paddle.com</x:v>
      </x:c>
      <x:c r="B262" s="19" t="str">
        <x:v>支付商主域（混合流量）</x:v>
      </x:c>
      <x:c r="C262" s="19" t="str">
        <x:v>中</x:v>
      </x:c>
      <x:c r="D262" s="19" t="str">
        <x:v>Jul 2026</x:v>
      </x:c>
      <x:c r="E262" s="19" t="n">
        <x:v>61</x:v>
      </x:c>
      <x:c r="F262" s="19" t="str">
        <x:v>herd.laravel.com</x:v>
      </x:c>
      <x:c r="G262" s="19" t="str">
        <x:v>Programming and Developer Software</x:v>
      </x:c>
      <x:c r="H262" s="19" t="str">
        <x:v>开发者工具与互联网基础设施</x:v>
      </x:c>
      <x:c r="I262" s="19" t="str">
        <x:v>Similarweb 行业映射</x:v>
      </x:c>
      <x:c r="J262" s="19"/>
      <x:c r="K262" s="20" t="n">
        <x:v>0.0019</x:v>
      </x:c>
      <x:c r="L262" s="19" t="str">
        <x:v>新出现</x:v>
      </x:c>
      <x:c r="M262" s="20"/>
      <x:c r="N262" s="21" t="n">
        <x:v>295624</x:v>
      </x:c>
      <x:c r="O262" s="21" t="n">
        <x:v>562</x:v>
      </x:c>
      <x:c r="P262" s="21" t="n">
        <x:f>ROUND(N262*K262,0)</x:f>
        <x:v>562</x:v>
      </x:c>
      <x:c r="Q262" s="19" t="str">
        <x:v>否</x:v>
      </x:c>
      <x:c r="R262" s="19" t="str"/>
      <x:c r="S262" s="19" t="n">
        <x:f>IF(Q262="是",0,MIN(10,2+IF(C262="高",2,1)+IF(K262&gt;=3%,3,IF(K262&gt;=1%,2,1))+IF(L262="新出现",2,IF(M262&gt;=100%,3,IF(M262&gt;0,2,0)))))</x:f>
        <x:v>6</x:v>
      </x:c>
      <x:c r="T262" s="21"/>
      <x:c r="U262" s="20"/>
      <x:c r="V262" s="19" t="str">
        <x:v>http://herd.laravel.com/</x:v>
      </x:c>
      <x:c r="W262" s="19" t="str">
        <x:v>https://pro.similarweb.com/#/digitalsuite/websiteanalysis/referrals/*/999/1m?webSource=Total&amp;selectedTab=incomingTraffic&amp;key=paddle.com</x:v>
      </x:c>
      <x:c r="X262" s="20" t="n">
        <x:f>IF(Q262="是",0,IFERROR(P262/SUMIFS($P$2:$P$964,$A$2:$A$964,A262,$Q$2:$Q$964,"否"),0))</x:f>
        <x:v>0.003701605785570324</x:v>
      </x:c>
      <x:c r="Y262" s="22" t="str">
        <x:f>IF(OR(M262="",U262=""),"未交叉",IF(M262*U262&gt;0,"同向",IF(M262*U262&lt;0,"背离","一侧持平")))</x:f>
        <x:v>未交叉</x:v>
      </x:c>
    </x:row>
    <x:row r="263">
      <x:c r="A263" s="18" t="str">
        <x:v>paddle.com</x:v>
      </x:c>
      <x:c r="B263" s="19" t="str">
        <x:v>支付商主域（混合流量）</x:v>
      </x:c>
      <x:c r="C263" s="19" t="str">
        <x:v>中</x:v>
      </x:c>
      <x:c r="D263" s="19" t="str">
        <x:v>Jul 2026</x:v>
      </x:c>
      <x:c r="E263" s="19" t="n">
        <x:v>62</x:v>
      </x:c>
      <x:c r="F263" s="19" t="str">
        <x:v>vidtao.com</x:v>
      </x:c>
      <x:c r="G263" s="19" t="str">
        <x:v>Online Marketing</x:v>
      </x:c>
      <x:c r="H263" s="19" t="str">
        <x:v>营销、生产力与商业服务</x:v>
      </x:c>
      <x:c r="I263" s="19" t="str">
        <x:v>Similarweb 行业映射</x:v>
      </x:c>
      <x:c r="J263" s="19" t="n">
        <x:v>586924</x:v>
      </x:c>
      <x:c r="K263" s="20" t="n">
        <x:v>0.0019</x:v>
      </x:c>
      <x:c r="L263" s="19" t="str">
        <x:v>下降</x:v>
      </x:c>
      <x:c r="M263" s="20" t="n">
        <x:v>-0.31129999999999997</x:v>
      </x:c>
      <x:c r="N263" s="21" t="n">
        <x:v>295624</x:v>
      </x:c>
      <x:c r="O263" s="21" t="n">
        <x:v>562</x:v>
      </x:c>
      <x:c r="P263" s="21" t="n">
        <x:f>ROUND(N263*K263,0)</x:f>
        <x:v>562</x:v>
      </x:c>
      <x:c r="Q263" s="19" t="str">
        <x:v>否</x:v>
      </x:c>
      <x:c r="R263" s="19" t="str"/>
      <x:c r="S263" s="19" t="n">
        <x:f>IF(Q263="是",0,MIN(10,2+IF(C263="高",2,1)+IF(K263&gt;=3%,3,IF(K263&gt;=1%,2,1))+IF(L263="新出现",2,IF(M263&gt;=100%,3,IF(M263&gt;0,2,0)))))</x:f>
        <x:v>4</x:v>
      </x:c>
      <x:c r="T263" s="21"/>
      <x:c r="U263" s="20"/>
      <x:c r="V263" s="19" t="str">
        <x:v>http://vidtao.com/</x:v>
      </x:c>
      <x:c r="W263" s="19" t="str">
        <x:v>https://pro.similarweb.com/#/digitalsuite/websiteanalysis/referrals/*/999/1m?webSource=Total&amp;selectedTab=incomingTraffic&amp;key=paddle.com</x:v>
      </x:c>
      <x:c r="X263" s="20" t="n">
        <x:f>IF(Q263="是",0,IFERROR(P263/SUMIFS($P$2:$P$964,$A$2:$A$964,A263,$Q$2:$Q$964,"否"),0))</x:f>
        <x:v>0.003701605785570324</x:v>
      </x:c>
      <x:c r="Y263" s="22" t="str">
        <x:f>IF(OR(M263="",U263=""),"未交叉",IF(M263*U263&gt;0,"同向",IF(M263*U263&lt;0,"背离","一侧持平")))</x:f>
        <x:v>未交叉</x:v>
      </x:c>
    </x:row>
    <x:row r="264">
      <x:c r="A264" s="18" t="str">
        <x:v>paddle.com</x:v>
      </x:c>
      <x:c r="B264" s="19" t="str">
        <x:v>支付商主域（混合流量）</x:v>
      </x:c>
      <x:c r="C264" s="19" t="str">
        <x:v>中</x:v>
      </x:c>
      <x:c r="D264" s="19" t="str">
        <x:v>Jul 2026</x:v>
      </x:c>
      <x:c r="E264" s="19" t="n">
        <x:v>63</x:v>
      </x:c>
      <x:c r="F264" s="19" t="str">
        <x:v>uup.kr</x:v>
      </x:c>
      <x:c r="G264" s="19" t="str">
        <x:v>Unknown</x:v>
      </x:c>
      <x:c r="H264" s="19" t="str">
        <x:v>其他/待核查</x:v>
      </x:c>
      <x:c r="I264" s="19" t="str">
        <x:v>Similarweb 未分类</x:v>
      </x:c>
      <x:c r="J264" s="19" t="n">
        <x:v>1712461</x:v>
      </x:c>
      <x:c r="K264" s="20" t="n">
        <x:v>0.0019</x:v>
      </x:c>
      <x:c r="L264" s="19" t="str">
        <x:v>新出现</x:v>
      </x:c>
      <x:c r="M264" s="20"/>
      <x:c r="N264" s="21" t="n">
        <x:v>295624</x:v>
      </x:c>
      <x:c r="O264" s="21" t="n">
        <x:v>562</x:v>
      </x:c>
      <x:c r="P264" s="21" t="n">
        <x:f>ROUND(N264*K264,0)</x:f>
        <x:v>562</x:v>
      </x:c>
      <x:c r="Q264" s="19" t="str">
        <x:v>否</x:v>
      </x:c>
      <x:c r="R264" s="19" t="str"/>
      <x:c r="S264" s="19" t="n">
        <x:f>IF(Q264="是",0,MIN(10,2+IF(C264="高",2,1)+IF(K264&gt;=3%,3,IF(K264&gt;=1%,2,1))+IF(L264="新出现",2,IF(M264&gt;=100%,3,IF(M264&gt;0,2,0)))))</x:f>
        <x:v>6</x:v>
      </x:c>
      <x:c r="T264" s="21"/>
      <x:c r="U264" s="20"/>
      <x:c r="V264" s="19" t="str">
        <x:v>http://uup.kr/</x:v>
      </x:c>
      <x:c r="W264" s="19" t="str">
        <x:v>https://pro.similarweb.com/#/digitalsuite/websiteanalysis/referrals/*/999/1m?webSource=Total&amp;selectedTab=incomingTraffic&amp;key=paddle.com</x:v>
      </x:c>
      <x:c r="X264" s="20" t="n">
        <x:f>IF(Q264="是",0,IFERROR(P264/SUMIFS($P$2:$P$964,$A$2:$A$964,A264,$Q$2:$Q$964,"否"),0))</x:f>
        <x:v>0.003701605785570324</x:v>
      </x:c>
      <x:c r="Y264" s="22" t="str">
        <x:f>IF(OR(M264="",U264=""),"未交叉",IF(M264*U264&gt;0,"同向",IF(M264*U264&lt;0,"背离","一侧持平")))</x:f>
        <x:v>未交叉</x:v>
      </x:c>
    </x:row>
    <x:row r="265">
      <x:c r="A265" s="18" t="str">
        <x:v>paddle.com</x:v>
      </x:c>
      <x:c r="B265" s="19" t="str">
        <x:v>支付商主域（混合流量）</x:v>
      </x:c>
      <x:c r="C265" s="19" t="str">
        <x:v>中</x:v>
      </x:c>
      <x:c r="D265" s="19" t="str">
        <x:v>Jul 2026</x:v>
      </x:c>
      <x:c r="E265" s="19" t="n">
        <x:v>64</x:v>
      </x:c>
      <x:c r="F265" s="19" t="str">
        <x:v>landingpage.fyi</x:v>
      </x:c>
      <x:c r="G265" s="19" t="str">
        <x:v>Web Hosting and Domain Names</x:v>
      </x:c>
      <x:c r="H265" s="19" t="str">
        <x:v>开发者工具与互联网基础设施</x:v>
      </x:c>
      <x:c r="I265" s="19" t="str">
        <x:v>Similarweb 行业映射</x:v>
      </x:c>
      <x:c r="J265" s="19" t="n">
        <x:v>8905471</x:v>
      </x:c>
      <x:c r="K265" s="20" t="n">
        <x:v>0.0018</x:v>
      </x:c>
      <x:c r="L265" s="19" t="str">
        <x:v>新出现</x:v>
      </x:c>
      <x:c r="M265" s="20"/>
      <x:c r="N265" s="21" t="n">
        <x:v>295624</x:v>
      </x:c>
      <x:c r="O265" s="21" t="n">
        <x:v>532</x:v>
      </x:c>
      <x:c r="P265" s="21" t="n">
        <x:f>ROUND(N265*K265,0)</x:f>
        <x:v>532</x:v>
      </x:c>
      <x:c r="Q265" s="19" t="str">
        <x:v>否</x:v>
      </x:c>
      <x:c r="R265" s="19" t="str"/>
      <x:c r="S265" s="19" t="n">
        <x:f>IF(Q265="是",0,MIN(10,2+IF(C265="高",2,1)+IF(K265&gt;=3%,3,IF(K265&gt;=1%,2,1))+IF(L265="新出现",2,IF(M265&gt;=100%,3,IF(M265&gt;0,2,0)))))</x:f>
        <x:v>6</x:v>
      </x:c>
      <x:c r="T265" s="21"/>
      <x:c r="U265" s="20"/>
      <x:c r="V265" s="19" t="str">
        <x:v>http://landingpage.fyi/</x:v>
      </x:c>
      <x:c r="W265" s="19" t="str">
        <x:v>https://pro.similarweb.com/#/digitalsuite/websiteanalysis/referrals/*/999/1m?webSource=Total&amp;selectedTab=incomingTraffic&amp;key=paddle.com</x:v>
      </x:c>
      <x:c r="X265" s="20" t="n">
        <x:f>IF(Q265="是",0,IFERROR(P265/SUMIFS($P$2:$P$964,$A$2:$A$964,A265,$Q$2:$Q$964,"否"),0))</x:f>
        <x:v>0.0035040111706822284</x:v>
      </x:c>
      <x:c r="Y265" s="22" t="str">
        <x:f>IF(OR(M265="",U265=""),"未交叉",IF(M265*U265&gt;0,"同向",IF(M265*U265&lt;0,"背离","一侧持平")))</x:f>
        <x:v>未交叉</x:v>
      </x:c>
    </x:row>
    <x:row r="266">
      <x:c r="A266" s="18" t="str">
        <x:v>paddle.com</x:v>
      </x:c>
      <x:c r="B266" s="19" t="str">
        <x:v>支付商主域（混合流量）</x:v>
      </x:c>
      <x:c r="C266" s="19" t="str">
        <x:v>中</x:v>
      </x:c>
      <x:c r="D266" s="19" t="str">
        <x:v>Jul 2026</x:v>
      </x:c>
      <x:c r="E266" s="19" t="n">
        <x:v>65</x:v>
      </x:c>
      <x:c r="F266" s="19" t="str">
        <x:v>mapy.com</x:v>
      </x:c>
      <x:c r="G266" s="19" t="str">
        <x:v>Dictionaries and Encyclopedias</x:v>
      </x:c>
      <x:c r="H266" s="19" t="str">
        <x:v>其他/待核查</x:v>
      </x:c>
      <x:c r="I266" s="19" t="str">
        <x:v>保守归类</x:v>
      </x:c>
      <x:c r="J266" s="19" t="n">
        <x:v>544</x:v>
      </x:c>
      <x:c r="K266" s="20" t="n">
        <x:v>0.0017000000000000001</x:v>
      </x:c>
      <x:c r="L266" s="19" t="str">
        <x:v>上升</x:v>
      </x:c>
      <x:c r="M266" s="20" t="n">
        <x:v>0.45189999999999997</x:v>
      </x:c>
      <x:c r="N266" s="21" t="n">
        <x:v>295624</x:v>
      </x:c>
      <x:c r="O266" s="21" t="n">
        <x:v>503</x:v>
      </x:c>
      <x:c r="P266" s="21" t="n">
        <x:f>ROUND(N266*K266,0)</x:f>
        <x:v>503</x:v>
      </x:c>
      <x:c r="Q266" s="19" t="str">
        <x:v>否</x:v>
      </x:c>
      <x:c r="R266" s="19" t="str"/>
      <x:c r="S266" s="19" t="n">
        <x:f>IF(Q266="是",0,MIN(10,2+IF(C266="高",2,1)+IF(K266&gt;=3%,3,IF(K266&gt;=1%,2,1))+IF(L266="新出现",2,IF(M266&gt;=100%,3,IF(M266&gt;0,2,0)))))</x:f>
        <x:v>6</x:v>
      </x:c>
      <x:c r="T266" s="21"/>
      <x:c r="U266" s="20"/>
      <x:c r="V266" s="19" t="str">
        <x:v>http://mapy.com/</x:v>
      </x:c>
      <x:c r="W266" s="19" t="str">
        <x:v>https://pro.similarweb.com/#/digitalsuite/websiteanalysis/referrals/*/999/1m?webSource=Total&amp;selectedTab=incomingTraffic&amp;key=paddle.com</x:v>
      </x:c>
      <x:c r="X266" s="20" t="n">
        <x:f>IF(Q266="是",0,IFERROR(P266/SUMIFS($P$2:$P$964,$A$2:$A$964,A266,$Q$2:$Q$964,"否"),0))</x:f>
        <x:v>0.0033130030429570695</x:v>
      </x:c>
      <x:c r="Y266" s="22" t="str">
        <x:f>IF(OR(M266="",U266=""),"未交叉",IF(M266*U266&gt;0,"同向",IF(M266*U266&lt;0,"背离","一侧持平")))</x:f>
        <x:v>未交叉</x:v>
      </x:c>
    </x:row>
    <x:row r="267">
      <x:c r="A267" s="18" t="str">
        <x:v>paddle.com</x:v>
      </x:c>
      <x:c r="B267" s="19" t="str">
        <x:v>支付商主域（混合流量）</x:v>
      </x:c>
      <x:c r="C267" s="19" t="str">
        <x:v>中</x:v>
      </x:c>
      <x:c r="D267" s="19" t="str">
        <x:v>Jul 2026</x:v>
      </x:c>
      <x:c r="E267" s="19" t="n">
        <x:v>66</x:v>
      </x:c>
      <x:c r="F267" s="19" t="str">
        <x:v>magritte.co</x:v>
      </x:c>
      <x:c r="G267" s="19" t="str">
        <x:v>Unknown</x:v>
      </x:c>
      <x:c r="H267" s="19" t="str">
        <x:v>其他/待核查</x:v>
      </x:c>
      <x:c r="I267" s="19" t="str">
        <x:v>Similarweb 未分类</x:v>
      </x:c>
      <x:c r="J267" s="19" t="n">
        <x:v>2527745</x:v>
      </x:c>
      <x:c r="K267" s="20" t="n">
        <x:v>0.0015</x:v>
      </x:c>
      <x:c r="L267" s="19" t="str">
        <x:v>上升</x:v>
      </x:c>
      <x:c r="M267" s="20" t="n">
        <x:v>17.0387</x:v>
      </x:c>
      <x:c r="N267" s="21" t="n">
        <x:v>295624</x:v>
      </x:c>
      <x:c r="O267" s="21" t="n">
        <x:v>443</x:v>
      </x:c>
      <x:c r="P267" s="21" t="n">
        <x:f>ROUND(N267*K267,0)</x:f>
        <x:v>443</x:v>
      </x:c>
      <x:c r="Q267" s="19" t="str">
        <x:v>否</x:v>
      </x:c>
      <x:c r="R267" s="19" t="str"/>
      <x:c r="S267" s="19" t="n">
        <x:f>IF(Q267="是",0,MIN(10,2+IF(C267="高",2,1)+IF(K267&gt;=3%,3,IF(K267&gt;=1%,2,1))+IF(L267="新出现",2,IF(M267&gt;=100%,3,IF(M267&gt;0,2,0)))))</x:f>
        <x:v>7</x:v>
      </x:c>
      <x:c r="T267" s="21"/>
      <x:c r="U267" s="20"/>
      <x:c r="V267" s="19" t="str">
        <x:v>http://magritte.co/</x:v>
      </x:c>
      <x:c r="W267" s="19" t="str">
        <x:v>https://pro.similarweb.com/#/digitalsuite/websiteanalysis/referrals/*/999/1m?webSource=Total&amp;selectedTab=incomingTraffic&amp;key=paddle.com</x:v>
      </x:c>
      <x:c r="X267" s="20" t="n">
        <x:f>IF(Q267="是",0,IFERROR(P267/SUMIFS($P$2:$P$964,$A$2:$A$964,A267,$Q$2:$Q$964,"否"),0))</x:f>
        <x:v>0.002917813813180878</x:v>
      </x:c>
      <x:c r="Y267" s="22" t="str">
        <x:f>IF(OR(M267="",U267=""),"未交叉",IF(M267*U267&gt;0,"同向",IF(M267*U267&lt;0,"背离","一侧持平")))</x:f>
        <x:v>未交叉</x:v>
      </x:c>
    </x:row>
    <x:row r="268">
      <x:c r="A268" s="18" t="str">
        <x:v>paddle.com</x:v>
      </x:c>
      <x:c r="B268" s="19" t="str">
        <x:v>支付商主域（混合流量）</x:v>
      </x:c>
      <x:c r="C268" s="19" t="str">
        <x:v>中</x:v>
      </x:c>
      <x:c r="D268" s="19" t="str">
        <x:v>Jul 2026</x:v>
      </x:c>
      <x:c r="E268" s="19" t="n">
        <x:v>67</x:v>
      </x:c>
      <x:c r="F268" s="19" t="str">
        <x:v>webapp.tiimoapp.com</x:v>
      </x:c>
      <x:c r="G268" s="19" t="str">
        <x:v>Beauty and Cosmetics</x:v>
      </x:c>
      <x:c r="H268" s="19" t="str">
        <x:v>内容媒体、线下与实体消费</x:v>
      </x:c>
      <x:c r="I268" s="19" t="str">
        <x:v>Similarweb 行业映射</x:v>
      </x:c>
      <x:c r="J268" s="19"/>
      <x:c r="K268" s="20" t="n">
        <x:v>0.0015</x:v>
      </x:c>
      <x:c r="L268" s="19" t="str">
        <x:v>上升</x:v>
      </x:c>
      <x:c r="M268" s="20" t="n">
        <x:v>1.1994</x:v>
      </x:c>
      <x:c r="N268" s="21" t="n">
        <x:v>295624</x:v>
      </x:c>
      <x:c r="O268" s="21" t="n">
        <x:v>443</x:v>
      </x:c>
      <x:c r="P268" s="21" t="n">
        <x:f>ROUND(N268*K268,0)</x:f>
        <x:v>443</x:v>
      </x:c>
      <x:c r="Q268" s="19" t="str">
        <x:v>否</x:v>
      </x:c>
      <x:c r="R268" s="19" t="str"/>
      <x:c r="S268" s="19" t="n">
        <x:f>IF(Q268="是",0,MIN(10,2+IF(C268="高",2,1)+IF(K268&gt;=3%,3,IF(K268&gt;=1%,2,1))+IF(L268="新出现",2,IF(M268&gt;=100%,3,IF(M268&gt;0,2,0)))))</x:f>
        <x:v>7</x:v>
      </x:c>
      <x:c r="T268" s="21"/>
      <x:c r="U268" s="20"/>
      <x:c r="V268" s="19" t="str">
        <x:v>http://webapp.tiimoapp.com/</x:v>
      </x:c>
      <x:c r="W268" s="19" t="str">
        <x:v>https://pro.similarweb.com/#/digitalsuite/websiteanalysis/referrals/*/999/1m?webSource=Total&amp;selectedTab=incomingTraffic&amp;key=paddle.com</x:v>
      </x:c>
      <x:c r="X268" s="20" t="n">
        <x:f>IF(Q268="是",0,IFERROR(P268/SUMIFS($P$2:$P$964,$A$2:$A$964,A268,$Q$2:$Q$964,"否"),0))</x:f>
        <x:v>0.002917813813180878</x:v>
      </x:c>
      <x:c r="Y268" s="22" t="str">
        <x:f>IF(OR(M268="",U268=""),"未交叉",IF(M268*U268&gt;0,"同向",IF(M268*U268&lt;0,"背离","一侧持平")))</x:f>
        <x:v>未交叉</x:v>
      </x:c>
    </x:row>
    <x:row r="269">
      <x:c r="A269" s="18" t="str">
        <x:v>paddle.com</x:v>
      </x:c>
      <x:c r="B269" s="19" t="str">
        <x:v>支付商主域（混合流量）</x:v>
      </x:c>
      <x:c r="C269" s="19" t="str">
        <x:v>中</x:v>
      </x:c>
      <x:c r="D269" s="19" t="str">
        <x:v>Jul 2026</x:v>
      </x:c>
      <x:c r="E269" s="19" t="n">
        <x:v>68</x:v>
      </x:c>
      <x:c r="F269" s="19" t="str">
        <x:v>admin.richplugins.com</x:v>
      </x:c>
      <x:c r="G269" s="19" t="str">
        <x:v>Computers Electronics and Technology</x:v>
      </x:c>
      <x:c r="H269" s="19" t="str">
        <x:v>通用数字产品与技术服务</x:v>
      </x:c>
      <x:c r="I269" s="19" t="str">
        <x:v>Similarweb 行业映射</x:v>
      </x:c>
      <x:c r="J269" s="19"/>
      <x:c r="K269" s="20" t="n">
        <x:v>0.0015</x:v>
      </x:c>
      <x:c r="L269" s="19" t="str">
        <x:v>新出现</x:v>
      </x:c>
      <x:c r="M269" s="20"/>
      <x:c r="N269" s="21" t="n">
        <x:v>295624</x:v>
      </x:c>
      <x:c r="O269" s="21" t="n">
        <x:v>443</x:v>
      </x:c>
      <x:c r="P269" s="21" t="n">
        <x:f>ROUND(N269*K269,0)</x:f>
        <x:v>443</x:v>
      </x:c>
      <x:c r="Q269" s="19" t="str">
        <x:v>否</x:v>
      </x:c>
      <x:c r="R269" s="19" t="str"/>
      <x:c r="S269" s="19" t="n">
        <x:f>IF(Q269="是",0,MIN(10,2+IF(C269="高",2,1)+IF(K269&gt;=3%,3,IF(K269&gt;=1%,2,1))+IF(L269="新出现",2,IF(M269&gt;=100%,3,IF(M269&gt;0,2,0)))))</x:f>
        <x:v>6</x:v>
      </x:c>
      <x:c r="T269" s="21"/>
      <x:c r="U269" s="20"/>
      <x:c r="V269" s="19" t="str">
        <x:v>http://admin.richplugins.com/</x:v>
      </x:c>
      <x:c r="W269" s="19" t="str">
        <x:v>https://pro.similarweb.com/#/digitalsuite/websiteanalysis/referrals/*/999/1m?webSource=Total&amp;selectedTab=incomingTraffic&amp;key=paddle.com</x:v>
      </x:c>
      <x:c r="X269" s="20" t="n">
        <x:f>IF(Q269="是",0,IFERROR(P269/SUMIFS($P$2:$P$964,$A$2:$A$964,A269,$Q$2:$Q$964,"否"),0))</x:f>
        <x:v>0.002917813813180878</x:v>
      </x:c>
      <x:c r="Y269" s="22" t="str">
        <x:f>IF(OR(M269="",U269=""),"未交叉",IF(M269*U269&gt;0,"同向",IF(M269*U269&lt;0,"背离","一侧持平")))</x:f>
        <x:v>未交叉</x:v>
      </x:c>
    </x:row>
    <x:row r="270">
      <x:c r="A270" s="18" t="str">
        <x:v>paddle.com</x:v>
      </x:c>
      <x:c r="B270" s="19" t="str">
        <x:v>支付商主域（混合流量）</x:v>
      </x:c>
      <x:c r="C270" s="19" t="str">
        <x:v>中</x:v>
      </x:c>
      <x:c r="D270" s="19" t="str">
        <x:v>Jul 2026</x:v>
      </x:c>
      <x:c r="E270" s="19" t="n">
        <x:v>69</x:v>
      </x:c>
      <x:c r="F270" s="19" t="str">
        <x:v>euremotejobs.com</x:v>
      </x:c>
      <x:c r="G270" s="19" t="str">
        <x:v>Jobs and Employment</x:v>
      </x:c>
      <x:c r="H270" s="19" t="str">
        <x:v>营销、生产力与商业服务</x:v>
      </x:c>
      <x:c r="I270" s="19" t="str">
        <x:v>Similarweb 行业映射</x:v>
      </x:c>
      <x:c r="J270" s="19" t="n">
        <x:v>143975</x:v>
      </x:c>
      <x:c r="K270" s="20" t="n">
        <x:v>0.0015</x:v>
      </x:c>
      <x:c r="L270" s="19" t="str">
        <x:v>新出现</x:v>
      </x:c>
      <x:c r="M270" s="20"/>
      <x:c r="N270" s="21" t="n">
        <x:v>295624</x:v>
      </x:c>
      <x:c r="O270" s="21" t="n">
        <x:v>443</x:v>
      </x:c>
      <x:c r="P270" s="21" t="n">
        <x:f>ROUND(N270*K270,0)</x:f>
        <x:v>443</x:v>
      </x:c>
      <x:c r="Q270" s="19" t="str">
        <x:v>否</x:v>
      </x:c>
      <x:c r="R270" s="19" t="str"/>
      <x:c r="S270" s="19" t="n">
        <x:f>IF(Q270="是",0,MIN(10,2+IF(C270="高",2,1)+IF(K270&gt;=3%,3,IF(K270&gt;=1%,2,1))+IF(L270="新出现",2,IF(M270&gt;=100%,3,IF(M270&gt;0,2,0)))))</x:f>
        <x:v>6</x:v>
      </x:c>
      <x:c r="T270" s="21"/>
      <x:c r="U270" s="20"/>
      <x:c r="V270" s="19" t="str">
        <x:v>http://euremotejobs.com/</x:v>
      </x:c>
      <x:c r="W270" s="19" t="str">
        <x:v>https://pro.similarweb.com/#/digitalsuite/websiteanalysis/referrals/*/999/1m?webSource=Total&amp;selectedTab=incomingTraffic&amp;key=paddle.com</x:v>
      </x:c>
      <x:c r="X270" s="20" t="n">
        <x:f>IF(Q270="是",0,IFERROR(P270/SUMIFS($P$2:$P$964,$A$2:$A$964,A270,$Q$2:$Q$964,"否"),0))</x:f>
        <x:v>0.002917813813180878</x:v>
      </x:c>
      <x:c r="Y270" s="22" t="str">
        <x:f>IF(OR(M270="",U270=""),"未交叉",IF(M270*U270&gt;0,"同向",IF(M270*U270&lt;0,"背离","一侧持平")))</x:f>
        <x:v>未交叉</x:v>
      </x:c>
    </x:row>
    <x:row r="271">
      <x:c r="A271" s="18" t="str">
        <x:v>paddle.com</x:v>
      </x:c>
      <x:c r="B271" s="19" t="str">
        <x:v>支付商主域（混合流量）</x:v>
      </x:c>
      <x:c r="C271" s="19" t="str">
        <x:v>中</x:v>
      </x:c>
      <x:c r="D271" s="19" t="str">
        <x:v>Jul 2026</x:v>
      </x:c>
      <x:c r="E271" s="19" t="n">
        <x:v>70</x:v>
      </x:c>
      <x:c r="F271" s="19" t="str">
        <x:v>app.anywherepod.com</x:v>
      </x:c>
      <x:c r="G271" s="19" t="str">
        <x:v>Graphics Multimedia and Web Design</x:v>
      </x:c>
      <x:c r="H271" s="19" t="str">
        <x:v>创作、设计与多媒体工具</x:v>
      </x:c>
      <x:c r="I271" s="19" t="str">
        <x:v>Similarweb 行业映射</x:v>
      </x:c>
      <x:c r="J271" s="19"/>
      <x:c r="K271" s="20" t="n">
        <x:v>0.0015</x:v>
      </x:c>
      <x:c r="L271" s="19" t="str">
        <x:v>上升</x:v>
      </x:c>
      <x:c r="M271" s="20" t="n">
        <x:v>6.7827</x:v>
      </x:c>
      <x:c r="N271" s="21" t="n">
        <x:v>295624</x:v>
      </x:c>
      <x:c r="O271" s="21" t="n">
        <x:v>443</x:v>
      </x:c>
      <x:c r="P271" s="21" t="n">
        <x:f>ROUND(N271*K271,0)</x:f>
        <x:v>443</x:v>
      </x:c>
      <x:c r="Q271" s="19" t="str">
        <x:v>否</x:v>
      </x:c>
      <x:c r="R271" s="19" t="str"/>
      <x:c r="S271" s="19" t="n">
        <x:f>IF(Q271="是",0,MIN(10,2+IF(C271="高",2,1)+IF(K271&gt;=3%,3,IF(K271&gt;=1%,2,1))+IF(L271="新出现",2,IF(M271&gt;=100%,3,IF(M271&gt;0,2,0)))))</x:f>
        <x:v>7</x:v>
      </x:c>
      <x:c r="T271" s="21"/>
      <x:c r="U271" s="20"/>
      <x:c r="V271" s="19" t="str">
        <x:v>http://app.anywherepod.com/</x:v>
      </x:c>
      <x:c r="W271" s="19" t="str">
        <x:v>https://pro.similarweb.com/#/digitalsuite/websiteanalysis/referrals/*/999/1m?webSource=Total&amp;selectedTab=incomingTraffic&amp;key=paddle.com</x:v>
      </x:c>
      <x:c r="X271" s="20" t="n">
        <x:f>IF(Q271="是",0,IFERROR(P271/SUMIFS($P$2:$P$964,$A$2:$A$964,A271,$Q$2:$Q$964,"否"),0))</x:f>
        <x:v>0.002917813813180878</x:v>
      </x:c>
      <x:c r="Y271" s="22" t="str">
        <x:f>IF(OR(M271="",U271=""),"未交叉",IF(M271*U271&gt;0,"同向",IF(M271*U271&lt;0,"背离","一侧持平")))</x:f>
        <x:v>未交叉</x:v>
      </x:c>
    </x:row>
    <x:row r="272">
      <x:c r="A272" s="18" t="str">
        <x:v>paddle.com</x:v>
      </x:c>
      <x:c r="B272" s="19" t="str">
        <x:v>支付商主域（混合流量）</x:v>
      </x:c>
      <x:c r="C272" s="19" t="str">
        <x:v>中</x:v>
      </x:c>
      <x:c r="D272" s="19" t="str">
        <x:v>Jul 2026</x:v>
      </x:c>
      <x:c r="E272" s="19" t="n">
        <x:v>71</x:v>
      </x:c>
      <x:c r="F272" s="19" t="str">
        <x:v>app.tomba.io</x:v>
      </x:c>
      <x:c r="G272" s="19" t="str">
        <x:v>Email</x:v>
      </x:c>
      <x:c r="H272" s="19" t="str">
        <x:v>营销、生产力与商业服务</x:v>
      </x:c>
      <x:c r="I272" s="19" t="str">
        <x:v>Similarweb 行业映射</x:v>
      </x:c>
      <x:c r="J272" s="19"/>
      <x:c r="K272" s="20" t="n">
        <x:v>0.0015</x:v>
      </x:c>
      <x:c r="L272" s="19" t="str">
        <x:v>新出现</x:v>
      </x:c>
      <x:c r="M272" s="20"/>
      <x:c r="N272" s="21" t="n">
        <x:v>295624</x:v>
      </x:c>
      <x:c r="O272" s="21" t="n">
        <x:v>443</x:v>
      </x:c>
      <x:c r="P272" s="21" t="n">
        <x:f>ROUND(N272*K272,0)</x:f>
        <x:v>443</x:v>
      </x:c>
      <x:c r="Q272" s="19" t="str">
        <x:v>否</x:v>
      </x:c>
      <x:c r="R272" s="19" t="str"/>
      <x:c r="S272" s="19" t="n">
        <x:f>IF(Q272="是",0,MIN(10,2+IF(C272="高",2,1)+IF(K272&gt;=3%,3,IF(K272&gt;=1%,2,1))+IF(L272="新出现",2,IF(M272&gt;=100%,3,IF(M272&gt;0,2,0)))))</x:f>
        <x:v>6</x:v>
      </x:c>
      <x:c r="T272" s="21"/>
      <x:c r="U272" s="20"/>
      <x:c r="V272" s="19" t="str">
        <x:v>http://app.tomba.io/</x:v>
      </x:c>
      <x:c r="W272" s="19" t="str">
        <x:v>https://pro.similarweb.com/#/digitalsuite/websiteanalysis/referrals/*/999/1m?webSource=Total&amp;selectedTab=incomingTraffic&amp;key=paddle.com</x:v>
      </x:c>
      <x:c r="X272" s="20" t="n">
        <x:f>IF(Q272="是",0,IFERROR(P272/SUMIFS($P$2:$P$964,$A$2:$A$964,A272,$Q$2:$Q$964,"否"),0))</x:f>
        <x:v>0.002917813813180878</x:v>
      </x:c>
      <x:c r="Y272" s="22" t="str">
        <x:f>IF(OR(M272="",U272=""),"未交叉",IF(M272*U272&gt;0,"同向",IF(M272*U272&lt;0,"背离","一侧持平")))</x:f>
        <x:v>未交叉</x:v>
      </x:c>
    </x:row>
    <x:row r="273">
      <x:c r="A273" s="18" t="str">
        <x:v>paddle.com</x:v>
      </x:c>
      <x:c r="B273" s="19" t="str">
        <x:v>支付商主域（混合流量）</x:v>
      </x:c>
      <x:c r="C273" s="19" t="str">
        <x:v>中</x:v>
      </x:c>
      <x:c r="D273" s="19" t="str">
        <x:v>Jul 2026</x:v>
      </x:c>
      <x:c r="E273" s="19" t="n">
        <x:v>72</x:v>
      </x:c>
      <x:c r="F273" s="19" t="str">
        <x:v>hevy.com</x:v>
      </x:c>
      <x:c r="G273" s="19" t="str">
        <x:v>Nutrition Diets and Fitness</x:v>
      </x:c>
      <x:c r="H273" s="19" t="str">
        <x:v>其他/待核查</x:v>
      </x:c>
      <x:c r="I273" s="19" t="str">
        <x:v>保守归类</x:v>
      </x:c>
      <x:c r="J273" s="19" t="n">
        <x:v>41268</x:v>
      </x:c>
      <x:c r="K273" s="20" t="n">
        <x:v>0.0014000000000000002</x:v>
      </x:c>
      <x:c r="L273" s="19" t="str">
        <x:v>上升</x:v>
      </x:c>
      <x:c r="M273" s="20" t="n">
        <x:v>0.9111</x:v>
      </x:c>
      <x:c r="N273" s="21" t="n">
        <x:v>295624</x:v>
      </x:c>
      <x:c r="O273" s="21" t="n">
        <x:v>414</x:v>
      </x:c>
      <x:c r="P273" s="21" t="n">
        <x:f>ROUND(N273*K273,0)</x:f>
        <x:v>414</x:v>
      </x:c>
      <x:c r="Q273" s="19" t="str">
        <x:v>否</x:v>
      </x:c>
      <x:c r="R273" s="19" t="str"/>
      <x:c r="S273" s="19" t="n">
        <x:f>IF(Q273="是",0,MIN(10,2+IF(C273="高",2,1)+IF(K273&gt;=3%,3,IF(K273&gt;=1%,2,1))+IF(L273="新出现",2,IF(M273&gt;=100%,3,IF(M273&gt;0,2,0)))))</x:f>
        <x:v>6</x:v>
      </x:c>
      <x:c r="T273" s="21"/>
      <x:c r="U273" s="20"/>
      <x:c r="V273" s="19" t="str">
        <x:v>http://hevy.com/</x:v>
      </x:c>
      <x:c r="W273" s="19" t="str">
        <x:v>https://pro.similarweb.com/#/digitalsuite/websiteanalysis/referrals/*/999/1m?webSource=Total&amp;selectedTab=incomingTraffic&amp;key=paddle.com</x:v>
      </x:c>
      <x:c r="X273" s="20" t="n">
        <x:f>IF(Q273="是",0,IFERROR(P273/SUMIFS($P$2:$P$964,$A$2:$A$964,A273,$Q$2:$Q$964,"否"),0))</x:f>
        <x:v>0.002726805685455719</x:v>
      </x:c>
      <x:c r="Y273" s="22" t="str">
        <x:f>IF(OR(M273="",U273=""),"未交叉",IF(M273*U273&gt;0,"同向",IF(M273*U273&lt;0,"背离","一侧持平")))</x:f>
        <x:v>未交叉</x:v>
      </x:c>
    </x:row>
    <x:row r="274">
      <x:c r="A274" s="18" t="str">
        <x:v>paddle.com</x:v>
      </x:c>
      <x:c r="B274" s="19" t="str">
        <x:v>支付商主域（混合流量）</x:v>
      </x:c>
      <x:c r="C274" s="19" t="str">
        <x:v>中</x:v>
      </x:c>
      <x:c r="D274" s="19" t="str">
        <x:v>Jul 2026</x:v>
      </x:c>
      <x:c r="E274" s="19" t="n">
        <x:v>73</x:v>
      </x:c>
      <x:c r="F274" s="19" t="str">
        <x:v>plans.n8n.io</x:v>
      </x:c>
      <x:c r="G274" s="19" t="str">
        <x:v>Computer Security</x:v>
      </x:c>
      <x:c r="H274" s="19" t="str">
        <x:v>开发者工具与互联网基础设施</x:v>
      </x:c>
      <x:c r="I274" s="19" t="str">
        <x:v>Similarweb 行业映射</x:v>
      </x:c>
      <x:c r="J274" s="19"/>
      <x:c r="K274" s="20" t="n">
        <x:v>0.0014000000000000002</x:v>
      </x:c>
      <x:c r="L274" s="19" t="str">
        <x:v>下降</x:v>
      </x:c>
      <x:c r="M274" s="20" t="n">
        <x:v>-0.9137000000000001</x:v>
      </x:c>
      <x:c r="N274" s="21" t="n">
        <x:v>295624</x:v>
      </x:c>
      <x:c r="O274" s="21" t="n">
        <x:v>414</x:v>
      </x:c>
      <x:c r="P274" s="21" t="n">
        <x:f>ROUND(N274*K274,0)</x:f>
        <x:v>414</x:v>
      </x:c>
      <x:c r="Q274" s="19" t="str">
        <x:v>否</x:v>
      </x:c>
      <x:c r="R274" s="19" t="str"/>
      <x:c r="S274" s="19" t="n">
        <x:f>IF(Q274="是",0,MIN(10,2+IF(C274="高",2,1)+IF(K274&gt;=3%,3,IF(K274&gt;=1%,2,1))+IF(L274="新出现",2,IF(M274&gt;=100%,3,IF(M274&gt;0,2,0)))))</x:f>
        <x:v>4</x:v>
      </x:c>
      <x:c r="T274" s="21"/>
      <x:c r="U274" s="20"/>
      <x:c r="V274" s="19" t="str">
        <x:v>http://plans.n8n.io/</x:v>
      </x:c>
      <x:c r="W274" s="19" t="str">
        <x:v>https://pro.similarweb.com/#/digitalsuite/websiteanalysis/referrals/*/999/1m?webSource=Total&amp;selectedTab=incomingTraffic&amp;key=paddle.com</x:v>
      </x:c>
      <x:c r="X274" s="20" t="n">
        <x:f>IF(Q274="是",0,IFERROR(P274/SUMIFS($P$2:$P$964,$A$2:$A$964,A274,$Q$2:$Q$964,"否"),0))</x:f>
        <x:v>0.002726805685455719</x:v>
      </x:c>
      <x:c r="Y274" s="22" t="str">
        <x:f>IF(OR(M274="",U274=""),"未交叉",IF(M274*U274&gt;0,"同向",IF(M274*U274&lt;0,"背离","一侧持平")))</x:f>
        <x:v>未交叉</x:v>
      </x:c>
    </x:row>
    <x:row r="275">
      <x:c r="A275" s="18" t="str">
        <x:v>paddle.com</x:v>
      </x:c>
      <x:c r="B275" s="19" t="str">
        <x:v>支付商主域（混合流量）</x:v>
      </x:c>
      <x:c r="C275" s="19" t="str">
        <x:v>中</x:v>
      </x:c>
      <x:c r="D275" s="19" t="str">
        <x:v>Jul 2026</x:v>
      </x:c>
      <x:c r="E275" s="19" t="n">
        <x:v>74</x:v>
      </x:c>
      <x:c r="F275" s="19" t="str">
        <x:v>app.put.io</x:v>
      </x:c>
      <x:c r="G275" s="19" t="str">
        <x:v>Computers Electronics and Technology</x:v>
      </x:c>
      <x:c r="H275" s="19" t="str">
        <x:v>通用数字产品与技术服务</x:v>
      </x:c>
      <x:c r="I275" s="19" t="str">
        <x:v>Similarweb 行业映射</x:v>
      </x:c>
      <x:c r="J275" s="19"/>
      <x:c r="K275" s="20" t="n">
        <x:v>0.0014000000000000002</x:v>
      </x:c>
      <x:c r="L275" s="19" t="str">
        <x:v>上升</x:v>
      </x:c>
      <x:c r="M275" s="20" t="n">
        <x:v>2.2744</x:v>
      </x:c>
      <x:c r="N275" s="21" t="n">
        <x:v>295624</x:v>
      </x:c>
      <x:c r="O275" s="21" t="n">
        <x:v>414</x:v>
      </x:c>
      <x:c r="P275" s="21" t="n">
        <x:f>ROUND(N275*K275,0)</x:f>
        <x:v>414</x:v>
      </x:c>
      <x:c r="Q275" s="19" t="str">
        <x:v>否</x:v>
      </x:c>
      <x:c r="R275" s="19" t="str"/>
      <x:c r="S275" s="19" t="n">
        <x:f>IF(Q275="是",0,MIN(10,2+IF(C275="高",2,1)+IF(K275&gt;=3%,3,IF(K275&gt;=1%,2,1))+IF(L275="新出现",2,IF(M275&gt;=100%,3,IF(M275&gt;0,2,0)))))</x:f>
        <x:v>7</x:v>
      </x:c>
      <x:c r="T275" s="21"/>
      <x:c r="U275" s="20"/>
      <x:c r="V275" s="19" t="str">
        <x:v>http://app.put.io/</x:v>
      </x:c>
      <x:c r="W275" s="19" t="str">
        <x:v>https://pro.similarweb.com/#/digitalsuite/websiteanalysis/referrals/*/999/1m?webSource=Total&amp;selectedTab=incomingTraffic&amp;key=paddle.com</x:v>
      </x:c>
      <x:c r="X275" s="20" t="n">
        <x:f>IF(Q275="是",0,IFERROR(P275/SUMIFS($P$2:$P$964,$A$2:$A$964,A275,$Q$2:$Q$964,"否"),0))</x:f>
        <x:v>0.002726805685455719</x:v>
      </x:c>
      <x:c r="Y275" s="22" t="str">
        <x:f>IF(OR(M275="",U275=""),"未交叉",IF(M275*U275&gt;0,"同向",IF(M275*U275&lt;0,"背离","一侧持平")))</x:f>
        <x:v>未交叉</x:v>
      </x:c>
    </x:row>
    <x:row r="276">
      <x:c r="A276" s="18" t="str">
        <x:v>paddle.com</x:v>
      </x:c>
      <x:c r="B276" s="19" t="str">
        <x:v>支付商主域（混合流量）</x:v>
      </x:c>
      <x:c r="C276" s="19" t="str">
        <x:v>中</x:v>
      </x:c>
      <x:c r="D276" s="19" t="str">
        <x:v>Jul 2026</x:v>
      </x:c>
      <x:c r="E276" s="19" t="n">
        <x:v>75</x:v>
      </x:c>
      <x:c r="F276" s="19" t="str">
        <x:v>app.brandmentions.com</x:v>
      </x:c>
      <x:c r="G276" s="19" t="str">
        <x:v>Online Marketing</x:v>
      </x:c>
      <x:c r="H276" s="19" t="str">
        <x:v>营销、生产力与商业服务</x:v>
      </x:c>
      <x:c r="I276" s="19" t="str">
        <x:v>Similarweb 行业映射</x:v>
      </x:c>
      <x:c r="J276" s="19"/>
      <x:c r="K276" s="20" t="n">
        <x:v>0.0014000000000000002</x:v>
      </x:c>
      <x:c r="L276" s="19" t="str">
        <x:v>上升</x:v>
      </x:c>
      <x:c r="M276" s="20" t="n">
        <x:v>0.026099999999999998</x:v>
      </x:c>
      <x:c r="N276" s="21" t="n">
        <x:v>295624</x:v>
      </x:c>
      <x:c r="O276" s="21" t="n">
        <x:v>414</x:v>
      </x:c>
      <x:c r="P276" s="21" t="n">
        <x:f>ROUND(N276*K276,0)</x:f>
        <x:v>414</x:v>
      </x:c>
      <x:c r="Q276" s="19" t="str">
        <x:v>否</x:v>
      </x:c>
      <x:c r="R276" s="19" t="str"/>
      <x:c r="S276" s="19" t="n">
        <x:f>IF(Q276="是",0,MIN(10,2+IF(C276="高",2,1)+IF(K276&gt;=3%,3,IF(K276&gt;=1%,2,1))+IF(L276="新出现",2,IF(M276&gt;=100%,3,IF(M276&gt;0,2,0)))))</x:f>
        <x:v>6</x:v>
      </x:c>
      <x:c r="T276" s="21"/>
      <x:c r="U276" s="20"/>
      <x:c r="V276" s="19" t="str">
        <x:v>http://app.brandmentions.com/</x:v>
      </x:c>
      <x:c r="W276" s="19" t="str">
        <x:v>https://pro.similarweb.com/#/digitalsuite/websiteanalysis/referrals/*/999/1m?webSource=Total&amp;selectedTab=incomingTraffic&amp;key=paddle.com</x:v>
      </x:c>
      <x:c r="X276" s="20" t="n">
        <x:f>IF(Q276="是",0,IFERROR(P276/SUMIFS($P$2:$P$964,$A$2:$A$964,A276,$Q$2:$Q$964,"否"),0))</x:f>
        <x:v>0.002726805685455719</x:v>
      </x:c>
      <x:c r="Y276" s="22" t="str">
        <x:f>IF(OR(M276="",U276=""),"未交叉",IF(M276*U276&gt;0,"同向",IF(M276*U276&lt;0,"背离","一侧持平")))</x:f>
        <x:v>未交叉</x:v>
      </x:c>
    </x:row>
    <x:row r="277">
      <x:c r="A277" s="18" t="str">
        <x:v>paddle.com</x:v>
      </x:c>
      <x:c r="B277" s="19" t="str">
        <x:v>支付商主域（混合流量）</x:v>
      </x:c>
      <x:c r="C277" s="19" t="str">
        <x:v>中</x:v>
      </x:c>
      <x:c r="D277" s="19" t="str">
        <x:v>Jul 2026</x:v>
      </x:c>
      <x:c r="E277" s="19" t="n">
        <x:v>76</x:v>
      </x:c>
      <x:c r="F277" s="19" t="str">
        <x:v>app.necklo.com</x:v>
      </x:c>
      <x:c r="G277" s="19" t="str">
        <x:v>Unknown</x:v>
      </x:c>
      <x:c r="H277" s="19" t="str">
        <x:v>其他/待核查</x:v>
      </x:c>
      <x:c r="I277" s="19" t="str">
        <x:v>Similarweb 未分类</x:v>
      </x:c>
      <x:c r="J277" s="19"/>
      <x:c r="K277" s="20" t="n">
        <x:v>0.0014000000000000002</x:v>
      </x:c>
      <x:c r="L277" s="19" t="str">
        <x:v>新出现</x:v>
      </x:c>
      <x:c r="M277" s="20"/>
      <x:c r="N277" s="21" t="n">
        <x:v>295624</x:v>
      </x:c>
      <x:c r="O277" s="21" t="n">
        <x:v>414</x:v>
      </x:c>
      <x:c r="P277" s="21" t="n">
        <x:f>ROUND(N277*K277,0)</x:f>
        <x:v>414</x:v>
      </x:c>
      <x:c r="Q277" s="19" t="str">
        <x:v>否</x:v>
      </x:c>
      <x:c r="R277" s="19" t="str"/>
      <x:c r="S277" s="19" t="n">
        <x:f>IF(Q277="是",0,MIN(10,2+IF(C277="高",2,1)+IF(K277&gt;=3%,3,IF(K277&gt;=1%,2,1))+IF(L277="新出现",2,IF(M277&gt;=100%,3,IF(M277&gt;0,2,0)))))</x:f>
        <x:v>6</x:v>
      </x:c>
      <x:c r="T277" s="21"/>
      <x:c r="U277" s="20"/>
      <x:c r="V277" s="19" t="str">
        <x:v>http://app.necklo.com/</x:v>
      </x:c>
      <x:c r="W277" s="19" t="str">
        <x:v>https://pro.similarweb.com/#/digitalsuite/websiteanalysis/referrals/*/999/1m?webSource=Total&amp;selectedTab=incomingTraffic&amp;key=paddle.com</x:v>
      </x:c>
      <x:c r="X277" s="20" t="n">
        <x:f>IF(Q277="是",0,IFERROR(P277/SUMIFS($P$2:$P$964,$A$2:$A$964,A277,$Q$2:$Q$964,"否"),0))</x:f>
        <x:v>0.002726805685455719</x:v>
      </x:c>
      <x:c r="Y277" s="22" t="str">
        <x:f>IF(OR(M277="",U277=""),"未交叉",IF(M277*U277&gt;0,"同向",IF(M277*U277&lt;0,"背离","一侧持平")))</x:f>
        <x:v>未交叉</x:v>
      </x:c>
    </x:row>
    <x:row r="278">
      <x:c r="A278" s="18" t="str">
        <x:v>paddle.com</x:v>
      </x:c>
      <x:c r="B278" s="19" t="str">
        <x:v>支付商主域（混合流量）</x:v>
      </x:c>
      <x:c r="C278" s="19" t="str">
        <x:v>中</x:v>
      </x:c>
      <x:c r="D278" s="19" t="str">
        <x:v>Jul 2026</x:v>
      </x:c>
      <x:c r="E278" s="19" t="n">
        <x:v>77</x:v>
      </x:c>
      <x:c r="F278" s="19" t="str">
        <x:v>account.windy.com</x:v>
      </x:c>
      <x:c r="G278" s="19" t="str">
        <x:v>Maps</x:v>
      </x:c>
      <x:c r="H278" s="19" t="str">
        <x:v>其他/待核查</x:v>
      </x:c>
      <x:c r="I278" s="19" t="str">
        <x:v>保守归类</x:v>
      </x:c>
      <x:c r="J278" s="19"/>
      <x:c r="K278" s="20" t="n">
        <x:v>0.0014000000000000002</x:v>
      </x:c>
      <x:c r="L278" s="19" t="str">
        <x:v>下降</x:v>
      </x:c>
      <x:c r="M278" s="20" t="n">
        <x:v>-0.6972</x:v>
      </x:c>
      <x:c r="N278" s="21" t="n">
        <x:v>295624</x:v>
      </x:c>
      <x:c r="O278" s="21" t="n">
        <x:v>414</x:v>
      </x:c>
      <x:c r="P278" s="21" t="n">
        <x:f>ROUND(N278*K278,0)</x:f>
        <x:v>414</x:v>
      </x:c>
      <x:c r="Q278" s="19" t="str">
        <x:v>否</x:v>
      </x:c>
      <x:c r="R278" s="19" t="str"/>
      <x:c r="S278" s="19" t="n">
        <x:f>IF(Q278="是",0,MIN(10,2+IF(C278="高",2,1)+IF(K278&gt;=3%,3,IF(K278&gt;=1%,2,1))+IF(L278="新出现",2,IF(M278&gt;=100%,3,IF(M278&gt;0,2,0)))))</x:f>
        <x:v>4</x:v>
      </x:c>
      <x:c r="T278" s="21"/>
      <x:c r="U278" s="20"/>
      <x:c r="V278" s="19" t="str">
        <x:v>http://account.windy.com/</x:v>
      </x:c>
      <x:c r="W278" s="19" t="str">
        <x:v>https://pro.similarweb.com/#/digitalsuite/websiteanalysis/referrals/*/999/1m?webSource=Total&amp;selectedTab=incomingTraffic&amp;key=paddle.com</x:v>
      </x:c>
      <x:c r="X278" s="20" t="n">
        <x:f>IF(Q278="是",0,IFERROR(P278/SUMIFS($P$2:$P$964,$A$2:$A$964,A278,$Q$2:$Q$964,"否"),0))</x:f>
        <x:v>0.002726805685455719</x:v>
      </x:c>
      <x:c r="Y278" s="22" t="str">
        <x:f>IF(OR(M278="",U278=""),"未交叉",IF(M278*U278&gt;0,"同向",IF(M278*U278&lt;0,"背离","一侧持平")))</x:f>
        <x:v>未交叉</x:v>
      </x:c>
    </x:row>
    <x:row r="279">
      <x:c r="A279" s="18" t="str">
        <x:v>paddle.com</x:v>
      </x:c>
      <x:c r="B279" s="19" t="str">
        <x:v>支付商主域（混合流量）</x:v>
      </x:c>
      <x:c r="C279" s="19" t="str">
        <x:v>中</x:v>
      </x:c>
      <x:c r="D279" s="19" t="str">
        <x:v>Jul 2026</x:v>
      </x:c>
      <x:c r="E279" s="19" t="n">
        <x:v>78</x:v>
      </x:c>
      <x:c r="F279" s="19" t="str">
        <x:v>firstpromoter.com</x:v>
      </x:c>
      <x:c r="G279" s="19" t="str">
        <x:v>Online Marketing</x:v>
      </x:c>
      <x:c r="H279" s="19" t="str">
        <x:v>营销、生产力与商业服务</x:v>
      </x:c>
      <x:c r="I279" s="19" t="str">
        <x:v>Similarweb 行业映射</x:v>
      </x:c>
      <x:c r="J279" s="19" t="n">
        <x:v>166574</x:v>
      </x:c>
      <x:c r="K279" s="20" t="n">
        <x:v>0.0014000000000000002</x:v>
      </x:c>
      <x:c r="L279" s="19" t="str">
        <x:v>新出现</x:v>
      </x:c>
      <x:c r="M279" s="20"/>
      <x:c r="N279" s="21" t="n">
        <x:v>295624</x:v>
      </x:c>
      <x:c r="O279" s="21" t="n">
        <x:v>414</x:v>
      </x:c>
      <x:c r="P279" s="21" t="n">
        <x:f>ROUND(N279*K279,0)</x:f>
        <x:v>414</x:v>
      </x:c>
      <x:c r="Q279" s="19" t="str">
        <x:v>否</x:v>
      </x:c>
      <x:c r="R279" s="19" t="str"/>
      <x:c r="S279" s="19" t="n">
        <x:f>IF(Q279="是",0,MIN(10,2+IF(C279="高",2,1)+IF(K279&gt;=3%,3,IF(K279&gt;=1%,2,1))+IF(L279="新出现",2,IF(M279&gt;=100%,3,IF(M279&gt;0,2,0)))))</x:f>
        <x:v>6</x:v>
      </x:c>
      <x:c r="T279" s="21"/>
      <x:c r="U279" s="20"/>
      <x:c r="V279" s="19" t="str">
        <x:v>http://firstpromoter.com/</x:v>
      </x:c>
      <x:c r="W279" s="19" t="str">
        <x:v>https://pro.similarweb.com/#/digitalsuite/websiteanalysis/referrals/*/999/1m?webSource=Total&amp;selectedTab=incomingTraffic&amp;key=paddle.com</x:v>
      </x:c>
      <x:c r="X279" s="20" t="n">
        <x:f>IF(Q279="是",0,IFERROR(P279/SUMIFS($P$2:$P$964,$A$2:$A$964,A279,$Q$2:$Q$964,"否"),0))</x:f>
        <x:v>0.002726805685455719</x:v>
      </x:c>
      <x:c r="Y279" s="22" t="str">
        <x:f>IF(OR(M279="",U279=""),"未交叉",IF(M279*U279&gt;0,"同向",IF(M279*U279&lt;0,"背离","一侧持平")))</x:f>
        <x:v>未交叉</x:v>
      </x:c>
    </x:row>
    <x:row r="280">
      <x:c r="A280" s="18" t="str">
        <x:v>paddle.com</x:v>
      </x:c>
      <x:c r="B280" s="19" t="str">
        <x:v>支付商主域（混合流量）</x:v>
      </x:c>
      <x:c r="C280" s="19" t="str">
        <x:v>中</x:v>
      </x:c>
      <x:c r="D280" s="19" t="str">
        <x:v>Jul 2026</x:v>
      </x:c>
      <x:c r="E280" s="19" t="n">
        <x:v>79</x:v>
      </x:c>
      <x:c r="F280" s="19" t="str">
        <x:v>eldoraudio.com</x:v>
      </x:c>
      <x:c r="G280" s="19" t="str">
        <x:v>Music</x:v>
      </x:c>
      <x:c r="H280" s="19" t="str">
        <x:v>创作、设计与多媒体工具</x:v>
      </x:c>
      <x:c r="I280" s="19" t="str">
        <x:v>Similarweb 行业映射</x:v>
      </x:c>
      <x:c r="J280" s="19" t="n">
        <x:v>505493</x:v>
      </x:c>
      <x:c r="K280" s="20" t="n">
        <x:v>0.0013</x:v>
      </x:c>
      <x:c r="L280" s="19" t="str">
        <x:v>新出现</x:v>
      </x:c>
      <x:c r="M280" s="20"/>
      <x:c r="N280" s="21" t="n">
        <x:v>295624</x:v>
      </x:c>
      <x:c r="O280" s="21" t="n">
        <x:v>384</x:v>
      </x:c>
      <x:c r="P280" s="21" t="n">
        <x:f>ROUND(N280*K280,0)</x:f>
        <x:v>384</x:v>
      </x:c>
      <x:c r="Q280" s="19" t="str">
        <x:v>否</x:v>
      </x:c>
      <x:c r="R280" s="19" t="str"/>
      <x:c r="S280" s="19" t="n">
        <x:f>IF(Q280="是",0,MIN(10,2+IF(C280="高",2,1)+IF(K280&gt;=3%,3,IF(K280&gt;=1%,2,1))+IF(L280="新出现",2,IF(M280&gt;=100%,3,IF(M280&gt;0,2,0)))))</x:f>
        <x:v>6</x:v>
      </x:c>
      <x:c r="T280" s="21"/>
      <x:c r="U280" s="20"/>
      <x:c r="V280" s="19" t="str">
        <x:v>http://eldoraudio.com/</x:v>
      </x:c>
      <x:c r="W280" s="19" t="str">
        <x:v>https://pro.similarweb.com/#/digitalsuite/websiteanalysis/referrals/*/999/1m?webSource=Total&amp;selectedTab=incomingTraffic&amp;key=paddle.com</x:v>
      </x:c>
      <x:c r="X280" s="20" t="n">
        <x:f>IF(Q280="是",0,IFERROR(P280/SUMIFS($P$2:$P$964,$A$2:$A$964,A280,$Q$2:$Q$964,"否"),0))</x:f>
        <x:v>0.0025292110705676233</x:v>
      </x:c>
      <x:c r="Y280" s="22" t="str">
        <x:f>IF(OR(M280="",U280=""),"未交叉",IF(M280*U280&gt;0,"同向",IF(M280*U280&lt;0,"背离","一侧持平")))</x:f>
        <x:v>未交叉</x:v>
      </x:c>
    </x:row>
    <x:row r="281">
      <x:c r="A281" s="18" t="str">
        <x:v>paddle.com</x:v>
      </x:c>
      <x:c r="B281" s="19" t="str">
        <x:v>支付商主域（混合流量）</x:v>
      </x:c>
      <x:c r="C281" s="19" t="str">
        <x:v>中</x:v>
      </x:c>
      <x:c r="D281" s="19" t="str">
        <x:v>Jul 2026</x:v>
      </x:c>
      <x:c r="E281" s="19" t="n">
        <x:v>80</x:v>
      </x:c>
      <x:c r="F281" s="19" t="str">
        <x:v>app.taktile.com</x:v>
      </x:c>
      <x:c r="G281" s="19" t="str">
        <x:v>Unknown</x:v>
      </x:c>
      <x:c r="H281" s="19" t="str">
        <x:v>其他/待核查</x:v>
      </x:c>
      <x:c r="I281" s="19" t="str">
        <x:v>Similarweb 未分类</x:v>
      </x:c>
      <x:c r="J281" s="19"/>
      <x:c r="K281" s="20" t="n">
        <x:v>0.0013</x:v>
      </x:c>
      <x:c r="L281" s="19" t="str">
        <x:v>下降</x:v>
      </x:c>
      <x:c r="M281" s="20" t="n">
        <x:v>-0.4619</x:v>
      </x:c>
      <x:c r="N281" s="21" t="n">
        <x:v>295624</x:v>
      </x:c>
      <x:c r="O281" s="21" t="n">
        <x:v>384</x:v>
      </x:c>
      <x:c r="P281" s="21" t="n">
        <x:f>ROUND(N281*K281,0)</x:f>
        <x:v>384</x:v>
      </x:c>
      <x:c r="Q281" s="19" t="str">
        <x:v>否</x:v>
      </x:c>
      <x:c r="R281" s="19" t="str"/>
      <x:c r="S281" s="19" t="n">
        <x:f>IF(Q281="是",0,MIN(10,2+IF(C281="高",2,1)+IF(K281&gt;=3%,3,IF(K281&gt;=1%,2,1))+IF(L281="新出现",2,IF(M281&gt;=100%,3,IF(M281&gt;0,2,0)))))</x:f>
        <x:v>4</x:v>
      </x:c>
      <x:c r="T281" s="21"/>
      <x:c r="U281" s="20"/>
      <x:c r="V281" s="19" t="str">
        <x:v>http://app.taktile.com/</x:v>
      </x:c>
      <x:c r="W281" s="19" t="str">
        <x:v>https://pro.similarweb.com/#/digitalsuite/websiteanalysis/referrals/*/999/1m?webSource=Total&amp;selectedTab=incomingTraffic&amp;key=paddle.com</x:v>
      </x:c>
      <x:c r="X281" s="20" t="n">
        <x:f>IF(Q281="是",0,IFERROR(P281/SUMIFS($P$2:$P$964,$A$2:$A$964,A281,$Q$2:$Q$964,"否"),0))</x:f>
        <x:v>0.0025292110705676233</x:v>
      </x:c>
      <x:c r="Y281" s="22" t="str">
        <x:f>IF(OR(M281="",U281=""),"未交叉",IF(M281*U281&gt;0,"同向",IF(M281*U281&lt;0,"背离","一侧持平")))</x:f>
        <x:v>未交叉</x:v>
      </x:c>
    </x:row>
    <x:row r="282">
      <x:c r="A282" s="18" t="str">
        <x:v>paddle.com</x:v>
      </x:c>
      <x:c r="B282" s="19" t="str">
        <x:v>支付商主域（混合流量）</x:v>
      </x:c>
      <x:c r="C282" s="19" t="str">
        <x:v>中</x:v>
      </x:c>
      <x:c r="D282" s="19" t="str">
        <x:v>Jul 2026</x:v>
      </x:c>
      <x:c r="E282" s="19" t="n">
        <x:v>81</x:v>
      </x:c>
      <x:c r="F282" s="19" t="str">
        <x:v>tvmaze.com</x:v>
      </x:c>
      <x:c r="G282" s="19" t="str">
        <x:v>TV Movies and Streaming</x:v>
      </x:c>
      <x:c r="H282" s="19" t="str">
        <x:v>内容媒体、线下与实体消费</x:v>
      </x:c>
      <x:c r="I282" s="19" t="str">
        <x:v>Similarweb 行业映射</x:v>
      </x:c>
      <x:c r="J282" s="19" t="n">
        <x:v>24418</x:v>
      </x:c>
      <x:c r="K282" s="20" t="n">
        <x:v>0.0013</x:v>
      </x:c>
      <x:c r="L282" s="19" t="str">
        <x:v>新出现</x:v>
      </x:c>
      <x:c r="M282" s="20"/>
      <x:c r="N282" s="21" t="n">
        <x:v>295624</x:v>
      </x:c>
      <x:c r="O282" s="21" t="n">
        <x:v>384</x:v>
      </x:c>
      <x:c r="P282" s="21" t="n">
        <x:f>ROUND(N282*K282,0)</x:f>
        <x:v>384</x:v>
      </x:c>
      <x:c r="Q282" s="19" t="str">
        <x:v>否</x:v>
      </x:c>
      <x:c r="R282" s="19" t="str"/>
      <x:c r="S282" s="19" t="n">
        <x:f>IF(Q282="是",0,MIN(10,2+IF(C282="高",2,1)+IF(K282&gt;=3%,3,IF(K282&gt;=1%,2,1))+IF(L282="新出现",2,IF(M282&gt;=100%,3,IF(M282&gt;0,2,0)))))</x:f>
        <x:v>6</x:v>
      </x:c>
      <x:c r="T282" s="21"/>
      <x:c r="U282" s="20"/>
      <x:c r="V282" s="19" t="str">
        <x:v>http://tvmaze.com/</x:v>
      </x:c>
      <x:c r="W282" s="19" t="str">
        <x:v>https://pro.similarweb.com/#/digitalsuite/websiteanalysis/referrals/*/999/1m?webSource=Total&amp;selectedTab=incomingTraffic&amp;key=paddle.com</x:v>
      </x:c>
      <x:c r="X282" s="20" t="n">
        <x:f>IF(Q282="是",0,IFERROR(P282/SUMIFS($P$2:$P$964,$A$2:$A$964,A282,$Q$2:$Q$964,"否"),0))</x:f>
        <x:v>0.0025292110705676233</x:v>
      </x:c>
      <x:c r="Y282" s="22" t="str">
        <x:f>IF(OR(M282="",U282=""),"未交叉",IF(M282*U282&gt;0,"同向",IF(M282*U282&lt;0,"背离","一侧持平")))</x:f>
        <x:v>未交叉</x:v>
      </x:c>
    </x:row>
    <x:row r="283">
      <x:c r="A283" s="18" t="str">
        <x:v>paddle.com</x:v>
      </x:c>
      <x:c r="B283" s="19" t="str">
        <x:v>支付商主域（混合流量）</x:v>
      </x:c>
      <x:c r="C283" s="19" t="str">
        <x:v>中</x:v>
      </x:c>
      <x:c r="D283" s="19" t="str">
        <x:v>Jul 2026</x:v>
      </x:c>
      <x:c r="E283" s="19" t="n">
        <x:v>82</x:v>
      </x:c>
      <x:c r="F283" s="19" t="str">
        <x:v>planefinder.net</x:v>
      </x:c>
      <x:c r="G283" s="19" t="str">
        <x:v>Programming and Developer Software</x:v>
      </x:c>
      <x:c r="H283" s="19" t="str">
        <x:v>开发者工具与互联网基础设施</x:v>
      </x:c>
      <x:c r="I283" s="19" t="str">
        <x:v>Similarweb 行业映射</x:v>
      </x:c>
      <x:c r="J283" s="19" t="n">
        <x:v>53364</x:v>
      </x:c>
      <x:c r="K283" s="20" t="n">
        <x:v>0.0013</x:v>
      </x:c>
      <x:c r="L283" s="19" t="str">
        <x:v>新出现</x:v>
      </x:c>
      <x:c r="M283" s="20"/>
      <x:c r="N283" s="21" t="n">
        <x:v>295624</x:v>
      </x:c>
      <x:c r="O283" s="21" t="n">
        <x:v>384</x:v>
      </x:c>
      <x:c r="P283" s="21" t="n">
        <x:f>ROUND(N283*K283,0)</x:f>
        <x:v>384</x:v>
      </x:c>
      <x:c r="Q283" s="19" t="str">
        <x:v>否</x:v>
      </x:c>
      <x:c r="R283" s="19" t="str"/>
      <x:c r="S283" s="19" t="n">
        <x:f>IF(Q283="是",0,MIN(10,2+IF(C283="高",2,1)+IF(K283&gt;=3%,3,IF(K283&gt;=1%,2,1))+IF(L283="新出现",2,IF(M283&gt;=100%,3,IF(M283&gt;0,2,0)))))</x:f>
        <x:v>6</x:v>
      </x:c>
      <x:c r="T283" s="21"/>
      <x:c r="U283" s="20"/>
      <x:c r="V283" s="19" t="str">
        <x:v>http://planefinder.net/</x:v>
      </x:c>
      <x:c r="W283" s="19" t="str">
        <x:v>https://pro.similarweb.com/#/digitalsuite/websiteanalysis/referrals/*/999/1m?webSource=Total&amp;selectedTab=incomingTraffic&amp;key=paddle.com</x:v>
      </x:c>
      <x:c r="X283" s="20" t="n">
        <x:f>IF(Q283="是",0,IFERROR(P283/SUMIFS($P$2:$P$964,$A$2:$A$964,A283,$Q$2:$Q$964,"否"),0))</x:f>
        <x:v>0.0025292110705676233</x:v>
      </x:c>
      <x:c r="Y283" s="22" t="str">
        <x:f>IF(OR(M283="",U283=""),"未交叉",IF(M283*U283&gt;0,"同向",IF(M283*U283&lt;0,"背离","一侧持平")))</x:f>
        <x:v>未交叉</x:v>
      </x:c>
    </x:row>
    <x:row r="284">
      <x:c r="A284" s="18" t="str">
        <x:v>paddle.com</x:v>
      </x:c>
      <x:c r="B284" s="19" t="str">
        <x:v>支付商主域（混合流量）</x:v>
      </x:c>
      <x:c r="C284" s="19" t="str">
        <x:v>中</x:v>
      </x:c>
      <x:c r="D284" s="19" t="str">
        <x:v>Jul 2026</x:v>
      </x:c>
      <x:c r="E284" s="19" t="n">
        <x:v>83</x:v>
      </x:c>
      <x:c r="F284" s="19" t="str">
        <x:v>images.prepphint.com</x:v>
      </x:c>
      <x:c r="G284" s="19" t="str">
        <x:v>Unknown</x:v>
      </x:c>
      <x:c r="H284" s="19" t="str">
        <x:v>其他/待核查</x:v>
      </x:c>
      <x:c r="I284" s="19" t="str">
        <x:v>Similarweb 未分类</x:v>
      </x:c>
      <x:c r="J284" s="19"/>
      <x:c r="K284" s="20" t="n">
        <x:v>0.0012</x:v>
      </x:c>
      <x:c r="L284" s="19" t="str">
        <x:v>新出现</x:v>
      </x:c>
      <x:c r="M284" s="20"/>
      <x:c r="N284" s="21" t="n">
        <x:v>295624</x:v>
      </x:c>
      <x:c r="O284" s="21" t="n">
        <x:v>355</x:v>
      </x:c>
      <x:c r="P284" s="21" t="n">
        <x:f>ROUND(N284*K284,0)</x:f>
        <x:v>355</x:v>
      </x:c>
      <x:c r="Q284" s="19" t="str">
        <x:v>否</x:v>
      </x:c>
      <x:c r="R284" s="19" t="str"/>
      <x:c r="S284" s="19" t="n">
        <x:f>IF(Q284="是",0,MIN(10,2+IF(C284="高",2,1)+IF(K284&gt;=3%,3,IF(K284&gt;=1%,2,1))+IF(L284="新出现",2,IF(M284&gt;=100%,3,IF(M284&gt;0,2,0)))))</x:f>
        <x:v>6</x:v>
      </x:c>
      <x:c r="T284" s="21"/>
      <x:c r="U284" s="20"/>
      <x:c r="V284" s="19" t="str">
        <x:v>http://images.prepphint.com/</x:v>
      </x:c>
      <x:c r="W284" s="19" t="str">
        <x:v>https://pro.similarweb.com/#/digitalsuite/websiteanalysis/referrals/*/999/1m?webSource=Total&amp;selectedTab=incomingTraffic&amp;key=paddle.com</x:v>
      </x:c>
      <x:c r="X284" s="20" t="n">
        <x:f>IF(Q284="是",0,IFERROR(P284/SUMIFS($P$2:$P$964,$A$2:$A$964,A284,$Q$2:$Q$964,"否"),0))</x:f>
        <x:v>0.0023382029428424644</x:v>
      </x:c>
      <x:c r="Y284" s="22" t="str">
        <x:f>IF(OR(M284="",U284=""),"未交叉",IF(M284*U284&gt;0,"同向",IF(M284*U284&lt;0,"背离","一侧持平")))</x:f>
        <x:v>未交叉</x:v>
      </x:c>
    </x:row>
    <x:row r="285">
      <x:c r="A285" s="18" t="str">
        <x:v>paddle.com</x:v>
      </x:c>
      <x:c r="B285" s="19" t="str">
        <x:v>支付商主域（混合流量）</x:v>
      </x:c>
      <x:c r="C285" s="19" t="str">
        <x:v>中</x:v>
      </x:c>
      <x:c r="D285" s="19" t="str">
        <x:v>Jul 2026</x:v>
      </x:c>
      <x:c r="E285" s="19" t="n">
        <x:v>84</x:v>
      </x:c>
      <x:c r="F285" s="19" t="str">
        <x:v>geoguessr.com</x:v>
      </x:c>
      <x:c r="G285" s="19" t="str">
        <x:v>Maps</x:v>
      </x:c>
      <x:c r="H285" s="19" t="str">
        <x:v>其他/待核查</x:v>
      </x:c>
      <x:c r="I285" s="19" t="str">
        <x:v>保守归类</x:v>
      </x:c>
      <x:c r="J285" s="19" t="n">
        <x:v>2089</x:v>
      </x:c>
      <x:c r="K285" s="20" t="n">
        <x:v>0.0012</x:v>
      </x:c>
      <x:c r="L285" s="19" t="str">
        <x:v>上升</x:v>
      </x:c>
      <x:c r="M285" s="20" t="n">
        <x:v>5.494299999999999</x:v>
      </x:c>
      <x:c r="N285" s="21" t="n">
        <x:v>295624</x:v>
      </x:c>
      <x:c r="O285" s="21" t="n">
        <x:v>355</x:v>
      </x:c>
      <x:c r="P285" s="21" t="n">
        <x:f>ROUND(N285*K285,0)</x:f>
        <x:v>355</x:v>
      </x:c>
      <x:c r="Q285" s="19" t="str">
        <x:v>否</x:v>
      </x:c>
      <x:c r="R285" s="19" t="str"/>
      <x:c r="S285" s="19" t="n">
        <x:f>IF(Q285="是",0,MIN(10,2+IF(C285="高",2,1)+IF(K285&gt;=3%,3,IF(K285&gt;=1%,2,1))+IF(L285="新出现",2,IF(M285&gt;=100%,3,IF(M285&gt;0,2,0)))))</x:f>
        <x:v>7</x:v>
      </x:c>
      <x:c r="T285" s="21"/>
      <x:c r="U285" s="20"/>
      <x:c r="V285" s="19" t="str">
        <x:v>http://geoguessr.com/</x:v>
      </x:c>
      <x:c r="W285" s="19" t="str">
        <x:v>https://pro.similarweb.com/#/digitalsuite/websiteanalysis/referrals/*/999/1m?webSource=Total&amp;selectedTab=incomingTraffic&amp;key=paddle.com</x:v>
      </x:c>
      <x:c r="X285" s="20" t="n">
        <x:f>IF(Q285="是",0,IFERROR(P285/SUMIFS($P$2:$P$964,$A$2:$A$964,A285,$Q$2:$Q$964,"否"),0))</x:f>
        <x:v>0.0023382029428424644</x:v>
      </x:c>
      <x:c r="Y285" s="22" t="str">
        <x:f>IF(OR(M285="",U285=""),"未交叉",IF(M285*U285&gt;0,"同向",IF(M285*U285&lt;0,"背离","一侧持平")))</x:f>
        <x:v>未交叉</x:v>
      </x:c>
    </x:row>
    <x:row r="286">
      <x:c r="A286" s="18" t="str">
        <x:v>paddle.com</x:v>
      </x:c>
      <x:c r="B286" s="19" t="str">
        <x:v>支付商主域（混合流量）</x:v>
      </x:c>
      <x:c r="C286" s="19" t="str">
        <x:v>中</x:v>
      </x:c>
      <x:c r="D286" s="19" t="str">
        <x:v>Jul 2026</x:v>
      </x:c>
      <x:c r="E286" s="19" t="n">
        <x:v>85</x:v>
      </x:c>
      <x:c r="F286" s="19" t="str">
        <x:v>studiowombat.com</x:v>
      </x:c>
      <x:c r="G286" s="19" t="str">
        <x:v>Graphics Multimedia and Web Design</x:v>
      </x:c>
      <x:c r="H286" s="19" t="str">
        <x:v>创作、设计与多媒体工具</x:v>
      </x:c>
      <x:c r="I286" s="19" t="str">
        <x:v>Similarweb 行业映射</x:v>
      </x:c>
      <x:c r="J286" s="19" t="n">
        <x:v>1206335</x:v>
      </x:c>
      <x:c r="K286" s="20" t="n">
        <x:v>0.0012</x:v>
      </x:c>
      <x:c r="L286" s="19" t="str">
        <x:v>上升</x:v>
      </x:c>
      <x:c r="M286" s="20" t="n">
        <x:v>0.5962</x:v>
      </x:c>
      <x:c r="N286" s="21" t="n">
        <x:v>295624</x:v>
      </x:c>
      <x:c r="O286" s="21" t="n">
        <x:v>355</x:v>
      </x:c>
      <x:c r="P286" s="21" t="n">
        <x:f>ROUND(N286*K286,0)</x:f>
        <x:v>355</x:v>
      </x:c>
      <x:c r="Q286" s="19" t="str">
        <x:v>否</x:v>
      </x:c>
      <x:c r="R286" s="19" t="str"/>
      <x:c r="S286" s="19" t="n">
        <x:f>IF(Q286="是",0,MIN(10,2+IF(C286="高",2,1)+IF(K286&gt;=3%,3,IF(K286&gt;=1%,2,1))+IF(L286="新出现",2,IF(M286&gt;=100%,3,IF(M286&gt;0,2,0)))))</x:f>
        <x:v>6</x:v>
      </x:c>
      <x:c r="T286" s="21"/>
      <x:c r="U286" s="20"/>
      <x:c r="V286" s="19" t="str">
        <x:v>http://studiowombat.com/</x:v>
      </x:c>
      <x:c r="W286" s="19" t="str">
        <x:v>https://pro.similarweb.com/#/digitalsuite/websiteanalysis/referrals/*/999/1m?webSource=Total&amp;selectedTab=incomingTraffic&amp;key=paddle.com</x:v>
      </x:c>
      <x:c r="X286" s="20" t="n">
        <x:f>IF(Q286="是",0,IFERROR(P286/SUMIFS($P$2:$P$964,$A$2:$A$964,A286,$Q$2:$Q$964,"否"),0))</x:f>
        <x:v>0.0023382029428424644</x:v>
      </x:c>
      <x:c r="Y286" s="22" t="str">
        <x:f>IF(OR(M286="",U286=""),"未交叉",IF(M286*U286&gt;0,"同向",IF(M286*U286&lt;0,"背离","一侧持平")))</x:f>
        <x:v>未交叉</x:v>
      </x:c>
    </x:row>
    <x:row r="287">
      <x:c r="A287" s="18" t="str">
        <x:v>paddle.com</x:v>
      </x:c>
      <x:c r="B287" s="19" t="str">
        <x:v>支付商主域（混合流量）</x:v>
      </x:c>
      <x:c r="C287" s="19" t="str">
        <x:v>中</x:v>
      </x:c>
      <x:c r="D287" s="19" t="str">
        <x:v>Jul 2026</x:v>
      </x:c>
      <x:c r="E287" s="19" t="n">
        <x:v>86</x:v>
      </x:c>
      <x:c r="F287" s="19" t="str">
        <x:v>texttopdf.net</x:v>
      </x:c>
      <x:c r="G287" s="19" t="str">
        <x:v>Unknown</x:v>
      </x:c>
      <x:c r="H287" s="19" t="str">
        <x:v>其他/待核查</x:v>
      </x:c>
      <x:c r="I287" s="19" t="str">
        <x:v>Similarweb 未分类</x:v>
      </x:c>
      <x:c r="J287" s="19" t="n">
        <x:v>1165616</x:v>
      </x:c>
      <x:c r="K287" s="20" t="n">
        <x:v>0.0011</x:v>
      </x:c>
      <x:c r="L287" s="19" t="str">
        <x:v>新出现</x:v>
      </x:c>
      <x:c r="M287" s="20"/>
      <x:c r="N287" s="21" t="n">
        <x:v>295624</x:v>
      </x:c>
      <x:c r="O287" s="21" t="n">
        <x:v>325</x:v>
      </x:c>
      <x:c r="P287" s="21" t="n">
        <x:f>ROUND(N287*K287,0)</x:f>
        <x:v>325</x:v>
      </x:c>
      <x:c r="Q287" s="19" t="str">
        <x:v>否</x:v>
      </x:c>
      <x:c r="R287" s="19" t="str"/>
      <x:c r="S287" s="19" t="n">
        <x:f>IF(Q287="是",0,MIN(10,2+IF(C287="高",2,1)+IF(K287&gt;=3%,3,IF(K287&gt;=1%,2,1))+IF(L287="新出现",2,IF(M287&gt;=100%,3,IF(M287&gt;0,2,0)))))</x:f>
        <x:v>6</x:v>
      </x:c>
      <x:c r="T287" s="21"/>
      <x:c r="U287" s="20"/>
      <x:c r="V287" s="19" t="str">
        <x:v>http://texttopdf.net/</x:v>
      </x:c>
      <x:c r="W287" s="19" t="str">
        <x:v>https://pro.similarweb.com/#/digitalsuite/websiteanalysis/referrals/*/999/1m?webSource=Total&amp;selectedTab=incomingTraffic&amp;key=paddle.com</x:v>
      </x:c>
      <x:c r="X287" s="20" t="n">
        <x:f>IF(Q287="是",0,IFERROR(P287/SUMIFS($P$2:$P$964,$A$2:$A$964,A287,$Q$2:$Q$964,"否"),0))</x:f>
        <x:v>0.002140608327954369</x:v>
      </x:c>
      <x:c r="Y287" s="22" t="str">
        <x:f>IF(OR(M287="",U287=""),"未交叉",IF(M287*U287&gt;0,"同向",IF(M287*U287&lt;0,"背离","一侧持平")))</x:f>
        <x:v>未交叉</x:v>
      </x:c>
    </x:row>
    <x:row r="288">
      <x:c r="A288" s="18" t="str">
        <x:v>paddle.com</x:v>
      </x:c>
      <x:c r="B288" s="19" t="str">
        <x:v>支付商主域（混合流量）</x:v>
      </x:c>
      <x:c r="C288" s="19" t="str">
        <x:v>中</x:v>
      </x:c>
      <x:c r="D288" s="19" t="str">
        <x:v>Jul 2026</x:v>
      </x:c>
      <x:c r="E288" s="19" t="n">
        <x:v>87</x:v>
      </x:c>
      <x:c r="F288" s="19" t="str">
        <x:v>my.saleshandy.com</x:v>
      </x:c>
      <x:c r="G288" s="19" t="str">
        <x:v>Marketing and Advertising</x:v>
      </x:c>
      <x:c r="H288" s="19" t="str">
        <x:v>其他/待核查</x:v>
      </x:c>
      <x:c r="I288" s="19" t="str">
        <x:v>保守归类</x:v>
      </x:c>
      <x:c r="J288" s="19"/>
      <x:c r="K288" s="20" t="n">
        <x:v>0.0011</x:v>
      </x:c>
      <x:c r="L288" s="19" t="str">
        <x:v>上升</x:v>
      </x:c>
      <x:c r="M288" s="20" t="n">
        <x:v>2.9962</x:v>
      </x:c>
      <x:c r="N288" s="21" t="n">
        <x:v>295624</x:v>
      </x:c>
      <x:c r="O288" s="21" t="n">
        <x:v>325</x:v>
      </x:c>
      <x:c r="P288" s="21" t="n">
        <x:f>ROUND(N288*K288,0)</x:f>
        <x:v>325</x:v>
      </x:c>
      <x:c r="Q288" s="19" t="str">
        <x:v>否</x:v>
      </x:c>
      <x:c r="R288" s="19" t="str"/>
      <x:c r="S288" s="19" t="n">
        <x:f>IF(Q288="是",0,MIN(10,2+IF(C288="高",2,1)+IF(K288&gt;=3%,3,IF(K288&gt;=1%,2,1))+IF(L288="新出现",2,IF(M288&gt;=100%,3,IF(M288&gt;0,2,0)))))</x:f>
        <x:v>7</x:v>
      </x:c>
      <x:c r="T288" s="21"/>
      <x:c r="U288" s="20"/>
      <x:c r="V288" s="19" t="str">
        <x:v>http://my.saleshandy.com/</x:v>
      </x:c>
      <x:c r="W288" s="19" t="str">
        <x:v>https://pro.similarweb.com/#/digitalsuite/websiteanalysis/referrals/*/999/1m?webSource=Total&amp;selectedTab=incomingTraffic&amp;key=paddle.com</x:v>
      </x:c>
      <x:c r="X288" s="20" t="n">
        <x:f>IF(Q288="是",0,IFERROR(P288/SUMIFS($P$2:$P$964,$A$2:$A$964,A288,$Q$2:$Q$964,"否"),0))</x:f>
        <x:v>0.002140608327954369</x:v>
      </x:c>
      <x:c r="Y288" s="22" t="str">
        <x:f>IF(OR(M288="",U288=""),"未交叉",IF(M288*U288&gt;0,"同向",IF(M288*U288&lt;0,"背离","一侧持平")))</x:f>
        <x:v>未交叉</x:v>
      </x:c>
    </x:row>
    <x:row r="289">
      <x:c r="A289" s="18" t="str">
        <x:v>paddle.com</x:v>
      </x:c>
      <x:c r="B289" s="19" t="str">
        <x:v>支付商主域（混合流量）</x:v>
      </x:c>
      <x:c r="C289" s="19" t="str">
        <x:v>中</x:v>
      </x:c>
      <x:c r="D289" s="19" t="str">
        <x:v>Jul 2026</x:v>
      </x:c>
      <x:c r="E289" s="19" t="n">
        <x:v>88</x:v>
      </x:c>
      <x:c r="F289" s="19" t="str">
        <x:v>app.reimaginehome.ai</x:v>
      </x:c>
      <x:c r="G289" s="19" t="str">
        <x:v>Graphics Multimedia and Web Design</x:v>
      </x:c>
      <x:c r="H289" s="19" t="str">
        <x:v>AI 工具与应用（未细分）</x:v>
      </x:c>
      <x:c r="I289" s="19" t="str">
        <x:v>域名后缀启发式</x:v>
      </x:c>
      <x:c r="J289" s="19"/>
      <x:c r="K289" s="20" t="n">
        <x:v>0.0011</x:v>
      </x:c>
      <x:c r="L289" s="19" t="str">
        <x:v>上升</x:v>
      </x:c>
      <x:c r="M289" s="20" t="n">
        <x:v>0.1309</x:v>
      </x:c>
      <x:c r="N289" s="21" t="n">
        <x:v>295624</x:v>
      </x:c>
      <x:c r="O289" s="21" t="n">
        <x:v>325</x:v>
      </x:c>
      <x:c r="P289" s="21" t="n">
        <x:f>ROUND(N289*K289,0)</x:f>
        <x:v>325</x:v>
      </x:c>
      <x:c r="Q289" s="19" t="str">
        <x:v>否</x:v>
      </x:c>
      <x:c r="R289" s="19" t="str"/>
      <x:c r="S289" s="19" t="n">
        <x:f>IF(Q289="是",0,MIN(10,2+IF(C289="高",2,1)+IF(K289&gt;=3%,3,IF(K289&gt;=1%,2,1))+IF(L289="新出现",2,IF(M289&gt;=100%,3,IF(M289&gt;0,2,0)))))</x:f>
        <x:v>6</x:v>
      </x:c>
      <x:c r="T289" s="21"/>
      <x:c r="U289" s="20"/>
      <x:c r="V289" s="19" t="str">
        <x:v>http://app.reimaginehome.ai/</x:v>
      </x:c>
      <x:c r="W289" s="19" t="str">
        <x:v>https://pro.similarweb.com/#/digitalsuite/websiteanalysis/referrals/*/999/1m?webSource=Total&amp;selectedTab=incomingTraffic&amp;key=paddle.com</x:v>
      </x:c>
      <x:c r="X289" s="20" t="n">
        <x:f>IF(Q289="是",0,IFERROR(P289/SUMIFS($P$2:$P$964,$A$2:$A$964,A289,$Q$2:$Q$964,"否"),0))</x:f>
        <x:v>0.002140608327954369</x:v>
      </x:c>
      <x:c r="Y289" s="22" t="str">
        <x:f>IF(OR(M289="",U289=""),"未交叉",IF(M289*U289&gt;0,"同向",IF(M289*U289&lt;0,"背离","一侧持平")))</x:f>
        <x:v>未交叉</x:v>
      </x:c>
    </x:row>
    <x:row r="290">
      <x:c r="A290" s="18" t="str">
        <x:v>paddle.com</x:v>
      </x:c>
      <x:c r="B290" s="19" t="str">
        <x:v>支付商主域（混合流量）</x:v>
      </x:c>
      <x:c r="C290" s="19" t="str">
        <x:v>中</x:v>
      </x:c>
      <x:c r="D290" s="19" t="str">
        <x:v>Jul 2026</x:v>
      </x:c>
      <x:c r="E290" s="19" t="n">
        <x:v>89</x:v>
      </x:c>
      <x:c r="F290" s="19" t="str">
        <x:v>coachless.gg</x:v>
      </x:c>
      <x:c r="G290" s="19" t="str">
        <x:v>Board and Card Games</x:v>
      </x:c>
      <x:c r="H290" s="19" t="str">
        <x:v>游戏、数字商品与虚拟内容</x:v>
      </x:c>
      <x:c r="I290" s="19" t="str">
        <x:v>Similarweb 行业映射</x:v>
      </x:c>
      <x:c r="J290" s="19" t="n">
        <x:v>49605</x:v>
      </x:c>
      <x:c r="K290" s="20" t="n">
        <x:v>0.0011</x:v>
      </x:c>
      <x:c r="L290" s="19" t="str">
        <x:v>下降</x:v>
      </x:c>
      <x:c r="M290" s="20" t="n">
        <x:v>-0.8478</x:v>
      </x:c>
      <x:c r="N290" s="21" t="n">
        <x:v>295624</x:v>
      </x:c>
      <x:c r="O290" s="21" t="n">
        <x:v>325</x:v>
      </x:c>
      <x:c r="P290" s="21" t="n">
        <x:f>ROUND(N290*K290,0)</x:f>
        <x:v>325</x:v>
      </x:c>
      <x:c r="Q290" s="19" t="str">
        <x:v>否</x:v>
      </x:c>
      <x:c r="R290" s="19" t="str"/>
      <x:c r="S290" s="19" t="n">
        <x:f>IF(Q290="是",0,MIN(10,2+IF(C290="高",2,1)+IF(K290&gt;=3%,3,IF(K290&gt;=1%,2,1))+IF(L290="新出现",2,IF(M290&gt;=100%,3,IF(M290&gt;0,2,0)))))</x:f>
        <x:v>4</x:v>
      </x:c>
      <x:c r="T290" s="21"/>
      <x:c r="U290" s="20"/>
      <x:c r="V290" s="19" t="str">
        <x:v>http://coachless.gg/</x:v>
      </x:c>
      <x:c r="W290" s="19" t="str">
        <x:v>https://pro.similarweb.com/#/digitalsuite/websiteanalysis/referrals/*/999/1m?webSource=Total&amp;selectedTab=incomingTraffic&amp;key=paddle.com</x:v>
      </x:c>
      <x:c r="X290" s="20" t="n">
        <x:f>IF(Q290="是",0,IFERROR(P290/SUMIFS($P$2:$P$964,$A$2:$A$964,A290,$Q$2:$Q$964,"否"),0))</x:f>
        <x:v>0.002140608327954369</x:v>
      </x:c>
      <x:c r="Y290" s="22" t="str">
        <x:f>IF(OR(M290="",U290=""),"未交叉",IF(M290*U290&gt;0,"同向",IF(M290*U290&lt;0,"背离","一侧持平")))</x:f>
        <x:v>未交叉</x:v>
      </x:c>
    </x:row>
    <x:row r="291">
      <x:c r="A291" s="18" t="str">
        <x:v>paddle.com</x:v>
      </x:c>
      <x:c r="B291" s="19" t="str">
        <x:v>支付商主域（混合流量）</x:v>
      </x:c>
      <x:c r="C291" s="19" t="str">
        <x:v>中</x:v>
      </x:c>
      <x:c r="D291" s="19" t="str">
        <x:v>Jul 2026</x:v>
      </x:c>
      <x:c r="E291" s="19" t="n">
        <x:v>90</x:v>
      </x:c>
      <x:c r="F291" s="19" t="str">
        <x:v>app.projectionlab.com</x:v>
      </x:c>
      <x:c r="G291" s="19" t="str">
        <x:v>Finance</x:v>
      </x:c>
      <x:c r="H291" s="19" t="str">
        <x:v>金融、支付与交易服务</x:v>
      </x:c>
      <x:c r="I291" s="19" t="str">
        <x:v>Similarweb 行业映射</x:v>
      </x:c>
      <x:c r="J291" s="19"/>
      <x:c r="K291" s="20" t="n">
        <x:v>0.0011</x:v>
      </x:c>
      <x:c r="L291" s="19" t="str">
        <x:v>下降</x:v>
      </x:c>
      <x:c r="M291" s="20" t="n">
        <x:v>-0.43</x:v>
      </x:c>
      <x:c r="N291" s="21" t="n">
        <x:v>295624</x:v>
      </x:c>
      <x:c r="O291" s="21" t="n">
        <x:v>325</x:v>
      </x:c>
      <x:c r="P291" s="21" t="n">
        <x:f>ROUND(N291*K291,0)</x:f>
        <x:v>325</x:v>
      </x:c>
      <x:c r="Q291" s="19" t="str">
        <x:v>否</x:v>
      </x:c>
      <x:c r="R291" s="19" t="str"/>
      <x:c r="S291" s="19" t="n">
        <x:f>IF(Q291="是",0,MIN(10,2+IF(C291="高",2,1)+IF(K291&gt;=3%,3,IF(K291&gt;=1%,2,1))+IF(L291="新出现",2,IF(M291&gt;=100%,3,IF(M291&gt;0,2,0)))))</x:f>
        <x:v>4</x:v>
      </x:c>
      <x:c r="T291" s="21"/>
      <x:c r="U291" s="20"/>
      <x:c r="V291" s="19" t="str">
        <x:v>http://app.projectionlab.com/</x:v>
      </x:c>
      <x:c r="W291" s="19" t="str">
        <x:v>https://pro.similarweb.com/#/digitalsuite/websiteanalysis/referrals/*/999/1m?webSource=Total&amp;selectedTab=incomingTraffic&amp;key=paddle.com</x:v>
      </x:c>
      <x:c r="X291" s="20" t="n">
        <x:f>IF(Q291="是",0,IFERROR(P291/SUMIFS($P$2:$P$964,$A$2:$A$964,A291,$Q$2:$Q$964,"否"),0))</x:f>
        <x:v>0.002140608327954369</x:v>
      </x:c>
      <x:c r="Y291" s="22" t="str">
        <x:f>IF(OR(M291="",U291=""),"未交叉",IF(M291*U291&gt;0,"同向",IF(M291*U291&lt;0,"背离","一侧持平")))</x:f>
        <x:v>未交叉</x:v>
      </x:c>
    </x:row>
    <x:row r="292">
      <x:c r="A292" s="18" t="str">
        <x:v>paddle.com</x:v>
      </x:c>
      <x:c r="B292" s="19" t="str">
        <x:v>支付商主域（混合流量）</x:v>
      </x:c>
      <x:c r="C292" s="19" t="str">
        <x:v>中</x:v>
      </x:c>
      <x:c r="D292" s="19" t="str">
        <x:v>Jul 2026</x:v>
      </x:c>
      <x:c r="E292" s="19" t="n">
        <x:v>91</x:v>
      </x:c>
      <x:c r="F292" s="19" t="str">
        <x:v>relay.app</x:v>
      </x:c>
      <x:c r="G292" s="19" t="str">
        <x:v>Computers Electronics and Technology</x:v>
      </x:c>
      <x:c r="H292" s="19" t="str">
        <x:v>通用数字产品与技术服务</x:v>
      </x:c>
      <x:c r="I292" s="19" t="str">
        <x:v>Similarweb 行业映射</x:v>
      </x:c>
      <x:c r="J292" s="19" t="n">
        <x:v>182862</x:v>
      </x:c>
      <x:c r="K292" s="20" t="n">
        <x:v>0.0011</x:v>
      </x:c>
      <x:c r="L292" s="19" t="str">
        <x:v>新出现</x:v>
      </x:c>
      <x:c r="M292" s="20"/>
      <x:c r="N292" s="21" t="n">
        <x:v>295624</x:v>
      </x:c>
      <x:c r="O292" s="21" t="n">
        <x:v>325</x:v>
      </x:c>
      <x:c r="P292" s="21" t="n">
        <x:f>ROUND(N292*K292,0)</x:f>
        <x:v>325</x:v>
      </x:c>
      <x:c r="Q292" s="19" t="str">
        <x:v>否</x:v>
      </x:c>
      <x:c r="R292" s="19" t="str"/>
      <x:c r="S292" s="19" t="n">
        <x:f>IF(Q292="是",0,MIN(10,2+IF(C292="高",2,1)+IF(K292&gt;=3%,3,IF(K292&gt;=1%,2,1))+IF(L292="新出现",2,IF(M292&gt;=100%,3,IF(M292&gt;0,2,0)))))</x:f>
        <x:v>6</x:v>
      </x:c>
      <x:c r="T292" s="21"/>
      <x:c r="U292" s="20"/>
      <x:c r="V292" s="19" t="str">
        <x:v>http://relay.app/</x:v>
      </x:c>
      <x:c r="W292" s="19" t="str">
        <x:v>https://pro.similarweb.com/#/digitalsuite/websiteanalysis/referrals/*/999/1m?webSource=Total&amp;selectedTab=incomingTraffic&amp;key=paddle.com</x:v>
      </x:c>
      <x:c r="X292" s="20" t="n">
        <x:f>IF(Q292="是",0,IFERROR(P292/SUMIFS($P$2:$P$964,$A$2:$A$964,A292,$Q$2:$Q$964,"否"),0))</x:f>
        <x:v>0.002140608327954369</x:v>
      </x:c>
      <x:c r="Y292" s="22" t="str">
        <x:f>IF(OR(M292="",U292=""),"未交叉",IF(M292*U292&gt;0,"同向",IF(M292*U292&lt;0,"背离","一侧持平")))</x:f>
        <x:v>未交叉</x:v>
      </x:c>
    </x:row>
    <x:row r="293">
      <x:c r="A293" s="18" t="str">
        <x:v>paddle.com</x:v>
      </x:c>
      <x:c r="B293" s="19" t="str">
        <x:v>支付商主域（混合流量）</x:v>
      </x:c>
      <x:c r="C293" s="19" t="str">
        <x:v>中</x:v>
      </x:c>
      <x:c r="D293" s="19" t="str">
        <x:v>Jul 2026</x:v>
      </x:c>
      <x:c r="E293" s="19" t="n">
        <x:v>92</x:v>
      </x:c>
      <x:c r="F293" s="19" t="str">
        <x:v>duos.gankster.gg</x:v>
      </x:c>
      <x:c r="G293" s="19" t="str">
        <x:v>Video Games Consoles and Accessories</x:v>
      </x:c>
      <x:c r="H293" s="19" t="str">
        <x:v>游戏、数字商品与虚拟内容</x:v>
      </x:c>
      <x:c r="I293" s="19" t="str">
        <x:v>Similarweb 行业映射</x:v>
      </x:c>
      <x:c r="J293" s="19"/>
      <x:c r="K293" s="20" t="n">
        <x:v>0.001</x:v>
      </x:c>
      <x:c r="L293" s="19" t="str">
        <x:v>上升</x:v>
      </x:c>
      <x:c r="M293" s="20" t="n">
        <x:v>6.8071</x:v>
      </x:c>
      <x:c r="N293" s="21" t="n">
        <x:v>295624</x:v>
      </x:c>
      <x:c r="O293" s="21" t="n">
        <x:v>296</x:v>
      </x:c>
      <x:c r="P293" s="21" t="n">
        <x:f>ROUND(N293*K293,0)</x:f>
        <x:v>296</x:v>
      </x:c>
      <x:c r="Q293" s="19" t="str">
        <x:v>否</x:v>
      </x:c>
      <x:c r="R293" s="19" t="str"/>
      <x:c r="S293" s="19" t="n">
        <x:f>IF(Q293="是",0,MIN(10,2+IF(C293="高",2,1)+IF(K293&gt;=3%,3,IF(K293&gt;=1%,2,1))+IF(L293="新出现",2,IF(M293&gt;=100%,3,IF(M293&gt;0,2,0)))))</x:f>
        <x:v>7</x:v>
      </x:c>
      <x:c r="T293" s="21"/>
      <x:c r="U293" s="20"/>
      <x:c r="V293" s="19" t="str">
        <x:v>http://duos.gankster.gg/</x:v>
      </x:c>
      <x:c r="W293" s="19" t="str">
        <x:v>https://pro.similarweb.com/#/digitalsuite/websiteanalysis/referrals/*/999/1m?webSource=Total&amp;selectedTab=incomingTraffic&amp;key=paddle.com</x:v>
      </x:c>
      <x:c r="X293" s="20" t="n">
        <x:f>IF(Q293="是",0,IFERROR(P293/SUMIFS($P$2:$P$964,$A$2:$A$964,A293,$Q$2:$Q$964,"否"),0))</x:f>
        <x:v>0.0019496002002292098</x:v>
      </x:c>
      <x:c r="Y293" s="22" t="str">
        <x:f>IF(OR(M293="",U293=""),"未交叉",IF(M293*U293&gt;0,"同向",IF(M293*U293&lt;0,"背离","一侧持平")))</x:f>
        <x:v>未交叉</x:v>
      </x:c>
    </x:row>
    <x:row r="294">
      <x:c r="A294" s="18" t="str">
        <x:v>paddle.com</x:v>
      </x:c>
      <x:c r="B294" s="19" t="str">
        <x:v>支付商主域（混合流量）</x:v>
      </x:c>
      <x:c r="C294" s="19" t="str">
        <x:v>中</x:v>
      </x:c>
      <x:c r="D294" s="19" t="str">
        <x:v>Jul 2026</x:v>
      </x:c>
      <x:c r="E294" s="19" t="n">
        <x:v>93</x:v>
      </x:c>
      <x:c r="F294" s="19" t="str">
        <x:v>auth.omniapp.co</x:v>
      </x:c>
      <x:c r="G294" s="19" t="str">
        <x:v>Programming and Developer Software</x:v>
      </x:c>
      <x:c r="H294" s="19" t="str">
        <x:v>开发者工具与互联网基础设施</x:v>
      </x:c>
      <x:c r="I294" s="19" t="str">
        <x:v>Similarweb 行业映射</x:v>
      </x:c>
      <x:c r="J294" s="19"/>
      <x:c r="K294" s="20" t="n">
        <x:v>0.001</x:v>
      </x:c>
      <x:c r="L294" s="19" t="str">
        <x:v>下降</x:v>
      </x:c>
      <x:c r="M294" s="20" t="n">
        <x:v>-0.8119</x:v>
      </x:c>
      <x:c r="N294" s="21" t="n">
        <x:v>295624</x:v>
      </x:c>
      <x:c r="O294" s="21" t="n">
        <x:v>296</x:v>
      </x:c>
      <x:c r="P294" s="21" t="n">
        <x:f>ROUND(N294*K294,0)</x:f>
        <x:v>296</x:v>
      </x:c>
      <x:c r="Q294" s="19" t="str">
        <x:v>否</x:v>
      </x:c>
      <x:c r="R294" s="19" t="str"/>
      <x:c r="S294" s="19" t="n">
        <x:f>IF(Q294="是",0,MIN(10,2+IF(C294="高",2,1)+IF(K294&gt;=3%,3,IF(K294&gt;=1%,2,1))+IF(L294="新出现",2,IF(M294&gt;=100%,3,IF(M294&gt;0,2,0)))))</x:f>
        <x:v>4</x:v>
      </x:c>
      <x:c r="T294" s="21"/>
      <x:c r="U294" s="20"/>
      <x:c r="V294" s="19" t="str">
        <x:v>http://auth.omniapp.co/</x:v>
      </x:c>
      <x:c r="W294" s="19" t="str">
        <x:v>https://pro.similarweb.com/#/digitalsuite/websiteanalysis/referrals/*/999/1m?webSource=Total&amp;selectedTab=incomingTraffic&amp;key=paddle.com</x:v>
      </x:c>
      <x:c r="X294" s="20" t="n">
        <x:f>IF(Q294="是",0,IFERROR(P294/SUMIFS($P$2:$P$964,$A$2:$A$964,A294,$Q$2:$Q$964,"否"),0))</x:f>
        <x:v>0.0019496002002292098</x:v>
      </x:c>
      <x:c r="Y294" s="22" t="str">
        <x:f>IF(OR(M294="",U294=""),"未交叉",IF(M294*U294&gt;0,"同向",IF(M294*U294&lt;0,"背离","一侧持平")))</x:f>
        <x:v>未交叉</x:v>
      </x:c>
    </x:row>
    <x:row r="295">
      <x:c r="A295" s="18" t="str">
        <x:v>paddle.com</x:v>
      </x:c>
      <x:c r="B295" s="19" t="str">
        <x:v>支付商主域（混合流量）</x:v>
      </x:c>
      <x:c r="C295" s="19" t="str">
        <x:v>中</x:v>
      </x:c>
      <x:c r="D295" s="19" t="str">
        <x:v>Jul 2026</x:v>
      </x:c>
      <x:c r="E295" s="19" t="n">
        <x:v>94</x:v>
      </x:c>
      <x:c r="F295" s="19" t="str">
        <x:v>users.nexusmods.com</x:v>
      </x:c>
      <x:c r="G295" s="19" t="str">
        <x:v>Games</x:v>
      </x:c>
      <x:c r="H295" s="19" t="str">
        <x:v>游戏、数字商品与虚拟内容</x:v>
      </x:c>
      <x:c r="I295" s="19" t="str">
        <x:v>Similarweb 行业映射</x:v>
      </x:c>
      <x:c r="J295" s="19"/>
      <x:c r="K295" s="20" t="n">
        <x:v>0.0009</x:v>
      </x:c>
      <x:c r="L295" s="19" t="str">
        <x:v>上升</x:v>
      </x:c>
      <x:c r="M295" s="20" t="n">
        <x:v>4.0588</x:v>
      </x:c>
      <x:c r="N295" s="21" t="n">
        <x:v>295624</x:v>
      </x:c>
      <x:c r="O295" s="21" t="n">
        <x:v>266</x:v>
      </x:c>
      <x:c r="P295" s="21" t="n">
        <x:f>ROUND(N295*K295,0)</x:f>
        <x:v>266</x:v>
      </x:c>
      <x:c r="Q295" s="19" t="str">
        <x:v>否</x:v>
      </x:c>
      <x:c r="R295" s="19" t="str"/>
      <x:c r="S295" s="19" t="n">
        <x:f>IF(Q295="是",0,MIN(10,2+IF(C295="高",2,1)+IF(K295&gt;=3%,3,IF(K295&gt;=1%,2,1))+IF(L295="新出现",2,IF(M295&gt;=100%,3,IF(M295&gt;0,2,0)))))</x:f>
        <x:v>7</x:v>
      </x:c>
      <x:c r="T295" s="21"/>
      <x:c r="U295" s="20"/>
      <x:c r="V295" s="19" t="str">
        <x:v>http://users.nexusmods.com/</x:v>
      </x:c>
      <x:c r="W295" s="19" t="str">
        <x:v>https://pro.similarweb.com/#/digitalsuite/websiteanalysis/referrals/*/999/1m?webSource=Total&amp;selectedTab=incomingTraffic&amp;key=paddle.com</x:v>
      </x:c>
      <x:c r="X295" s="20" t="n">
        <x:f>IF(Q295="是",0,IFERROR(P295/SUMIFS($P$2:$P$964,$A$2:$A$964,A295,$Q$2:$Q$964,"否"),0))</x:f>
        <x:v>0.0017520055853411142</x:v>
      </x:c>
      <x:c r="Y295" s="22" t="str">
        <x:f>IF(OR(M295="",U295=""),"未交叉",IF(M295*U295&gt;0,"同向",IF(M295*U295&lt;0,"背离","一侧持平")))</x:f>
        <x:v>未交叉</x:v>
      </x:c>
    </x:row>
    <x:row r="296">
      <x:c r="A296" s="18" t="str">
        <x:v>paddle.com</x:v>
      </x:c>
      <x:c r="B296" s="19" t="str">
        <x:v>支付商主域（混合流量）</x:v>
      </x:c>
      <x:c r="C296" s="19" t="str">
        <x:v>中</x:v>
      </x:c>
      <x:c r="D296" s="19" t="str">
        <x:v>Jul 2026</x:v>
      </x:c>
      <x:c r="E296" s="19" t="n">
        <x:v>95</x:v>
      </x:c>
      <x:c r="F296" s="19" t="str">
        <x:v>replyzen.ai</x:v>
      </x:c>
      <x:c r="G296" s="19" t="str">
        <x:v>Unknown</x:v>
      </x:c>
      <x:c r="H296" s="19" t="str">
        <x:v>AI 工具与应用（未细分）</x:v>
      </x:c>
      <x:c r="I296" s="19" t="str">
        <x:v>域名后缀启发式</x:v>
      </x:c>
      <x:c r="J296" s="19" t="n">
        <x:v>1885561</x:v>
      </x:c>
      <x:c r="K296" s="20" t="n">
        <x:v>0.0009</x:v>
      </x:c>
      <x:c r="L296" s="19" t="str">
        <x:v>下降</x:v>
      </x:c>
      <x:c r="M296" s="20" t="n">
        <x:v>-0.2686</x:v>
      </x:c>
      <x:c r="N296" s="21" t="n">
        <x:v>295624</x:v>
      </x:c>
      <x:c r="O296" s="21" t="n">
        <x:v>266</x:v>
      </x:c>
      <x:c r="P296" s="21" t="n">
        <x:f>ROUND(N296*K296,0)</x:f>
        <x:v>266</x:v>
      </x:c>
      <x:c r="Q296" s="19" t="str">
        <x:v>否</x:v>
      </x:c>
      <x:c r="R296" s="19" t="str"/>
      <x:c r="S296" s="19" t="n">
        <x:f>IF(Q296="是",0,MIN(10,2+IF(C296="高",2,1)+IF(K296&gt;=3%,3,IF(K296&gt;=1%,2,1))+IF(L296="新出现",2,IF(M296&gt;=100%,3,IF(M296&gt;0,2,0)))))</x:f>
        <x:v>4</x:v>
      </x:c>
      <x:c r="T296" s="21"/>
      <x:c r="U296" s="20"/>
      <x:c r="V296" s="19" t="str">
        <x:v>http://replyzen.ai/</x:v>
      </x:c>
      <x:c r="W296" s="19" t="str">
        <x:v>https://pro.similarweb.com/#/digitalsuite/websiteanalysis/referrals/*/999/1m?webSource=Total&amp;selectedTab=incomingTraffic&amp;key=paddle.com</x:v>
      </x:c>
      <x:c r="X296" s="20" t="n">
        <x:f>IF(Q296="是",0,IFERROR(P296/SUMIFS($P$2:$P$964,$A$2:$A$964,A296,$Q$2:$Q$964,"否"),0))</x:f>
        <x:v>0.0017520055853411142</x:v>
      </x:c>
      <x:c r="Y296" s="22" t="str">
        <x:f>IF(OR(M296="",U296=""),"未交叉",IF(M296*U296&gt;0,"同向",IF(M296*U296&lt;0,"背离","一侧持平")))</x:f>
        <x:v>未交叉</x:v>
      </x:c>
    </x:row>
    <x:row r="297">
      <x:c r="A297" s="18" t="str">
        <x:v>paddle.com</x:v>
      </x:c>
      <x:c r="B297" s="19" t="str">
        <x:v>支付商主域（混合流量）</x:v>
      </x:c>
      <x:c r="C297" s="19" t="str">
        <x:v>中</x:v>
      </x:c>
      <x:c r="D297" s="19" t="str">
        <x:v>Jul 2026</x:v>
      </x:c>
      <x:c r="E297" s="19" t="n">
        <x:v>96</x:v>
      </x:c>
      <x:c r="F297" s="19" t="str">
        <x:v>app.grid-and-go.com</x:v>
      </x:c>
      <x:c r="G297" s="19" t="str">
        <x:v>Video Games Consoles and Accessories</x:v>
      </x:c>
      <x:c r="H297" s="19" t="str">
        <x:v>游戏、数字商品与虚拟内容</x:v>
      </x:c>
      <x:c r="I297" s="19" t="str">
        <x:v>Similarweb 行业映射</x:v>
      </x:c>
      <x:c r="J297" s="19"/>
      <x:c r="K297" s="20" t="n">
        <x:v>0.0009</x:v>
      </x:c>
      <x:c r="L297" s="19" t="str">
        <x:v>上升</x:v>
      </x:c>
      <x:c r="M297" s="20" t="n">
        <x:v>0.406</x:v>
      </x:c>
      <x:c r="N297" s="21" t="n">
        <x:v>295624</x:v>
      </x:c>
      <x:c r="O297" s="21" t="n">
        <x:v>266</x:v>
      </x:c>
      <x:c r="P297" s="21" t="n">
        <x:f>ROUND(N297*K297,0)</x:f>
        <x:v>266</x:v>
      </x:c>
      <x:c r="Q297" s="19" t="str">
        <x:v>否</x:v>
      </x:c>
      <x:c r="R297" s="19" t="str"/>
      <x:c r="S297" s="19" t="n">
        <x:f>IF(Q297="是",0,MIN(10,2+IF(C297="高",2,1)+IF(K297&gt;=3%,3,IF(K297&gt;=1%,2,1))+IF(L297="新出现",2,IF(M297&gt;=100%,3,IF(M297&gt;0,2,0)))))</x:f>
        <x:v>6</x:v>
      </x:c>
      <x:c r="T297" s="21"/>
      <x:c r="U297" s="20"/>
      <x:c r="V297" s="19" t="str">
        <x:v>http://app.grid-and-go.com/</x:v>
      </x:c>
      <x:c r="W297" s="19" t="str">
        <x:v>https://pro.similarweb.com/#/digitalsuite/websiteanalysis/referrals/*/999/1m?webSource=Total&amp;selectedTab=incomingTraffic&amp;key=paddle.com</x:v>
      </x:c>
      <x:c r="X297" s="20" t="n">
        <x:f>IF(Q297="是",0,IFERROR(P297/SUMIFS($P$2:$P$964,$A$2:$A$964,A297,$Q$2:$Q$964,"否"),0))</x:f>
        <x:v>0.0017520055853411142</x:v>
      </x:c>
      <x:c r="Y297" s="22" t="str">
        <x:f>IF(OR(M297="",U297=""),"未交叉",IF(M297*U297&gt;0,"同向",IF(M297*U297&lt;0,"背离","一侧持平")))</x:f>
        <x:v>未交叉</x:v>
      </x:c>
    </x:row>
    <x:row r="298">
      <x:c r="A298" s="18" t="str">
        <x:v>paddle.com</x:v>
      </x:c>
      <x:c r="B298" s="19" t="str">
        <x:v>支付商主域（混合流量）</x:v>
      </x:c>
      <x:c r="C298" s="19" t="str">
        <x:v>中</x:v>
      </x:c>
      <x:c r="D298" s="19" t="str">
        <x:v>Jul 2026</x:v>
      </x:c>
      <x:c r="E298" s="19" t="n">
        <x:v>97</x:v>
      </x:c>
      <x:c r="F298" s="19" t="str">
        <x:v>semrush.com</x:v>
      </x:c>
      <x:c r="G298" s="19" t="str">
        <x:v>Online Marketing</x:v>
      </x:c>
      <x:c r="H298" s="19" t="str">
        <x:v>营销、生产力与商业服务</x:v>
      </x:c>
      <x:c r="I298" s="19" t="str">
        <x:v>Similarweb 行业映射</x:v>
      </x:c>
      <x:c r="J298" s="19" t="n">
        <x:v>4016</x:v>
      </x:c>
      <x:c r="K298" s="20" t="n">
        <x:v>0.0009</x:v>
      </x:c>
      <x:c r="L298" s="19" t="str">
        <x:v>新出现</x:v>
      </x:c>
      <x:c r="M298" s="20"/>
      <x:c r="N298" s="21" t="n">
        <x:v>295624</x:v>
      </x:c>
      <x:c r="O298" s="21" t="n">
        <x:v>266</x:v>
      </x:c>
      <x:c r="P298" s="21" t="n">
        <x:f>ROUND(N298*K298,0)</x:f>
        <x:v>266</x:v>
      </x:c>
      <x:c r="Q298" s="19" t="str">
        <x:v>否</x:v>
      </x:c>
      <x:c r="R298" s="19" t="str"/>
      <x:c r="S298" s="19" t="n">
        <x:f>IF(Q298="是",0,MIN(10,2+IF(C298="高",2,1)+IF(K298&gt;=3%,3,IF(K298&gt;=1%,2,1))+IF(L298="新出现",2,IF(M298&gt;=100%,3,IF(M298&gt;0,2,0)))))</x:f>
        <x:v>6</x:v>
      </x:c>
      <x:c r="T298" s="21"/>
      <x:c r="U298" s="20"/>
      <x:c r="V298" s="19" t="str">
        <x:v>http://semrush.com/</x:v>
      </x:c>
      <x:c r="W298" s="19" t="str">
        <x:v>https://pro.similarweb.com/#/digitalsuite/websiteanalysis/referrals/*/999/1m?webSource=Total&amp;selectedTab=incomingTraffic&amp;key=paddle.com</x:v>
      </x:c>
      <x:c r="X298" s="20" t="n">
        <x:f>IF(Q298="是",0,IFERROR(P298/SUMIFS($P$2:$P$964,$A$2:$A$964,A298,$Q$2:$Q$964,"否"),0))</x:f>
        <x:v>0.0017520055853411142</x:v>
      </x:c>
      <x:c r="Y298" s="22" t="str">
        <x:f>IF(OR(M298="",U298=""),"未交叉",IF(M298*U298&gt;0,"同向",IF(M298*U298&lt;0,"背离","一侧持平")))</x:f>
        <x:v>未交叉</x:v>
      </x:c>
    </x:row>
    <x:row r="299">
      <x:c r="A299" s="18" t="str">
        <x:v>paddle.com</x:v>
      </x:c>
      <x:c r="B299" s="19" t="str">
        <x:v>支付商主域（混合流量）</x:v>
      </x:c>
      <x:c r="C299" s="19" t="str">
        <x:v>中</x:v>
      </x:c>
      <x:c r="D299" s="19" t="str">
        <x:v>Jul 2026</x:v>
      </x:c>
      <x:c r="E299" s="19" t="n">
        <x:v>98</x:v>
      </x:c>
      <x:c r="F299" s="19" t="str">
        <x:v>hubspot.com</x:v>
      </x:c>
      <x:c r="G299" s="19" t="str">
        <x:v>Online Marketing</x:v>
      </x:c>
      <x:c r="H299" s="19" t="str">
        <x:v>营销、生产力与商业服务</x:v>
      </x:c>
      <x:c r="I299" s="19" t="str">
        <x:v>Similarweb 行业映射</x:v>
      </x:c>
      <x:c r="J299" s="19" t="n">
        <x:v>603</x:v>
      </x:c>
      <x:c r="K299" s="20" t="n">
        <x:v>0.0008</x:v>
      </x:c>
      <x:c r="L299" s="19" t="str">
        <x:v>上升</x:v>
      </x:c>
      <x:c r="M299" s="20" t="n">
        <x:v>0.40259999999999996</x:v>
      </x:c>
      <x:c r="N299" s="21" t="n">
        <x:v>295624</x:v>
      </x:c>
      <x:c r="O299" s="21" t="n">
        <x:v>236</x:v>
      </x:c>
      <x:c r="P299" s="21" t="n">
        <x:f>ROUND(N299*K299,0)</x:f>
        <x:v>236</x:v>
      </x:c>
      <x:c r="Q299" s="19" t="str">
        <x:v>否</x:v>
      </x:c>
      <x:c r="R299" s="19" t="str"/>
      <x:c r="S299" s="19" t="n">
        <x:f>IF(Q299="是",0,MIN(10,2+IF(C299="高",2,1)+IF(K299&gt;=3%,3,IF(K299&gt;=1%,2,1))+IF(L299="新出现",2,IF(M299&gt;=100%,3,IF(M299&gt;0,2,0)))))</x:f>
        <x:v>6</x:v>
      </x:c>
      <x:c r="T299" s="21"/>
      <x:c r="U299" s="20"/>
      <x:c r="V299" s="19" t="str">
        <x:v>http://hubspot.com/</x:v>
      </x:c>
      <x:c r="W299" s="19" t="str">
        <x:v>https://pro.similarweb.com/#/digitalsuite/websiteanalysis/referrals/*/999/1m?webSource=Total&amp;selectedTab=incomingTraffic&amp;key=paddle.com</x:v>
      </x:c>
      <x:c r="X299" s="20" t="n">
        <x:f>IF(Q299="是",0,IFERROR(P299/SUMIFS($P$2:$P$964,$A$2:$A$964,A299,$Q$2:$Q$964,"否"),0))</x:f>
        <x:v>0.0015544109704530185</x:v>
      </x:c>
      <x:c r="Y299" s="22" t="str">
        <x:f>IF(OR(M299="",U299=""),"未交叉",IF(M299*U299&gt;0,"同向",IF(M299*U299&lt;0,"背离","一侧持平")))</x:f>
        <x:v>未交叉</x:v>
      </x:c>
    </x:row>
    <x:row r="300">
      <x:c r="A300" s="18" t="str">
        <x:v>paddle.com</x:v>
      </x:c>
      <x:c r="B300" s="19" t="str">
        <x:v>支付商主域（混合流量）</x:v>
      </x:c>
      <x:c r="C300" s="19" t="str">
        <x:v>中</x:v>
      </x:c>
      <x:c r="D300" s="19" t="str">
        <x:v>Jul 2026</x:v>
      </x:c>
      <x:c r="E300" s="19" t="n">
        <x:v>99</x:v>
      </x:c>
      <x:c r="F300" s="19" t="str">
        <x:v>web.goodnotes.com</x:v>
      </x:c>
      <x:c r="G300" s="19" t="str">
        <x:v>Math</x:v>
      </x:c>
      <x:c r="H300" s="19" t="str">
        <x:v>其他/待核查</x:v>
      </x:c>
      <x:c r="I300" s="19" t="str">
        <x:v>保守归类</x:v>
      </x:c>
      <x:c r="J300" s="19"/>
      <x:c r="K300" s="20" t="n">
        <x:v>0.0008</x:v>
      </x:c>
      <x:c r="L300" s="19" t="str">
        <x:v>上升</x:v>
      </x:c>
      <x:c r="M300" s="20" t="n">
        <x:v>3.908</x:v>
      </x:c>
      <x:c r="N300" s="21" t="n">
        <x:v>295624</x:v>
      </x:c>
      <x:c r="O300" s="21" t="n">
        <x:v>236</x:v>
      </x:c>
      <x:c r="P300" s="21" t="n">
        <x:f>ROUND(N300*K300,0)</x:f>
        <x:v>236</x:v>
      </x:c>
      <x:c r="Q300" s="19" t="str">
        <x:v>否</x:v>
      </x:c>
      <x:c r="R300" s="19" t="str"/>
      <x:c r="S300" s="19" t="n">
        <x:f>IF(Q300="是",0,MIN(10,2+IF(C300="高",2,1)+IF(K300&gt;=3%,3,IF(K300&gt;=1%,2,1))+IF(L300="新出现",2,IF(M300&gt;=100%,3,IF(M300&gt;0,2,0)))))</x:f>
        <x:v>7</x:v>
      </x:c>
      <x:c r="T300" s="21"/>
      <x:c r="U300" s="20"/>
      <x:c r="V300" s="19" t="str">
        <x:v>http://web.goodnotes.com/</x:v>
      </x:c>
      <x:c r="W300" s="19" t="str">
        <x:v>https://pro.similarweb.com/#/digitalsuite/websiteanalysis/referrals/*/999/1m?webSource=Total&amp;selectedTab=incomingTraffic&amp;key=paddle.com</x:v>
      </x:c>
      <x:c r="X300" s="20" t="n">
        <x:f>IF(Q300="是",0,IFERROR(P300/SUMIFS($P$2:$P$964,$A$2:$A$964,A300,$Q$2:$Q$964,"否"),0))</x:f>
        <x:v>0.0015544109704530185</x:v>
      </x:c>
      <x:c r="Y300" s="22" t="str">
        <x:f>IF(OR(M300="",U300=""),"未交叉",IF(M300*U300&gt;0,"同向",IF(M300*U300&lt;0,"背离","一侧持平")))</x:f>
        <x:v>未交叉</x:v>
      </x:c>
    </x:row>
    <x:row r="301">
      <x:c r="A301" s="18" t="str">
        <x:v>paddle.com</x:v>
      </x:c>
      <x:c r="B301" s="19" t="str">
        <x:v>支付商主域（混合流量）</x:v>
      </x:c>
      <x:c r="C301" s="19" t="str">
        <x:v>中</x:v>
      </x:c>
      <x:c r="D301" s="19" t="str">
        <x:v>Jul 2026</x:v>
      </x:c>
      <x:c r="E301" s="19" t="n">
        <x:v>100</x:v>
      </x:c>
      <x:c r="F301" s="19" t="str">
        <x:v>devstorm-apps.com</x:v>
      </x:c>
      <x:c r="G301" s="19" t="str">
        <x:v>Programming and Developer Software</x:v>
      </x:c>
      <x:c r="H301" s="19" t="str">
        <x:v>开发者工具与互联网基础设施</x:v>
      </x:c>
      <x:c r="I301" s="19" t="str">
        <x:v>Similarweb 行业映射</x:v>
      </x:c>
      <x:c r="J301" s="19" t="n">
        <x:v>6343047</x:v>
      </x:c>
      <x:c r="K301" s="20" t="n">
        <x:v>0.0008</x:v>
      </x:c>
      <x:c r="L301" s="19" t="str">
        <x:v>新出现</x:v>
      </x:c>
      <x:c r="M301" s="20"/>
      <x:c r="N301" s="21" t="n">
        <x:v>295624</x:v>
      </x:c>
      <x:c r="O301" s="21" t="n">
        <x:v>236</x:v>
      </x:c>
      <x:c r="P301" s="21" t="n">
        <x:f>ROUND(N301*K301,0)</x:f>
        <x:v>236</x:v>
      </x:c>
      <x:c r="Q301" s="19" t="str">
        <x:v>否</x:v>
      </x:c>
      <x:c r="R301" s="19" t="str"/>
      <x:c r="S301" s="19" t="n">
        <x:f>IF(Q301="是",0,MIN(10,2+IF(C301="高",2,1)+IF(K301&gt;=3%,3,IF(K301&gt;=1%,2,1))+IF(L301="新出现",2,IF(M301&gt;=100%,3,IF(M301&gt;0,2,0)))))</x:f>
        <x:v>6</x:v>
      </x:c>
      <x:c r="T301" s="21"/>
      <x:c r="U301" s="20"/>
      <x:c r="V301" s="19" t="str">
        <x:v>http://devstorm-apps.com/</x:v>
      </x:c>
      <x:c r="W301" s="19" t="str">
        <x:v>https://pro.similarweb.com/#/digitalsuite/websiteanalysis/referrals/*/999/1m?webSource=Total&amp;selectedTab=incomingTraffic&amp;key=paddle.com</x:v>
      </x:c>
      <x:c r="X301" s="20" t="n">
        <x:f>IF(Q301="是",0,IFERROR(P301/SUMIFS($P$2:$P$964,$A$2:$A$964,A301,$Q$2:$Q$964,"否"),0))</x:f>
        <x:v>0.0015544109704530185</x:v>
      </x:c>
      <x:c r="Y301" s="22" t="str">
        <x:f>IF(OR(M301="",U301=""),"未交叉",IF(M301*U301&gt;0,"同向",IF(M301*U301&lt;0,"背离","一侧持平")))</x:f>
        <x:v>未交叉</x:v>
      </x:c>
    </x:row>
    <x:row r="302">
      <x:c r="A302" s="18" t="str">
        <x:v>creem.io</x:v>
      </x:c>
      <x:c r="B302" s="19" t="str">
        <x:v>支付商主域（混合流量）</x:v>
      </x:c>
      <x:c r="C302" s="19" t="str">
        <x:v>中</x:v>
      </x:c>
      <x:c r="D302" s="19" t="str">
        <x:v>Jul 2026</x:v>
      </x:c>
      <x:c r="E302" s="19" t="n">
        <x:v>1</x:v>
      </x:c>
      <x:c r="F302" s="19" t="str">
        <x:v>Referral</x:v>
      </x:c>
      <x:c r="G302" s="19" t="str">
        <x:v>Unknown</x:v>
      </x:c>
      <x:c r="H302" s="19" t="str">
        <x:v>其他/待核查</x:v>
      </x:c>
      <x:c r="I302" s="19" t="str">
        <x:v>Similarweb 未分类</x:v>
      </x:c>
      <x:c r="J302" s="19"/>
      <x:c r="K302" s="20" t="n">
        <x:v>0.47850000000000004</x:v>
      </x:c>
      <x:c r="L302" s="19" t="str">
        <x:v>上升</x:v>
      </x:c>
      <x:c r="M302" s="20" t="n">
        <x:v>0.1449</x:v>
      </x:c>
      <x:c r="N302" s="21" t="n">
        <x:v>52307</x:v>
      </x:c>
      <x:c r="O302" s="21" t="n">
        <x:v>25029</x:v>
      </x:c>
      <x:c r="P302" s="21" t="n">
        <x:f>ROUND(N302*K302,0)</x:f>
        <x:v>25029</x:v>
      </x:c>
      <x:c r="Q302" s="19" t="str">
        <x:v>是</x:v>
      </x:c>
      <x:c r="R302" s="19" t="str">
        <x:v>无效/聚合标签</x:v>
      </x:c>
      <x:c r="S302" s="19" t="n">
        <x:f>IF(Q302="是",0,MIN(10,2+IF(C302="高",2,1)+IF(K302&gt;=3%,3,IF(K302&gt;=1%,2,1))+IF(L302="新出现",2,IF(M302&gt;=100%,3,IF(M302&gt;0,2,0)))))</x:f>
        <x:v>0</x:v>
      </x:c>
      <x:c r="T302" s="21"/>
      <x:c r="U302" s="20"/>
      <x:c r="V302" s="19" t="str">
        <x:v>http://referral/</x:v>
      </x:c>
      <x:c r="W302" s="19" t="str">
        <x:v>https://pro.similarweb.com/#/digitalsuite/websiteanalysis/referrals/*/999/1m?webSource=Total&amp;selectedTab=incomingTraffic&amp;key=creem.io</x:v>
      </x:c>
      <x:c r="X302" s="20" t="n">
        <x:f>IF(Q302="是",0,IFERROR(P302/SUMIFS($P$2:$P$964,$A$2:$A$964,A302,$Q$2:$Q$964,"否"),0))</x:f>
        <x:v>0</x:v>
      </x:c>
      <x:c r="Y302" s="22" t="str">
        <x:f>IF(OR(M302="",U302=""),"未交叉",IF(M302*U302&gt;0,"同向",IF(M302*U302&lt;0,"背离","一侧持平")))</x:f>
        <x:v>未交叉</x:v>
      </x:c>
    </x:row>
    <x:row r="303">
      <x:c r="A303" s="18" t="str">
        <x:v>creem.io</x:v>
      </x:c>
      <x:c r="B303" s="19" t="str">
        <x:v>支付商主域（混合流量）</x:v>
      </x:c>
      <x:c r="C303" s="19" t="str">
        <x:v>中</x:v>
      </x:c>
      <x:c r="D303" s="19" t="str">
        <x:v>Jul 2026</x:v>
      </x:c>
      <x:c r="E303" s="19" t="n">
        <x:v>2</x:v>
      </x:c>
      <x:c r="F303" s="19" t="str">
        <x:v>daisyui.com</x:v>
      </x:c>
      <x:c r="G303" s="19" t="str">
        <x:v>Graphics Multimedia and Web Design</x:v>
      </x:c>
      <x:c r="H303" s="19" t="str">
        <x:v>创作者资产、模板与设计工具</x:v>
      </x:c>
      <x:c r="I303" s="19" t="str">
        <x:v>域名人工识别</x:v>
      </x:c>
      <x:c r="J303" s="19" t="n">
        <x:v>97689</x:v>
      </x:c>
      <x:c r="K303" s="20" t="n">
        <x:v>0.1204</x:v>
      </x:c>
      <x:c r="L303" s="19" t="str">
        <x:v>上升</x:v>
      </x:c>
      <x:c r="M303" s="20" t="n">
        <x:v>0.8684000000000001</x:v>
      </x:c>
      <x:c r="N303" s="21" t="n">
        <x:v>52307</x:v>
      </x:c>
      <x:c r="O303" s="21" t="n">
        <x:v>6298</x:v>
      </x:c>
      <x:c r="P303" s="21" t="n">
        <x:f>ROUND(N303*K303,0)</x:f>
        <x:v>6298</x:v>
      </x:c>
      <x:c r="Q303" s="19" t="str">
        <x:v>否</x:v>
      </x:c>
      <x:c r="R303" s="19" t="str"/>
      <x:c r="S303" s="19" t="n">
        <x:f>IF(Q303="是",0,MIN(10,2+IF(C303="高",2,1)+IF(K303&gt;=3%,3,IF(K303&gt;=1%,2,1))+IF(L303="新出现",2,IF(M303&gt;=100%,3,IF(M303&gt;0,2,0)))))</x:f>
        <x:v>8</x:v>
      </x:c>
      <x:c r="T303" s="21"/>
      <x:c r="U303" s="20"/>
      <x:c r="V303" s="19" t="str">
        <x:v>http://daisyui.com/</x:v>
      </x:c>
      <x:c r="W303" s="19" t="str">
        <x:v>https://pro.similarweb.com/#/digitalsuite/websiteanalysis/referrals/*/999/1m?webSource=Total&amp;selectedTab=incomingTraffic&amp;key=creem.io</x:v>
      </x:c>
      <x:c r="X303" s="20" t="n">
        <x:f>IF(Q303="是",0,IFERROR(P303/SUMIFS($P$2:$P$964,$A$2:$A$964,A303,$Q$2:$Q$964,"否"),0))</x:f>
        <x:v>0.2310005868544601</x:v>
      </x:c>
      <x:c r="Y303" s="22" t="str">
        <x:f>IF(OR(M303="",U303=""),"未交叉",IF(M303*U303&gt;0,"同向",IF(M303*U303&lt;0,"背离","一侧持平")))</x:f>
        <x:v>未交叉</x:v>
      </x:c>
    </x:row>
    <x:row r="304">
      <x:c r="A304" s="18" t="str">
        <x:v>creem.io</x:v>
      </x:c>
      <x:c r="B304" s="19" t="str">
        <x:v>支付商主域（混合流量）</x:v>
      </x:c>
      <x:c r="C304" s="19" t="str">
        <x:v>中</x:v>
      </x:c>
      <x:c r="D304" s="19" t="str">
        <x:v>Jul 2026</x:v>
      </x:c>
      <x:c r="E304" s="19" t="n">
        <x:v>3</x:v>
      </x:c>
      <x:c r="F304" s="19" t="str">
        <x:v>skipcut.com</x:v>
      </x:c>
      <x:c r="G304" s="19" t="str">
        <x:v>Social Networks and Online Communities</x:v>
      </x:c>
      <x:c r="H304" s="19" t="str">
        <x:v>其他/待核查</x:v>
      </x:c>
      <x:c r="I304" s="19" t="str">
        <x:v>保守归类</x:v>
      </x:c>
      <x:c r="J304" s="19" t="n">
        <x:v>54874</x:v>
      </x:c>
      <x:c r="K304" s="20" t="n">
        <x:v>0.064</x:v>
      </x:c>
      <x:c r="L304" s="19" t="str">
        <x:v>新出现</x:v>
      </x:c>
      <x:c r="M304" s="20"/>
      <x:c r="N304" s="21" t="n">
        <x:v>52307</x:v>
      </x:c>
      <x:c r="O304" s="21" t="n">
        <x:v>3348</x:v>
      </x:c>
      <x:c r="P304" s="21" t="n">
        <x:f>ROUND(N304*K304,0)</x:f>
        <x:v>3348</x:v>
      </x:c>
      <x:c r="Q304" s="19" t="str">
        <x:v>否</x:v>
      </x:c>
      <x:c r="R304" s="19" t="str"/>
      <x:c r="S304" s="19" t="n">
        <x:f>IF(Q304="是",0,MIN(10,2+IF(C304="高",2,1)+IF(K304&gt;=3%,3,IF(K304&gt;=1%,2,1))+IF(L304="新出现",2,IF(M304&gt;=100%,3,IF(M304&gt;0,2,0)))))</x:f>
        <x:v>8</x:v>
      </x:c>
      <x:c r="T304" s="21"/>
      <x:c r="U304" s="20"/>
      <x:c r="V304" s="19" t="str">
        <x:v>http://skipcut.com/</x:v>
      </x:c>
      <x:c r="W304" s="19" t="str">
        <x:v>https://pro.similarweb.com/#/digitalsuite/websiteanalysis/referrals/*/999/1m?webSource=Total&amp;selectedTab=incomingTraffic&amp;key=creem.io</x:v>
      </x:c>
      <x:c r="X304" s="20" t="n">
        <x:f>IF(Q304="是",0,IFERROR(P304/SUMIFS($P$2:$P$964,$A$2:$A$964,A304,$Q$2:$Q$964,"否"),0))</x:f>
        <x:v>0.12279929577464789</x:v>
      </x:c>
      <x:c r="Y304" s="22" t="str">
        <x:f>IF(OR(M304="",U304=""),"未交叉",IF(M304*U304&gt;0,"同向",IF(M304*U304&lt;0,"背离","一侧持平")))</x:f>
        <x:v>未交叉</x:v>
      </x:c>
    </x:row>
    <x:row r="305">
      <x:c r="A305" s="18" t="str">
        <x:v>creem.io</x:v>
      </x:c>
      <x:c r="B305" s="19" t="str">
        <x:v>支付商主域（混合流量）</x:v>
      </x:c>
      <x:c r="C305" s="19" t="str">
        <x:v>中</x:v>
      </x:c>
      <x:c r="D305" s="19" t="str">
        <x:v>Jul 2026</x:v>
      </x:c>
      <x:c r="E305" s="19" t="n">
        <x:v>4</x:v>
      </x:c>
      <x:c r="F305" s="19" t="str">
        <x:v>craisee.com</x:v>
      </x:c>
      <x:c r="G305" s="19" t="str">
        <x:v>Unknown</x:v>
      </x:c>
      <x:c r="H305" s="19" t="str">
        <x:v>其他/待核查</x:v>
      </x:c>
      <x:c r="I305" s="19" t="str">
        <x:v>Similarweb 未分类</x:v>
      </x:c>
      <x:c r="J305" s="19" t="n">
        <x:v>2006363</x:v>
      </x:c>
      <x:c r="K305" s="20" t="n">
        <x:v>0.0297</x:v>
      </x:c>
      <x:c r="L305" s="19" t="str">
        <x:v>新出现</x:v>
      </x:c>
      <x:c r="M305" s="20"/>
      <x:c r="N305" s="21" t="n">
        <x:v>52307</x:v>
      </x:c>
      <x:c r="O305" s="21" t="n">
        <x:v>1554</x:v>
      </x:c>
      <x:c r="P305" s="21" t="n">
        <x:f>ROUND(N305*K305,0)</x:f>
        <x:v>1554</x:v>
      </x:c>
      <x:c r="Q305" s="19" t="str">
        <x:v>否</x:v>
      </x:c>
      <x:c r="R305" s="19" t="str"/>
      <x:c r="S305" s="19" t="n">
        <x:f>IF(Q305="是",0,MIN(10,2+IF(C305="高",2,1)+IF(K305&gt;=3%,3,IF(K305&gt;=1%,2,1))+IF(L305="新出现",2,IF(M305&gt;=100%,3,IF(M305&gt;0,2,0)))))</x:f>
        <x:v>7</x:v>
      </x:c>
      <x:c r="T305" s="21"/>
      <x:c r="U305" s="20"/>
      <x:c r="V305" s="19" t="str">
        <x:v>http://craisee.com/</x:v>
      </x:c>
      <x:c r="W305" s="19" t="str">
        <x:v>https://pro.similarweb.com/#/digitalsuite/websiteanalysis/referrals/*/999/1m?webSource=Total&amp;selectedTab=incomingTraffic&amp;key=creem.io</x:v>
      </x:c>
      <x:c r="X305" s="20" t="n">
        <x:f>IF(Q305="是",0,IFERROR(P305/SUMIFS($P$2:$P$964,$A$2:$A$964,A305,$Q$2:$Q$964,"否"),0))</x:f>
        <x:v>0.05699823943661972</x:v>
      </x:c>
      <x:c r="Y305" s="22" t="str">
        <x:f>IF(OR(M305="",U305=""),"未交叉",IF(M305*U305&gt;0,"同向",IF(M305*U305&lt;0,"背离","一侧持平")))</x:f>
        <x:v>未交叉</x:v>
      </x:c>
    </x:row>
    <x:row r="306">
      <x:c r="A306" s="18" t="str">
        <x:v>creem.io</x:v>
      </x:c>
      <x:c r="B306" s="19" t="str">
        <x:v>支付商主域（混合流量）</x:v>
      </x:c>
      <x:c r="C306" s="19" t="str">
        <x:v>中</x:v>
      </x:c>
      <x:c r="D306" s="19" t="str">
        <x:v>Jul 2026</x:v>
      </x:c>
      <x:c r="E306" s="19" t="n">
        <x:v>5</x:v>
      </x:c>
      <x:c r="F306" s="19" t="str">
        <x:v>yeri.ai</x:v>
      </x:c>
      <x:c r="G306" s="19" t="str">
        <x:v>Graphics Multimedia and Web Design</x:v>
      </x:c>
      <x:c r="H306" s="19" t="str">
        <x:v>AI 工具与应用（未细分）</x:v>
      </x:c>
      <x:c r="I306" s="19" t="str">
        <x:v>域名后缀启发式</x:v>
      </x:c>
      <x:c r="J306" s="19" t="n">
        <x:v>62908</x:v>
      </x:c>
      <x:c r="K306" s="20" t="n">
        <x:v>0.028399999999999998</x:v>
      </x:c>
      <x:c r="L306" s="19" t="str">
        <x:v>下降</x:v>
      </x:c>
      <x:c r="M306" s="20" t="n">
        <x:v>-0.6933</x:v>
      </x:c>
      <x:c r="N306" s="21" t="n">
        <x:v>52307</x:v>
      </x:c>
      <x:c r="O306" s="21" t="n">
        <x:v>1486</x:v>
      </x:c>
      <x:c r="P306" s="21" t="n">
        <x:f>ROUND(N306*K306,0)</x:f>
        <x:v>1486</x:v>
      </x:c>
      <x:c r="Q306" s="19" t="str">
        <x:v>否</x:v>
      </x:c>
      <x:c r="R306" s="19" t="str"/>
      <x:c r="S306" s="19" t="n">
        <x:f>IF(Q306="是",0,MIN(10,2+IF(C306="高",2,1)+IF(K306&gt;=3%,3,IF(K306&gt;=1%,2,1))+IF(L306="新出现",2,IF(M306&gt;=100%,3,IF(M306&gt;0,2,0)))))</x:f>
        <x:v>5</x:v>
      </x:c>
      <x:c r="T306" s="21"/>
      <x:c r="U306" s="20"/>
      <x:c r="V306" s="19" t="str">
        <x:v>http://yeri.ai/</x:v>
      </x:c>
      <x:c r="W306" s="19" t="str">
        <x:v>https://pro.similarweb.com/#/digitalsuite/websiteanalysis/referrals/*/999/1m?webSource=Total&amp;selectedTab=incomingTraffic&amp;key=creem.io</x:v>
      </x:c>
      <x:c r="X306" s="20" t="n">
        <x:f>IF(Q306="是",0,IFERROR(P306/SUMIFS($P$2:$P$964,$A$2:$A$964,A306,$Q$2:$Q$964,"否"),0))</x:f>
        <x:v>0.054504107981220656</x:v>
      </x:c>
      <x:c r="Y306" s="22" t="str">
        <x:f>IF(OR(M306="",U306=""),"未交叉",IF(M306*U306&gt;0,"同向",IF(M306*U306&lt;0,"背离","一侧持平")))</x:f>
        <x:v>未交叉</x:v>
      </x:c>
    </x:row>
    <x:row r="307">
      <x:c r="A307" s="18" t="str">
        <x:v>creem.io</x:v>
      </x:c>
      <x:c r="B307" s="19" t="str">
        <x:v>支付商主域（混合流量）</x:v>
      </x:c>
      <x:c r="C307" s="19" t="str">
        <x:v>中</x:v>
      </x:c>
      <x:c r="D307" s="19" t="str">
        <x:v>Jul 2026</x:v>
      </x:c>
      <x:c r="E307" s="19" t="n">
        <x:v>6</x:v>
      </x:c>
      <x:c r="F307" s="19" t="str">
        <x:v>evcc.io</x:v>
      </x:c>
      <x:c r="G307" s="19" t="str">
        <x:v>Consumer Electronics</x:v>
      </x:c>
      <x:c r="H307" s="19" t="str">
        <x:v>其他/待核查</x:v>
      </x:c>
      <x:c r="I307" s="19" t="str">
        <x:v>保守归类</x:v>
      </x:c>
      <x:c r="J307" s="19" t="n">
        <x:v>314139</x:v>
      </x:c>
      <x:c r="K307" s="20" t="n">
        <x:v>0.0276</x:v>
      </x:c>
      <x:c r="L307" s="19" t="str">
        <x:v>新出现</x:v>
      </x:c>
      <x:c r="M307" s="20"/>
      <x:c r="N307" s="21" t="n">
        <x:v>52307</x:v>
      </x:c>
      <x:c r="O307" s="21" t="n">
        <x:v>1444</x:v>
      </x:c>
      <x:c r="P307" s="21" t="n">
        <x:f>ROUND(N307*K307,0)</x:f>
        <x:v>1444</x:v>
      </x:c>
      <x:c r="Q307" s="19" t="str">
        <x:v>否</x:v>
      </x:c>
      <x:c r="R307" s="19" t="str"/>
      <x:c r="S307" s="19" t="n">
        <x:f>IF(Q307="是",0,MIN(10,2+IF(C307="高",2,1)+IF(K307&gt;=3%,3,IF(K307&gt;=1%,2,1))+IF(L307="新出现",2,IF(M307&gt;=100%,3,IF(M307&gt;0,2,0)))))</x:f>
        <x:v>7</x:v>
      </x:c>
      <x:c r="T307" s="21"/>
      <x:c r="U307" s="20"/>
      <x:c r="V307" s="19" t="str">
        <x:v>http://evcc.io/</x:v>
      </x:c>
      <x:c r="W307" s="19" t="str">
        <x:v>https://pro.similarweb.com/#/digitalsuite/websiteanalysis/referrals/*/999/1m?webSource=Total&amp;selectedTab=incomingTraffic&amp;key=creem.io</x:v>
      </x:c>
      <x:c r="X307" s="20" t="n">
        <x:f>IF(Q307="是",0,IFERROR(P307/SUMIFS($P$2:$P$964,$A$2:$A$964,A307,$Q$2:$Q$964,"否"),0))</x:f>
        <x:v>0.05296361502347418</x:v>
      </x:c>
      <x:c r="Y307" s="22" t="str">
        <x:f>IF(OR(M307="",U307=""),"未交叉",IF(M307*U307&gt;0,"同向",IF(M307*U307&lt;0,"背离","一侧持平")))</x:f>
        <x:v>未交叉</x:v>
      </x:c>
    </x:row>
    <x:row r="308">
      <x:c r="A308" s="18" t="str">
        <x:v>creem.io</x:v>
      </x:c>
      <x:c r="B308" s="19" t="str">
        <x:v>支付商主域（混合流量）</x:v>
      </x:c>
      <x:c r="C308" s="19" t="str">
        <x:v>中</x:v>
      </x:c>
      <x:c r="D308" s="19" t="str">
        <x:v>Jul 2026</x:v>
      </x:c>
      <x:c r="E308" s="19" t="n">
        <x:v>7</x:v>
      </x:c>
      <x:c r="F308" s="19" t="str">
        <x:v>getdockspace.app</x:v>
      </x:c>
      <x:c r="G308" s="19" t="str">
        <x:v>Unknown</x:v>
      </x:c>
      <x:c r="H308" s="19" t="str">
        <x:v>创作者资产、模板与设计工具</x:v>
      </x:c>
      <x:c r="I308" s="19" t="str">
        <x:v>域名人工识别</x:v>
      </x:c>
      <x:c r="J308" s="19" t="n">
        <x:v>4726259</x:v>
      </x:c>
      <x:c r="K308" s="20" t="n">
        <x:v>0.0255</x:v>
      </x:c>
      <x:c r="L308" s="19" t="str">
        <x:v>新出现</x:v>
      </x:c>
      <x:c r="M308" s="20"/>
      <x:c r="N308" s="21" t="n">
        <x:v>52307</x:v>
      </x:c>
      <x:c r="O308" s="21" t="n">
        <x:v>1334</x:v>
      </x:c>
      <x:c r="P308" s="21" t="n">
        <x:f>ROUND(N308*K308,0)</x:f>
        <x:v>1334</x:v>
      </x:c>
      <x:c r="Q308" s="19" t="str">
        <x:v>否</x:v>
      </x:c>
      <x:c r="R308" s="19" t="str"/>
      <x:c r="S308" s="19" t="n">
        <x:f>IF(Q308="是",0,MIN(10,2+IF(C308="高",2,1)+IF(K308&gt;=3%,3,IF(K308&gt;=1%,2,1))+IF(L308="新出现",2,IF(M308&gt;=100%,3,IF(M308&gt;0,2,0)))))</x:f>
        <x:v>7</x:v>
      </x:c>
      <x:c r="T308" s="21"/>
      <x:c r="U308" s="20"/>
      <x:c r="V308" s="19" t="str">
        <x:v>http://getdockspace.app/</x:v>
      </x:c>
      <x:c r="W308" s="19" t="str">
        <x:v>https://pro.similarweb.com/#/digitalsuite/websiteanalysis/referrals/*/999/1m?webSource=Total&amp;selectedTab=incomingTraffic&amp;key=creem.io</x:v>
      </x:c>
      <x:c r="X308" s="20" t="n">
        <x:f>IF(Q308="是",0,IFERROR(P308/SUMIFS($P$2:$P$964,$A$2:$A$964,A308,$Q$2:$Q$964,"否"),0))</x:f>
        <x:v>0.04892899061032864</x:v>
      </x:c>
      <x:c r="Y308" s="22" t="str">
        <x:f>IF(OR(M308="",U308=""),"未交叉",IF(M308*U308&gt;0,"同向",IF(M308*U308&lt;0,"背离","一侧持平")))</x:f>
        <x:v>未交叉</x:v>
      </x:c>
    </x:row>
    <x:row r="309">
      <x:c r="A309" s="18" t="str">
        <x:v>creem.io</x:v>
      </x:c>
      <x:c r="B309" s="19" t="str">
        <x:v>支付商主域（混合流量）</x:v>
      </x:c>
      <x:c r="C309" s="19" t="str">
        <x:v>中</x:v>
      </x:c>
      <x:c r="D309" s="19" t="str">
        <x:v>Jul 2026</x:v>
      </x:c>
      <x:c r="E309" s="19" t="n">
        <x:v>8</x:v>
      </x:c>
      <x:c r="F309" s="19" t="str">
        <x:v>shortscrafter.com</x:v>
      </x:c>
      <x:c r="G309" s="19" t="str">
        <x:v>Unknown</x:v>
      </x:c>
      <x:c r="H309" s="19" t="str">
        <x:v>AI 内容生成与创作</x:v>
      </x:c>
      <x:c r="I309" s="19" t="str">
        <x:v>域名人工/关键词识别</x:v>
      </x:c>
      <x:c r="J309" s="19" t="n">
        <x:v>2320188</x:v>
      </x:c>
      <x:c r="K309" s="20" t="n">
        <x:v>0.024700000000000003</x:v>
      </x:c>
      <x:c r="L309" s="19" t="str">
        <x:v>新出现</x:v>
      </x:c>
      <x:c r="M309" s="20"/>
      <x:c r="N309" s="21" t="n">
        <x:v>52307</x:v>
      </x:c>
      <x:c r="O309" s="21" t="n">
        <x:v>1292</x:v>
      </x:c>
      <x:c r="P309" s="21" t="n">
        <x:f>ROUND(N309*K309,0)</x:f>
        <x:v>1292</x:v>
      </x:c>
      <x:c r="Q309" s="19" t="str">
        <x:v>否</x:v>
      </x:c>
      <x:c r="R309" s="19" t="str"/>
      <x:c r="S309" s="19" t="n">
        <x:f>IF(Q309="是",0,MIN(10,2+IF(C309="高",2,1)+IF(K309&gt;=3%,3,IF(K309&gt;=1%,2,1))+IF(L309="新出现",2,IF(M309&gt;=100%,3,IF(M309&gt;0,2,0)))))</x:f>
        <x:v>7</x:v>
      </x:c>
      <x:c r="T309" s="21"/>
      <x:c r="U309" s="20"/>
      <x:c r="V309" s="19" t="str">
        <x:v>http://shortscrafter.com/</x:v>
      </x:c>
      <x:c r="W309" s="19" t="str">
        <x:v>https://pro.similarweb.com/#/digitalsuite/websiteanalysis/referrals/*/999/1m?webSource=Total&amp;selectedTab=incomingTraffic&amp;key=creem.io</x:v>
      </x:c>
      <x:c r="X309" s="20" t="n">
        <x:f>IF(Q309="是",0,IFERROR(P309/SUMIFS($P$2:$P$964,$A$2:$A$964,A309,$Q$2:$Q$964,"否"),0))</x:f>
        <x:v>0.04738849765258216</x:v>
      </x:c>
      <x:c r="Y309" s="22" t="str">
        <x:f>IF(OR(M309="",U309=""),"未交叉",IF(M309*U309&gt;0,"同向",IF(M309*U309&lt;0,"背离","一侧持平")))</x:f>
        <x:v>未交叉</x:v>
      </x:c>
    </x:row>
    <x:row r="310">
      <x:c r="A310" s="18" t="str">
        <x:v>creem.io</x:v>
      </x:c>
      <x:c r="B310" s="19" t="str">
        <x:v>支付商主域（混合流量）</x:v>
      </x:c>
      <x:c r="C310" s="19" t="str">
        <x:v>中</x:v>
      </x:c>
      <x:c r="D310" s="19" t="str">
        <x:v>Jul 2026</x:v>
      </x:c>
      <x:c r="E310" s="19" t="n">
        <x:v>9</x:v>
      </x:c>
      <x:c r="F310" s="19" t="str">
        <x:v>pixexact.com</x:v>
      </x:c>
      <x:c r="G310" s="19" t="str">
        <x:v>Graphics Multimedia and Web Design</x:v>
      </x:c>
      <x:c r="H310" s="19" t="str">
        <x:v>AI 内容生成与创作</x:v>
      </x:c>
      <x:c r="I310" s="19" t="str">
        <x:v>域名人工/关键词识别</x:v>
      </x:c>
      <x:c r="J310" s="19" t="n">
        <x:v>171523</x:v>
      </x:c>
      <x:c r="K310" s="20" t="n">
        <x:v>0.023</x:v>
      </x:c>
      <x:c r="L310" s="19" t="str">
        <x:v>新出现</x:v>
      </x:c>
      <x:c r="M310" s="20"/>
      <x:c r="N310" s="21" t="n">
        <x:v>52307</x:v>
      </x:c>
      <x:c r="O310" s="21" t="n">
        <x:v>1203</x:v>
      </x:c>
      <x:c r="P310" s="21" t="n">
        <x:f>ROUND(N310*K310,0)</x:f>
        <x:v>1203</x:v>
      </x:c>
      <x:c r="Q310" s="19" t="str">
        <x:v>否</x:v>
      </x:c>
      <x:c r="R310" s="19" t="str"/>
      <x:c r="S310" s="19" t="n">
        <x:f>IF(Q310="是",0,MIN(10,2+IF(C310="高",2,1)+IF(K310&gt;=3%,3,IF(K310&gt;=1%,2,1))+IF(L310="新出现",2,IF(M310&gt;=100%,3,IF(M310&gt;0,2,0)))))</x:f>
        <x:v>7</x:v>
      </x:c>
      <x:c r="T310" s="21"/>
      <x:c r="U310" s="20"/>
      <x:c r="V310" s="19" t="str">
        <x:v>http://pixexact.com/</x:v>
      </x:c>
      <x:c r="W310" s="19" t="str">
        <x:v>https://pro.similarweb.com/#/digitalsuite/websiteanalysis/referrals/*/999/1m?webSource=Total&amp;selectedTab=incomingTraffic&amp;key=creem.io</x:v>
      </x:c>
      <x:c r="X310" s="20" t="n">
        <x:f>IF(Q310="是",0,IFERROR(P310/SUMIFS($P$2:$P$964,$A$2:$A$964,A310,$Q$2:$Q$964,"否"),0))</x:f>
        <x:v>0.04412411971830986</x:v>
      </x:c>
      <x:c r="Y310" s="22" t="str">
        <x:f>IF(OR(M310="",U310=""),"未交叉",IF(M310*U310&gt;0,"同向",IF(M310*U310&lt;0,"背离","一侧持平")))</x:f>
        <x:v>未交叉</x:v>
      </x:c>
    </x:row>
    <x:row r="311">
      <x:c r="A311" s="18" t="str">
        <x:v>creem.io</x:v>
      </x:c>
      <x:c r="B311" s="19" t="str">
        <x:v>支付商主域（混合流量）</x:v>
      </x:c>
      <x:c r="C311" s="19" t="str">
        <x:v>中</x:v>
      </x:c>
      <x:c r="D311" s="19" t="str">
        <x:v>Jul 2026</x:v>
      </x:c>
      <x:c r="E311" s="19" t="n">
        <x:v>10</x:v>
      </x:c>
      <x:c r="F311" s="19" t="str">
        <x:v>kling3.io</x:v>
      </x:c>
      <x:c r="G311" s="19" t="str">
        <x:v>Graphics Multimedia and Web Design</x:v>
      </x:c>
      <x:c r="H311" s="19" t="str">
        <x:v>AI 内容生成与创作</x:v>
      </x:c>
      <x:c r="I311" s="19" t="str">
        <x:v>域名人工/关键词识别</x:v>
      </x:c>
      <x:c r="J311" s="19" t="n">
        <x:v>197090</x:v>
      </x:c>
      <x:c r="K311" s="20" t="n">
        <x:v>0.0171</x:v>
      </x:c>
      <x:c r="L311" s="19" t="str">
        <x:v>新出现</x:v>
      </x:c>
      <x:c r="M311" s="20"/>
      <x:c r="N311" s="21" t="n">
        <x:v>52307</x:v>
      </x:c>
      <x:c r="O311" s="21" t="n">
        <x:v>894</x:v>
      </x:c>
      <x:c r="P311" s="21" t="n">
        <x:f>ROUND(N311*K311,0)</x:f>
        <x:v>894</x:v>
      </x:c>
      <x:c r="Q311" s="19" t="str">
        <x:v>否</x:v>
      </x:c>
      <x:c r="R311" s="19" t="str"/>
      <x:c r="S311" s="19" t="n">
        <x:f>IF(Q311="是",0,MIN(10,2+IF(C311="高",2,1)+IF(K311&gt;=3%,3,IF(K311&gt;=1%,2,1))+IF(L311="新出现",2,IF(M311&gt;=100%,3,IF(M311&gt;0,2,0)))))</x:f>
        <x:v>7</x:v>
      </x:c>
      <x:c r="T311" s="21"/>
      <x:c r="U311" s="20"/>
      <x:c r="V311" s="19" t="str">
        <x:v>http://kling3.io/</x:v>
      </x:c>
      <x:c r="W311" s="19" t="str">
        <x:v>https://pro.similarweb.com/#/digitalsuite/websiteanalysis/referrals/*/999/1m?webSource=Total&amp;selectedTab=incomingTraffic&amp;key=creem.io</x:v>
      </x:c>
      <x:c r="X311" s="20" t="n">
        <x:f>IF(Q311="是",0,IFERROR(P311/SUMIFS($P$2:$P$964,$A$2:$A$964,A311,$Q$2:$Q$964,"否"),0))</x:f>
        <x:v>0.03279049295774648</x:v>
      </x:c>
      <x:c r="Y311" s="22" t="str">
        <x:f>IF(OR(M311="",U311=""),"未交叉",IF(M311*U311&gt;0,"同向",IF(M311*U311&lt;0,"背离","一侧持平")))</x:f>
        <x:v>未交叉</x:v>
      </x:c>
    </x:row>
    <x:row r="312">
      <x:c r="A312" s="18" t="str">
        <x:v>creem.io</x:v>
      </x:c>
      <x:c r="B312" s="19" t="str">
        <x:v>支付商主域（混合流量）</x:v>
      </x:c>
      <x:c r="C312" s="19" t="str">
        <x:v>中</x:v>
      </x:c>
      <x:c r="D312" s="19" t="str">
        <x:v>Jul 2026</x:v>
      </x:c>
      <x:c r="E312" s="19" t="n">
        <x:v>11</x:v>
      </x:c>
      <x:c r="F312" s="19" t="str">
        <x:v>webstarue.com</x:v>
      </x:c>
      <x:c r="G312" s="19" t="str">
        <x:v>Unknown</x:v>
      </x:c>
      <x:c r="H312" s="19" t="str">
        <x:v>其他/待核查</x:v>
      </x:c>
      <x:c r="I312" s="19" t="str">
        <x:v>Similarweb 未分类</x:v>
      </x:c>
      <x:c r="J312" s="19" t="n">
        <x:v>6727080</x:v>
      </x:c>
      <x:c r="K312" s="20" t="n">
        <x:v>0.0144</x:v>
      </x:c>
      <x:c r="L312" s="19" t="str">
        <x:v>新出现</x:v>
      </x:c>
      <x:c r="M312" s="20"/>
      <x:c r="N312" s="21" t="n">
        <x:v>52307</x:v>
      </x:c>
      <x:c r="O312" s="21" t="n">
        <x:v>753</x:v>
      </x:c>
      <x:c r="P312" s="21" t="n">
        <x:f>ROUND(N312*K312,0)</x:f>
        <x:v>753</x:v>
      </x:c>
      <x:c r="Q312" s="19" t="str">
        <x:v>否</x:v>
      </x:c>
      <x:c r="R312" s="19" t="str"/>
      <x:c r="S312" s="19" t="n">
        <x:f>IF(Q312="是",0,MIN(10,2+IF(C312="高",2,1)+IF(K312&gt;=3%,3,IF(K312&gt;=1%,2,1))+IF(L312="新出现",2,IF(M312&gt;=100%,3,IF(M312&gt;0,2,0)))))</x:f>
        <x:v>7</x:v>
      </x:c>
      <x:c r="T312" s="21"/>
      <x:c r="U312" s="20"/>
      <x:c r="V312" s="19" t="str">
        <x:v>http://webstarue.com/</x:v>
      </x:c>
      <x:c r="W312" s="19" t="str">
        <x:v>https://pro.similarweb.com/#/digitalsuite/websiteanalysis/referrals/*/999/1m?webSource=Total&amp;selectedTab=incomingTraffic&amp;key=creem.io</x:v>
      </x:c>
      <x:c r="X312" s="20" t="n">
        <x:f>IF(Q312="是",0,IFERROR(P312/SUMIFS($P$2:$P$964,$A$2:$A$964,A312,$Q$2:$Q$964,"否"),0))</x:f>
        <x:v>0.027618838028169015</x:v>
      </x:c>
      <x:c r="Y312" s="22" t="str">
        <x:f>IF(OR(M312="",U312=""),"未交叉",IF(M312*U312&gt;0,"同向",IF(M312*U312&lt;0,"背离","一侧持平")))</x:f>
        <x:v>未交叉</x:v>
      </x:c>
    </x:row>
    <x:row r="313">
      <x:c r="A313" s="18" t="str">
        <x:v>creem.io</x:v>
      </x:c>
      <x:c r="B313" s="19" t="str">
        <x:v>支付商主域（混合流量）</x:v>
      </x:c>
      <x:c r="C313" s="19" t="str">
        <x:v>中</x:v>
      </x:c>
      <x:c r="D313" s="19" t="str">
        <x:v>Jul 2026</x:v>
      </x:c>
      <x:c r="E313" s="19" t="n">
        <x:v>12</x:v>
      </x:c>
      <x:c r="F313" s="19" t="str">
        <x:v>dashboard.heroncopier.com</x:v>
      </x:c>
      <x:c r="G313" s="19" t="str">
        <x:v>Unknown</x:v>
      </x:c>
      <x:c r="H313" s="19" t="str">
        <x:v>其他/待核查</x:v>
      </x:c>
      <x:c r="I313" s="19" t="str">
        <x:v>Similarweb 未分类</x:v>
      </x:c>
      <x:c r="J313" s="19"/>
      <x:c r="K313" s="20" t="n">
        <x:v>0.0137</x:v>
      </x:c>
      <x:c r="L313" s="19" t="str">
        <x:v>新出现</x:v>
      </x:c>
      <x:c r="M313" s="20"/>
      <x:c r="N313" s="21" t="n">
        <x:v>52307</x:v>
      </x:c>
      <x:c r="O313" s="21" t="n">
        <x:v>717</x:v>
      </x:c>
      <x:c r="P313" s="21" t="n">
        <x:f>ROUND(N313*K313,0)</x:f>
        <x:v>717</x:v>
      </x:c>
      <x:c r="Q313" s="19" t="str">
        <x:v>否</x:v>
      </x:c>
      <x:c r="R313" s="19" t="str"/>
      <x:c r="S313" s="19" t="n">
        <x:f>IF(Q313="是",0,MIN(10,2+IF(C313="高",2,1)+IF(K313&gt;=3%,3,IF(K313&gt;=1%,2,1))+IF(L313="新出现",2,IF(M313&gt;=100%,3,IF(M313&gt;0,2,0)))))</x:f>
        <x:v>7</x:v>
      </x:c>
      <x:c r="T313" s="21"/>
      <x:c r="U313" s="20"/>
      <x:c r="V313" s="19" t="str">
        <x:v>http://dashboard.heroncopier.com/</x:v>
      </x:c>
      <x:c r="W313" s="19" t="str">
        <x:v>https://pro.similarweb.com/#/digitalsuite/websiteanalysis/referrals/*/999/1m?webSource=Total&amp;selectedTab=incomingTraffic&amp;key=creem.io</x:v>
      </x:c>
      <x:c r="X313" s="20" t="n">
        <x:f>IF(Q313="是",0,IFERROR(P313/SUMIFS($P$2:$P$964,$A$2:$A$964,A313,$Q$2:$Q$964,"否"),0))</x:f>
        <x:v>0.026298415492957746</x:v>
      </x:c>
      <x:c r="Y313" s="22" t="str">
        <x:f>IF(OR(M313="",U313=""),"未交叉",IF(M313*U313&gt;0,"同向",IF(M313*U313&lt;0,"背离","一侧持平")))</x:f>
        <x:v>未交叉</x:v>
      </x:c>
    </x:row>
    <x:row r="314">
      <x:c r="A314" s="18" t="str">
        <x:v>creem.io</x:v>
      </x:c>
      <x:c r="B314" s="19" t="str">
        <x:v>支付商主域（混合流量）</x:v>
      </x:c>
      <x:c r="C314" s="19" t="str">
        <x:v>中</x:v>
      </x:c>
      <x:c r="D314" s="19" t="str">
        <x:v>Jul 2026</x:v>
      </x:c>
      <x:c r="E314" s="19" t="n">
        <x:v>13</x:v>
      </x:c>
      <x:c r="F314" s="19" t="str">
        <x:v>app.jupiterseotool.com</x:v>
      </x:c>
      <x:c r="G314" s="19" t="str">
        <x:v>Vehicles</x:v>
      </x:c>
      <x:c r="H314" s="19" t="str">
        <x:v>其他/待核查</x:v>
      </x:c>
      <x:c r="I314" s="19" t="str">
        <x:v>保守归类</x:v>
      </x:c>
      <x:c r="J314" s="19"/>
      <x:c r="K314" s="20" t="n">
        <x:v>0.0127</x:v>
      </x:c>
      <x:c r="L314" s="19" t="str">
        <x:v>上升</x:v>
      </x:c>
      <x:c r="M314" s="20" t="n">
        <x:v>0.3811</x:v>
      </x:c>
      <x:c r="N314" s="21" t="n">
        <x:v>52307</x:v>
      </x:c>
      <x:c r="O314" s="21" t="n">
        <x:v>664</x:v>
      </x:c>
      <x:c r="P314" s="21" t="n">
        <x:f>ROUND(N314*K314,0)</x:f>
        <x:v>664</x:v>
      </x:c>
      <x:c r="Q314" s="19" t="str">
        <x:v>否</x:v>
      </x:c>
      <x:c r="R314" s="19" t="str"/>
      <x:c r="S314" s="19" t="n">
        <x:f>IF(Q314="是",0,MIN(10,2+IF(C314="高",2,1)+IF(K314&gt;=3%,3,IF(K314&gt;=1%,2,1))+IF(L314="新出现",2,IF(M314&gt;=100%,3,IF(M314&gt;0,2,0)))))</x:f>
        <x:v>7</x:v>
      </x:c>
      <x:c r="T314" s="21"/>
      <x:c r="U314" s="20"/>
      <x:c r="V314" s="19" t="str">
        <x:v>http://app.jupiterseotool.com/</x:v>
      </x:c>
      <x:c r="W314" s="19" t="str">
        <x:v>https://pro.similarweb.com/#/digitalsuite/websiteanalysis/referrals/*/999/1m?webSource=Total&amp;selectedTab=incomingTraffic&amp;key=creem.io</x:v>
      </x:c>
      <x:c r="X314" s="20" t="n">
        <x:f>IF(Q314="是",0,IFERROR(P314/SUMIFS($P$2:$P$964,$A$2:$A$964,A314,$Q$2:$Q$964,"否"),0))</x:f>
        <x:v>0.024354460093896715</x:v>
      </x:c>
      <x:c r="Y314" s="22" t="str">
        <x:f>IF(OR(M314="",U314=""),"未交叉",IF(M314*U314&gt;0,"同向",IF(M314*U314&lt;0,"背离","一侧持平")))</x:f>
        <x:v>未交叉</x:v>
      </x:c>
    </x:row>
    <x:row r="315">
      <x:c r="A315" s="18" t="str">
        <x:v>creem.io</x:v>
      </x:c>
      <x:c r="B315" s="19" t="str">
        <x:v>支付商主域（混合流量）</x:v>
      </x:c>
      <x:c r="C315" s="19" t="str">
        <x:v>中</x:v>
      </x:c>
      <x:c r="D315" s="19" t="str">
        <x:v>Jul 2026</x:v>
      </x:c>
      <x:c r="E315" s="19" t="n">
        <x:v>14</x:v>
      </x:c>
      <x:c r="F315" s="19" t="str">
        <x:v>feishu.cn</x:v>
      </x:c>
      <x:c r="G315" s="19" t="str">
        <x:v>Social Networks and Online Communities</x:v>
      </x:c>
      <x:c r="H315" s="19" t="str">
        <x:v>其他/待核查</x:v>
      </x:c>
      <x:c r="I315" s="19" t="str">
        <x:v>保守归类</x:v>
      </x:c>
      <x:c r="J315" s="19" t="n">
        <x:v>592</x:v>
      </x:c>
      <x:c r="K315" s="20" t="n">
        <x:v>0.011399999999999999</x:v>
      </x:c>
      <x:c r="L315" s="19" t="str">
        <x:v>新出现</x:v>
      </x:c>
      <x:c r="M315" s="20"/>
      <x:c r="N315" s="21" t="n">
        <x:v>52307</x:v>
      </x:c>
      <x:c r="O315" s="21" t="n">
        <x:v>596</x:v>
      </x:c>
      <x:c r="P315" s="21" t="n">
        <x:f>ROUND(N315*K315,0)</x:f>
        <x:v>596</x:v>
      </x:c>
      <x:c r="Q315" s="19" t="str">
        <x:v>否</x:v>
      </x:c>
      <x:c r="R315" s="19" t="str"/>
      <x:c r="S315" s="19" t="n">
        <x:f>IF(Q315="是",0,MIN(10,2+IF(C315="高",2,1)+IF(K315&gt;=3%,3,IF(K315&gt;=1%,2,1))+IF(L315="新出现",2,IF(M315&gt;=100%,3,IF(M315&gt;0,2,0)))))</x:f>
        <x:v>7</x:v>
      </x:c>
      <x:c r="T315" s="21"/>
      <x:c r="U315" s="20"/>
      <x:c r="V315" s="19" t="str">
        <x:v>http://feishu.cn/</x:v>
      </x:c>
      <x:c r="W315" s="19" t="str">
        <x:v>https://pro.similarweb.com/#/digitalsuite/websiteanalysis/referrals/*/999/1m?webSource=Total&amp;selectedTab=incomingTraffic&amp;key=creem.io</x:v>
      </x:c>
      <x:c r="X315" s="20" t="n">
        <x:f>IF(Q315="是",0,IFERROR(P315/SUMIFS($P$2:$P$964,$A$2:$A$964,A315,$Q$2:$Q$964,"否"),0))</x:f>
        <x:v>0.021860328638497652</x:v>
      </x:c>
      <x:c r="Y315" s="22" t="str">
        <x:f>IF(OR(M315="",U315=""),"未交叉",IF(M315*U315&gt;0,"同向",IF(M315*U315&lt;0,"背离","一侧持平")))</x:f>
        <x:v>未交叉</x:v>
      </x:c>
    </x:row>
    <x:row r="316">
      <x:c r="A316" s="18" t="str">
        <x:v>creem.io</x:v>
      </x:c>
      <x:c r="B316" s="19" t="str">
        <x:v>支付商主域（混合流量）</x:v>
      </x:c>
      <x:c r="C316" s="19" t="str">
        <x:v>中</x:v>
      </x:c>
      <x:c r="D316" s="19" t="str">
        <x:v>Jul 2026</x:v>
      </x:c>
      <x:c r="E316" s="19" t="n">
        <x:v>15</x:v>
      </x:c>
      <x:c r="F316" s="19" t="str">
        <x:v>fast3d.io</x:v>
      </x:c>
      <x:c r="G316" s="19" t="str">
        <x:v>Programming and Developer Software</x:v>
      </x:c>
      <x:c r="H316" s="19" t="str">
        <x:v>开发者工具与互联网基础设施</x:v>
      </x:c>
      <x:c r="I316" s="19" t="str">
        <x:v>Similarweb 行业映射</x:v>
      </x:c>
      <x:c r="J316" s="19" t="n">
        <x:v>267095</x:v>
      </x:c>
      <x:c r="K316" s="20" t="n">
        <x:v>0.0113</x:v>
      </x:c>
      <x:c r="L316" s="19" t="str">
        <x:v>上升</x:v>
      </x:c>
      <x:c r="M316" s="20" t="n">
        <x:v>0.6828</x:v>
      </x:c>
      <x:c r="N316" s="21" t="n">
        <x:v>52307</x:v>
      </x:c>
      <x:c r="O316" s="21" t="n">
        <x:v>591</x:v>
      </x:c>
      <x:c r="P316" s="21" t="n">
        <x:f>ROUND(N316*K316,0)</x:f>
        <x:v>591</x:v>
      </x:c>
      <x:c r="Q316" s="19" t="str">
        <x:v>否</x:v>
      </x:c>
      <x:c r="R316" s="19" t="str"/>
      <x:c r="S316" s="19" t="n">
        <x:f>IF(Q316="是",0,MIN(10,2+IF(C316="高",2,1)+IF(K316&gt;=3%,3,IF(K316&gt;=1%,2,1))+IF(L316="新出现",2,IF(M316&gt;=100%,3,IF(M316&gt;0,2,0)))))</x:f>
        <x:v>7</x:v>
      </x:c>
      <x:c r="T316" s="21"/>
      <x:c r="U316" s="20"/>
      <x:c r="V316" s="19" t="str">
        <x:v>http://fast3d.io/</x:v>
      </x:c>
      <x:c r="W316" s="19" t="str">
        <x:v>https://pro.similarweb.com/#/digitalsuite/websiteanalysis/referrals/*/999/1m?webSource=Total&amp;selectedTab=incomingTraffic&amp;key=creem.io</x:v>
      </x:c>
      <x:c r="X316" s="20" t="n">
        <x:f>IF(Q316="是",0,IFERROR(P316/SUMIFS($P$2:$P$964,$A$2:$A$964,A316,$Q$2:$Q$964,"否"),0))</x:f>
        <x:v>0.02167693661971831</x:v>
      </x:c>
      <x:c r="Y316" s="22" t="str">
        <x:f>IF(OR(M316="",U316=""),"未交叉",IF(M316*U316&gt;0,"同向",IF(M316*U316&lt;0,"背离","一侧持平")))</x:f>
        <x:v>未交叉</x:v>
      </x:c>
    </x:row>
    <x:row r="317">
      <x:c r="A317" s="18" t="str">
        <x:v>creem.io</x:v>
      </x:c>
      <x:c r="B317" s="19" t="str">
        <x:v>支付商主域（混合流量）</x:v>
      </x:c>
      <x:c r="C317" s="19" t="str">
        <x:v>中</x:v>
      </x:c>
      <x:c r="D317" s="19" t="str">
        <x:v>Jul 2026</x:v>
      </x:c>
      <x:c r="E317" s="19" t="n">
        <x:v>16</x:v>
      </x:c>
      <x:c r="F317" s="19" t="str">
        <x:v>cyberbara.com</x:v>
      </x:c>
      <x:c r="G317" s="19" t="str">
        <x:v>Unknown</x:v>
      </x:c>
      <x:c r="H317" s="19" t="str">
        <x:v>其他/待核查</x:v>
      </x:c>
      <x:c r="I317" s="19" t="str">
        <x:v>Similarweb 未分类</x:v>
      </x:c>
      <x:c r="J317" s="19" t="n">
        <x:v>1828811</x:v>
      </x:c>
      <x:c r="K317" s="20" t="n">
        <x:v>0.0095</x:v>
      </x:c>
      <x:c r="L317" s="19" t="str">
        <x:v>新出现</x:v>
      </x:c>
      <x:c r="M317" s="20"/>
      <x:c r="N317" s="21" t="n">
        <x:v>52307</x:v>
      </x:c>
      <x:c r="O317" s="21" t="n">
        <x:v>497</x:v>
      </x:c>
      <x:c r="P317" s="21" t="n">
        <x:f>ROUND(N317*K317,0)</x:f>
        <x:v>497</x:v>
      </x:c>
      <x:c r="Q317" s="19" t="str">
        <x:v>否</x:v>
      </x:c>
      <x:c r="R317" s="19" t="str"/>
      <x:c r="S317" s="19" t="n">
        <x:f>IF(Q317="是",0,MIN(10,2+IF(C317="高",2,1)+IF(K317&gt;=3%,3,IF(K317&gt;=1%,2,1))+IF(L317="新出现",2,IF(M317&gt;=100%,3,IF(M317&gt;0,2,0)))))</x:f>
        <x:v>6</x:v>
      </x:c>
      <x:c r="T317" s="21"/>
      <x:c r="U317" s="20"/>
      <x:c r="V317" s="19" t="str">
        <x:v>http://cyberbara.com/</x:v>
      </x:c>
      <x:c r="W317" s="19" t="str">
        <x:v>https://pro.similarweb.com/#/digitalsuite/websiteanalysis/referrals/*/999/1m?webSource=Total&amp;selectedTab=incomingTraffic&amp;key=creem.io</x:v>
      </x:c>
      <x:c r="X317" s="20" t="n">
        <x:f>IF(Q317="是",0,IFERROR(P317/SUMIFS($P$2:$P$964,$A$2:$A$964,A317,$Q$2:$Q$964,"否"),0))</x:f>
        <x:v>0.018229166666666668</x:v>
      </x:c>
      <x:c r="Y317" s="22" t="str">
        <x:f>IF(OR(M317="",U317=""),"未交叉",IF(M317*U317&gt;0,"同向",IF(M317*U317&lt;0,"背离","一侧持平")))</x:f>
        <x:v>未交叉</x:v>
      </x:c>
    </x:row>
    <x:row r="318">
      <x:c r="A318" s="18" t="str">
        <x:v>creem.io</x:v>
      </x:c>
      <x:c r="B318" s="19" t="str">
        <x:v>支付商主域（混合流量）</x:v>
      </x:c>
      <x:c r="C318" s="19" t="str">
        <x:v>中</x:v>
      </x:c>
      <x:c r="D318" s="19" t="str">
        <x:v>Jul 2026</x:v>
      </x:c>
      <x:c r="E318" s="19" t="n">
        <x:v>17</x:v>
      </x:c>
      <x:c r="F318" s="19" t="str">
        <x:v>tmaker.io</x:v>
      </x:c>
      <x:c r="G318" s="19" t="str">
        <x:v>Computers Electronics and Technology</x:v>
      </x:c>
      <x:c r="H318" s="19" t="str">
        <x:v>通用数字产品与技术服务</x:v>
      </x:c>
      <x:c r="I318" s="19" t="str">
        <x:v>Similarweb 行业映射</x:v>
      </x:c>
      <x:c r="J318" s="19" t="n">
        <x:v>935125</x:v>
      </x:c>
      <x:c r="K318" s="20" t="n">
        <x:v>0.0092</x:v>
      </x:c>
      <x:c r="L318" s="19" t="str">
        <x:v>新出现</x:v>
      </x:c>
      <x:c r="M318" s="20"/>
      <x:c r="N318" s="21" t="n">
        <x:v>52307</x:v>
      </x:c>
      <x:c r="O318" s="21" t="n">
        <x:v>481</x:v>
      </x:c>
      <x:c r="P318" s="21" t="n">
        <x:f>ROUND(N318*K318,0)</x:f>
        <x:v>481</x:v>
      </x:c>
      <x:c r="Q318" s="19" t="str">
        <x:v>否</x:v>
      </x:c>
      <x:c r="R318" s="19" t="str"/>
      <x:c r="S318" s="19" t="n">
        <x:f>IF(Q318="是",0,MIN(10,2+IF(C318="高",2,1)+IF(K318&gt;=3%,3,IF(K318&gt;=1%,2,1))+IF(L318="新出现",2,IF(M318&gt;=100%,3,IF(M318&gt;0,2,0)))))</x:f>
        <x:v>6</x:v>
      </x:c>
      <x:c r="T318" s="21"/>
      <x:c r="U318" s="20"/>
      <x:c r="V318" s="19" t="str">
        <x:v>http://tmaker.io/</x:v>
      </x:c>
      <x:c r="W318" s="19" t="str">
        <x:v>https://pro.similarweb.com/#/digitalsuite/websiteanalysis/referrals/*/999/1m?webSource=Total&amp;selectedTab=incomingTraffic&amp;key=creem.io</x:v>
      </x:c>
      <x:c r="X318" s="20" t="n">
        <x:f>IF(Q318="是",0,IFERROR(P318/SUMIFS($P$2:$P$964,$A$2:$A$964,A318,$Q$2:$Q$964,"否"),0))</x:f>
        <x:v>0.01764231220657277</x:v>
      </x:c>
      <x:c r="Y318" s="22" t="str">
        <x:f>IF(OR(M318="",U318=""),"未交叉",IF(M318*U318&gt;0,"同向",IF(M318*U318&lt;0,"背离","一侧持平")))</x:f>
        <x:v>未交叉</x:v>
      </x:c>
    </x:row>
    <x:row r="319">
      <x:c r="A319" s="18" t="str">
        <x:v>creem.io</x:v>
      </x:c>
      <x:c r="B319" s="19" t="str">
        <x:v>支付商主域（混合流量）</x:v>
      </x:c>
      <x:c r="C319" s="19" t="str">
        <x:v>中</x:v>
      </x:c>
      <x:c r="D319" s="19" t="str">
        <x:v>Jul 2026</x:v>
      </x:c>
      <x:c r="E319" s="19" t="n">
        <x:v>18</x:v>
      </x:c>
      <x:c r="F319" s="19" t="str">
        <x:v>api.thequestlabs.com</x:v>
      </x:c>
      <x:c r="G319" s="19" t="str">
        <x:v>Unknown</x:v>
      </x:c>
      <x:c r="H319" s="19" t="str">
        <x:v>其他/待核查</x:v>
      </x:c>
      <x:c r="I319" s="19" t="str">
        <x:v>Similarweb 未分类</x:v>
      </x:c>
      <x:c r="J319" s="19"/>
      <x:c r="K319" s="20" t="n">
        <x:v>0.0078000000000000005</x:v>
      </x:c>
      <x:c r="L319" s="19" t="str">
        <x:v>新出现</x:v>
      </x:c>
      <x:c r="M319" s="20"/>
      <x:c r="N319" s="21" t="n">
        <x:v>52307</x:v>
      </x:c>
      <x:c r="O319" s="21" t="n">
        <x:v>408</x:v>
      </x:c>
      <x:c r="P319" s="21" t="n">
        <x:f>ROUND(N319*K319,0)</x:f>
        <x:v>408</x:v>
      </x:c>
      <x:c r="Q319" s="19" t="str">
        <x:v>否</x:v>
      </x:c>
      <x:c r="R319" s="19" t="str"/>
      <x:c r="S319" s="19" t="n">
        <x:f>IF(Q319="是",0,MIN(10,2+IF(C319="高",2,1)+IF(K319&gt;=3%,3,IF(K319&gt;=1%,2,1))+IF(L319="新出现",2,IF(M319&gt;=100%,3,IF(M319&gt;0,2,0)))))</x:f>
        <x:v>6</x:v>
      </x:c>
      <x:c r="T319" s="21"/>
      <x:c r="U319" s="20"/>
      <x:c r="V319" s="19" t="str">
        <x:v>http://api.thequestlabs.com/</x:v>
      </x:c>
      <x:c r="W319" s="19" t="str">
        <x:v>https://pro.similarweb.com/#/digitalsuite/websiteanalysis/referrals/*/999/1m?webSource=Total&amp;selectedTab=incomingTraffic&amp;key=creem.io</x:v>
      </x:c>
      <x:c r="X319" s="20" t="n">
        <x:f>IF(Q319="是",0,IFERROR(P319/SUMIFS($P$2:$P$964,$A$2:$A$964,A319,$Q$2:$Q$964,"否"),0))</x:f>
        <x:v>0.014964788732394365</x:v>
      </x:c>
      <x:c r="Y319" s="22" t="str">
        <x:f>IF(OR(M319="",U319=""),"未交叉",IF(M319*U319&gt;0,"同向",IF(M319*U319&lt;0,"背离","一侧持平")))</x:f>
        <x:v>未交叉</x:v>
      </x:c>
    </x:row>
    <x:row r="320">
      <x:c r="A320" s="18" t="str">
        <x:v>creem.io</x:v>
      </x:c>
      <x:c r="B320" s="19" t="str">
        <x:v>支付商主域（混合流量）</x:v>
      </x:c>
      <x:c r="C320" s="19" t="str">
        <x:v>中</x:v>
      </x:c>
      <x:c r="D320" s="19" t="str">
        <x:v>Jul 2026</x:v>
      </x:c>
      <x:c r="E320" s="19" t="n">
        <x:v>19</x:v>
      </x:c>
      <x:c r="F320" s="19" t="str">
        <x:v>removebgvideo.com</x:v>
      </x:c>
      <x:c r="G320" s="19" t="str">
        <x:v>Unknown</x:v>
      </x:c>
      <x:c r="H320" s="19" t="str">
        <x:v>其他/待核查</x:v>
      </x:c>
      <x:c r="I320" s="19" t="str">
        <x:v>Similarweb 未分类</x:v>
      </x:c>
      <x:c r="J320" s="19" t="n">
        <x:v>1007938</x:v>
      </x:c>
      <x:c r="K320" s="20" t="n">
        <x:v>0.0066</x:v>
      </x:c>
      <x:c r="L320" s="19" t="str">
        <x:v>新出现</x:v>
      </x:c>
      <x:c r="M320" s="20"/>
      <x:c r="N320" s="21" t="n">
        <x:v>52307</x:v>
      </x:c>
      <x:c r="O320" s="21" t="n">
        <x:v>345</x:v>
      </x:c>
      <x:c r="P320" s="21" t="n">
        <x:f>ROUND(N320*K320,0)</x:f>
        <x:v>345</x:v>
      </x:c>
      <x:c r="Q320" s="19" t="str">
        <x:v>否</x:v>
      </x:c>
      <x:c r="R320" s="19" t="str"/>
      <x:c r="S320" s="19" t="n">
        <x:f>IF(Q320="是",0,MIN(10,2+IF(C320="高",2,1)+IF(K320&gt;=3%,3,IF(K320&gt;=1%,2,1))+IF(L320="新出现",2,IF(M320&gt;=100%,3,IF(M320&gt;0,2,0)))))</x:f>
        <x:v>6</x:v>
      </x:c>
      <x:c r="T320" s="21"/>
      <x:c r="U320" s="20"/>
      <x:c r="V320" s="19" t="str">
        <x:v>http://removebgvideo.com/</x:v>
      </x:c>
      <x:c r="W320" s="19" t="str">
        <x:v>https://pro.similarweb.com/#/digitalsuite/websiteanalysis/referrals/*/999/1m?webSource=Total&amp;selectedTab=incomingTraffic&amp;key=creem.io</x:v>
      </x:c>
      <x:c r="X320" s="20" t="n">
        <x:f>IF(Q320="是",0,IFERROR(P320/SUMIFS($P$2:$P$964,$A$2:$A$964,A320,$Q$2:$Q$964,"否"),0))</x:f>
        <x:v>0.012654049295774648</x:v>
      </x:c>
      <x:c r="Y320" s="22" t="str">
        <x:f>IF(OR(M320="",U320=""),"未交叉",IF(M320*U320&gt;0,"同向",IF(M320*U320&lt;0,"背离","一侧持平")))</x:f>
        <x:v>未交叉</x:v>
      </x:c>
    </x:row>
    <x:row r="321">
      <x:c r="A321" s="18" t="str">
        <x:v>creem.io</x:v>
      </x:c>
      <x:c r="B321" s="19" t="str">
        <x:v>支付商主域（混合流量）</x:v>
      </x:c>
      <x:c r="C321" s="19" t="str">
        <x:v>中</x:v>
      </x:c>
      <x:c r="D321" s="19" t="str">
        <x:v>Jul 2026</x:v>
      </x:c>
      <x:c r="E321" s="19" t="n">
        <x:v>20</x:v>
      </x:c>
      <x:c r="F321" s="19" t="str">
        <x:v>vizflow.xyz</x:v>
      </x:c>
      <x:c r="G321" s="19" t="str">
        <x:v>Unknown</x:v>
      </x:c>
      <x:c r="H321" s="19" t="str">
        <x:v>其他/待核查</x:v>
      </x:c>
      <x:c r="I321" s="19" t="str">
        <x:v>Similarweb 未分类</x:v>
      </x:c>
      <x:c r="J321" s="19" t="n">
        <x:v>6607932</x:v>
      </x:c>
      <x:c r="K321" s="20" t="n">
        <x:v>0.0062</x:v>
      </x:c>
      <x:c r="L321" s="19" t="str">
        <x:v>新出现</x:v>
      </x:c>
      <x:c r="M321" s="20"/>
      <x:c r="N321" s="21" t="n">
        <x:v>52307</x:v>
      </x:c>
      <x:c r="O321" s="21" t="n">
        <x:v>324</x:v>
      </x:c>
      <x:c r="P321" s="21" t="n">
        <x:f>ROUND(N321*K321,0)</x:f>
        <x:v>324</x:v>
      </x:c>
      <x:c r="Q321" s="19" t="str">
        <x:v>否</x:v>
      </x:c>
      <x:c r="R321" s="19" t="str"/>
      <x:c r="S321" s="19" t="n">
        <x:f>IF(Q321="是",0,MIN(10,2+IF(C321="高",2,1)+IF(K321&gt;=3%,3,IF(K321&gt;=1%,2,1))+IF(L321="新出现",2,IF(M321&gt;=100%,3,IF(M321&gt;0,2,0)))))</x:f>
        <x:v>6</x:v>
      </x:c>
      <x:c r="T321" s="21"/>
      <x:c r="U321" s="20"/>
      <x:c r="V321" s="19" t="str">
        <x:v>http://vizflow.xyz/</x:v>
      </x:c>
      <x:c r="W321" s="19" t="str">
        <x:v>https://pro.similarweb.com/#/digitalsuite/websiteanalysis/referrals/*/999/1m?webSource=Total&amp;selectedTab=incomingTraffic&amp;key=creem.io</x:v>
      </x:c>
      <x:c r="X321" s="20" t="n">
        <x:f>IF(Q321="是",0,IFERROR(P321/SUMIFS($P$2:$P$964,$A$2:$A$964,A321,$Q$2:$Q$964,"否"),0))</x:f>
        <x:v>0.011883802816901408</x:v>
      </x:c>
      <x:c r="Y321" s="22" t="str">
        <x:f>IF(OR(M321="",U321=""),"未交叉",IF(M321*U321&gt;0,"同向",IF(M321*U321&lt;0,"背离","一侧持平")))</x:f>
        <x:v>未交叉</x:v>
      </x:c>
    </x:row>
    <x:row r="322">
      <x:c r="A322" s="18" t="str">
        <x:v>creem.io</x:v>
      </x:c>
      <x:c r="B322" s="19" t="str">
        <x:v>支付商主域（混合流量）</x:v>
      </x:c>
      <x:c r="C322" s="19" t="str">
        <x:v>中</x:v>
      </x:c>
      <x:c r="D322" s="19" t="str">
        <x:v>Jul 2026</x:v>
      </x:c>
      <x:c r="E322" s="19" t="n">
        <x:v>21</x:v>
      </x:c>
      <x:c r="F322" s="19" t="str">
        <x:v>lincspider.kwverdit.com</x:v>
      </x:c>
      <x:c r="G322" s="19" t="str">
        <x:v>Unknown</x:v>
      </x:c>
      <x:c r="H322" s="19" t="str">
        <x:v>其他/待核查</x:v>
      </x:c>
      <x:c r="I322" s="19" t="str">
        <x:v>Similarweb 未分类</x:v>
      </x:c>
      <x:c r="J322" s="19"/>
      <x:c r="K322" s="20" t="n">
        <x:v>0.0062</x:v>
      </x:c>
      <x:c r="L322" s="19" t="str">
        <x:v>新出现</x:v>
      </x:c>
      <x:c r="M322" s="20"/>
      <x:c r="N322" s="21" t="n">
        <x:v>52307</x:v>
      </x:c>
      <x:c r="O322" s="21" t="n">
        <x:v>324</x:v>
      </x:c>
      <x:c r="P322" s="21" t="n">
        <x:f>ROUND(N322*K322,0)</x:f>
        <x:v>324</x:v>
      </x:c>
      <x:c r="Q322" s="19" t="str">
        <x:v>否</x:v>
      </x:c>
      <x:c r="R322" s="19" t="str"/>
      <x:c r="S322" s="19" t="n">
        <x:f>IF(Q322="是",0,MIN(10,2+IF(C322="高",2,1)+IF(K322&gt;=3%,3,IF(K322&gt;=1%,2,1))+IF(L322="新出现",2,IF(M322&gt;=100%,3,IF(M322&gt;0,2,0)))))</x:f>
        <x:v>6</x:v>
      </x:c>
      <x:c r="T322" s="21"/>
      <x:c r="U322" s="20"/>
      <x:c r="V322" s="19" t="str">
        <x:v>http://lincspider.kwverdit.com/</x:v>
      </x:c>
      <x:c r="W322" s="19" t="str">
        <x:v>https://pro.similarweb.com/#/digitalsuite/websiteanalysis/referrals/*/999/1m?webSource=Total&amp;selectedTab=incomingTraffic&amp;key=creem.io</x:v>
      </x:c>
      <x:c r="X322" s="20" t="n">
        <x:f>IF(Q322="是",0,IFERROR(P322/SUMIFS($P$2:$P$964,$A$2:$A$964,A322,$Q$2:$Q$964,"否"),0))</x:f>
        <x:v>0.011883802816901408</x:v>
      </x:c>
      <x:c r="Y322" s="22" t="str">
        <x:f>IF(OR(M322="",U322=""),"未交叉",IF(M322*U322&gt;0,"同向",IF(M322*U322&lt;0,"背离","一侧持平")))</x:f>
        <x:v>未交叉</x:v>
      </x:c>
    </x:row>
    <x:row r="323">
      <x:c r="A323" s="18" t="str">
        <x:v>creem.io</x:v>
      </x:c>
      <x:c r="B323" s="19" t="str">
        <x:v>支付商主域（混合流量）</x:v>
      </x:c>
      <x:c r="C323" s="19" t="str">
        <x:v>中</x:v>
      </x:c>
      <x:c r="D323" s="19" t="str">
        <x:v>Jul 2026</x:v>
      </x:c>
      <x:c r="E323" s="19" t="n">
        <x:v>22</x:v>
      </x:c>
      <x:c r="F323" s="19" t="str">
        <x:v>autorec.app</x:v>
      </x:c>
      <x:c r="G323" s="19" t="str">
        <x:v>Unknown</x:v>
      </x:c>
      <x:c r="H323" s="19" t="str">
        <x:v>其他/待核查</x:v>
      </x:c>
      <x:c r="I323" s="19" t="str">
        <x:v>Similarweb 未分类</x:v>
      </x:c>
      <x:c r="J323" s="19"/>
      <x:c r="K323" s="20" t="n">
        <x:v>0.005</x:v>
      </x:c>
      <x:c r="L323" s="19" t="str">
        <x:v>新出现</x:v>
      </x:c>
      <x:c r="M323" s="20"/>
      <x:c r="N323" s="21" t="n">
        <x:v>52307</x:v>
      </x:c>
      <x:c r="O323" s="21" t="n">
        <x:v>262</x:v>
      </x:c>
      <x:c r="P323" s="21" t="n">
        <x:f>ROUND(N323*K323,0)</x:f>
        <x:v>262</x:v>
      </x:c>
      <x:c r="Q323" s="19" t="str">
        <x:v>否</x:v>
      </x:c>
      <x:c r="R323" s="19" t="str"/>
      <x:c r="S323" s="19" t="n">
        <x:f>IF(Q323="是",0,MIN(10,2+IF(C323="高",2,1)+IF(K323&gt;=3%,3,IF(K323&gt;=1%,2,1))+IF(L323="新出现",2,IF(M323&gt;=100%,3,IF(M323&gt;0,2,0)))))</x:f>
        <x:v>6</x:v>
      </x:c>
      <x:c r="T323" s="21"/>
      <x:c r="U323" s="20"/>
      <x:c r="V323" s="19" t="str">
        <x:v>http://autorec.app/</x:v>
      </x:c>
      <x:c r="W323" s="19" t="str">
        <x:v>https://pro.similarweb.com/#/digitalsuite/websiteanalysis/referrals/*/999/1m?webSource=Total&amp;selectedTab=incomingTraffic&amp;key=creem.io</x:v>
      </x:c>
      <x:c r="X323" s="20" t="n">
        <x:f>IF(Q323="是",0,IFERROR(P323/SUMIFS($P$2:$P$964,$A$2:$A$964,A323,$Q$2:$Q$964,"否"),0))</x:f>
        <x:v>0.009609741784037559</x:v>
      </x:c>
      <x:c r="Y323" s="22" t="str">
        <x:f>IF(OR(M323="",U323=""),"未交叉",IF(M323*U323&gt;0,"同向",IF(M323*U323&lt;0,"背离","一侧持平")))</x:f>
        <x:v>未交叉</x:v>
      </x:c>
    </x:row>
    <x:row r="324">
      <x:c r="A324" s="18" t="str">
        <x:v>creem.io</x:v>
      </x:c>
      <x:c r="B324" s="19" t="str">
        <x:v>支付商主域（混合流量）</x:v>
      </x:c>
      <x:c r="C324" s="19" t="str">
        <x:v>中</x:v>
      </x:c>
      <x:c r="D324" s="19" t="str">
        <x:v>Jul 2026</x:v>
      </x:c>
      <x:c r="E324" s="19" t="n">
        <x:v>23</x:v>
      </x:c>
      <x:c r="F324" s="19" t="str">
        <x:v>trendkraken.com</x:v>
      </x:c>
      <x:c r="G324" s="19" t="str">
        <x:v>Unknown</x:v>
      </x:c>
      <x:c r="H324" s="19" t="str">
        <x:v>其他/待核查</x:v>
      </x:c>
      <x:c r="I324" s="19" t="str">
        <x:v>Similarweb 未分类</x:v>
      </x:c>
      <x:c r="J324" s="19"/>
      <x:c r="K324" s="20" t="n">
        <x:v>0.0042</x:v>
      </x:c>
      <x:c r="L324" s="19" t="str">
        <x:v>新出现</x:v>
      </x:c>
      <x:c r="M324" s="20"/>
      <x:c r="N324" s="21" t="n">
        <x:v>52307</x:v>
      </x:c>
      <x:c r="O324" s="21" t="n">
        <x:v>220</x:v>
      </x:c>
      <x:c r="P324" s="21" t="n">
        <x:f>ROUND(N324*K324,0)</x:f>
        <x:v>220</x:v>
      </x:c>
      <x:c r="Q324" s="19" t="str">
        <x:v>否</x:v>
      </x:c>
      <x:c r="R324" s="19" t="str"/>
      <x:c r="S324" s="19" t="n">
        <x:f>IF(Q324="是",0,MIN(10,2+IF(C324="高",2,1)+IF(K324&gt;=3%,3,IF(K324&gt;=1%,2,1))+IF(L324="新出现",2,IF(M324&gt;=100%,3,IF(M324&gt;0,2,0)))))</x:f>
        <x:v>6</x:v>
      </x:c>
      <x:c r="T324" s="21"/>
      <x:c r="U324" s="20"/>
      <x:c r="V324" s="19" t="str">
        <x:v>http://trendkraken.com/</x:v>
      </x:c>
      <x:c r="W324" s="19" t="str">
        <x:v>https://pro.similarweb.com/#/digitalsuite/websiteanalysis/referrals/*/999/1m?webSource=Total&amp;selectedTab=incomingTraffic&amp;key=creem.io</x:v>
      </x:c>
      <x:c r="X324" s="20" t="n">
        <x:f>IF(Q324="是",0,IFERROR(P324/SUMIFS($P$2:$P$964,$A$2:$A$964,A324,$Q$2:$Q$964,"否"),0))</x:f>
        <x:v>0.00806924882629108</x:v>
      </x:c>
      <x:c r="Y324" s="22" t="str">
        <x:f>IF(OR(M324="",U324=""),"未交叉",IF(M324*U324&gt;0,"同向",IF(M324*U324&lt;0,"背离","一侧持平")))</x:f>
        <x:v>未交叉</x:v>
      </x:c>
    </x:row>
    <x:row r="325">
      <x:c r="A325" s="18" t="str">
        <x:v>creem.io</x:v>
      </x:c>
      <x:c r="B325" s="19" t="str">
        <x:v>支付商主域（混合流量）</x:v>
      </x:c>
      <x:c r="C325" s="19" t="str">
        <x:v>中</x:v>
      </x:c>
      <x:c r="D325" s="19" t="str">
        <x:v>Jul 2026</x:v>
      </x:c>
      <x:c r="E325" s="19" t="n">
        <x:v>24</x:v>
      </x:c>
      <x:c r="F325" s="19" t="str">
        <x:v>pinglaze.com</x:v>
      </x:c>
      <x:c r="G325" s="19" t="str">
        <x:v>Unknown</x:v>
      </x:c>
      <x:c r="H325" s="19" t="str">
        <x:v>其他/待核查</x:v>
      </x:c>
      <x:c r="I325" s="19" t="str">
        <x:v>Similarweb 未分类</x:v>
      </x:c>
      <x:c r="J325" s="19"/>
      <x:c r="K325" s="20" t="n">
        <x:v>0.0042</x:v>
      </x:c>
      <x:c r="L325" s="19" t="str">
        <x:v>新出现</x:v>
      </x:c>
      <x:c r="M325" s="20"/>
      <x:c r="N325" s="21" t="n">
        <x:v>52307</x:v>
      </x:c>
      <x:c r="O325" s="21" t="n">
        <x:v>220</x:v>
      </x:c>
      <x:c r="P325" s="21" t="n">
        <x:f>ROUND(N325*K325,0)</x:f>
        <x:v>220</x:v>
      </x:c>
      <x:c r="Q325" s="19" t="str">
        <x:v>否</x:v>
      </x:c>
      <x:c r="R325" s="19" t="str"/>
      <x:c r="S325" s="19" t="n">
        <x:f>IF(Q325="是",0,MIN(10,2+IF(C325="高",2,1)+IF(K325&gt;=3%,3,IF(K325&gt;=1%,2,1))+IF(L325="新出现",2,IF(M325&gt;=100%,3,IF(M325&gt;0,2,0)))))</x:f>
        <x:v>6</x:v>
      </x:c>
      <x:c r="T325" s="21"/>
      <x:c r="U325" s="20"/>
      <x:c r="V325" s="19" t="str">
        <x:v>http://pinglaze.com/</x:v>
      </x:c>
      <x:c r="W325" s="19" t="str">
        <x:v>https://pro.similarweb.com/#/digitalsuite/websiteanalysis/referrals/*/999/1m?webSource=Total&amp;selectedTab=incomingTraffic&amp;key=creem.io</x:v>
      </x:c>
      <x:c r="X325" s="20" t="n">
        <x:f>IF(Q325="是",0,IFERROR(P325/SUMIFS($P$2:$P$964,$A$2:$A$964,A325,$Q$2:$Q$964,"否"),0))</x:f>
        <x:v>0.00806924882629108</x:v>
      </x:c>
      <x:c r="Y325" s="22" t="str">
        <x:f>IF(OR(M325="",U325=""),"未交叉",IF(M325*U325&gt;0,"同向",IF(M325*U325&lt;0,"背离","一侧持平")))</x:f>
        <x:v>未交叉</x:v>
      </x:c>
    </x:row>
    <x:row r="326">
      <x:c r="A326" s="18" t="str">
        <x:v>creem.io</x:v>
      </x:c>
      <x:c r="B326" s="19" t="str">
        <x:v>支付商主域（混合流量）</x:v>
      </x:c>
      <x:c r="C326" s="19" t="str">
        <x:v>中</x:v>
      </x:c>
      <x:c r="D326" s="19" t="str">
        <x:v>Jul 2026</x:v>
      </x:c>
      <x:c r="E326" s="19" t="n">
        <x:v>25</x:v>
      </x:c>
      <x:c r="F326" s="19" t="str">
        <x:v>voroxi.ai</x:v>
      </x:c>
      <x:c r="G326" s="19" t="str">
        <x:v>Unknown</x:v>
      </x:c>
      <x:c r="H326" s="19" t="str">
        <x:v>AI 工具与应用（未细分）</x:v>
      </x:c>
      <x:c r="I326" s="19" t="str">
        <x:v>域名后缀启发式</x:v>
      </x:c>
      <x:c r="J326" s="19" t="n">
        <x:v>4567188</x:v>
      </x:c>
      <x:c r="K326" s="20" t="n">
        <x:v>0.0042</x:v>
      </x:c>
      <x:c r="L326" s="19" t="str">
        <x:v>新出现</x:v>
      </x:c>
      <x:c r="M326" s="20"/>
      <x:c r="N326" s="21" t="n">
        <x:v>52307</x:v>
      </x:c>
      <x:c r="O326" s="21" t="n">
        <x:v>220</x:v>
      </x:c>
      <x:c r="P326" s="21" t="n">
        <x:f>ROUND(N326*K326,0)</x:f>
        <x:v>220</x:v>
      </x:c>
      <x:c r="Q326" s="19" t="str">
        <x:v>否</x:v>
      </x:c>
      <x:c r="R326" s="19" t="str"/>
      <x:c r="S326" s="19" t="n">
        <x:f>IF(Q326="是",0,MIN(10,2+IF(C326="高",2,1)+IF(K326&gt;=3%,3,IF(K326&gt;=1%,2,1))+IF(L326="新出现",2,IF(M326&gt;=100%,3,IF(M326&gt;0,2,0)))))</x:f>
        <x:v>6</x:v>
      </x:c>
      <x:c r="T326" s="21"/>
      <x:c r="U326" s="20"/>
      <x:c r="V326" s="19" t="str">
        <x:v>http://voroxi.ai/</x:v>
      </x:c>
      <x:c r="W326" s="19" t="str">
        <x:v>https://pro.similarweb.com/#/digitalsuite/websiteanalysis/referrals/*/999/1m?webSource=Total&amp;selectedTab=incomingTraffic&amp;key=creem.io</x:v>
      </x:c>
      <x:c r="X326" s="20" t="n">
        <x:f>IF(Q326="是",0,IFERROR(P326/SUMIFS($P$2:$P$964,$A$2:$A$964,A326,$Q$2:$Q$964,"否"),0))</x:f>
        <x:v>0.00806924882629108</x:v>
      </x:c>
      <x:c r="Y326" s="22" t="str">
        <x:f>IF(OR(M326="",U326=""),"未交叉",IF(M326*U326&gt;0,"同向",IF(M326*U326&lt;0,"背离","一侧持平")))</x:f>
        <x:v>未交叉</x:v>
      </x:c>
    </x:row>
    <x:row r="327">
      <x:c r="A327" s="18" t="str">
        <x:v>creem.io</x:v>
      </x:c>
      <x:c r="B327" s="19" t="str">
        <x:v>支付商主域（混合流量）</x:v>
      </x:c>
      <x:c r="C327" s="19" t="str">
        <x:v>中</x:v>
      </x:c>
      <x:c r="D327" s="19" t="str">
        <x:v>Jul 2026</x:v>
      </x:c>
      <x:c r="E327" s="19" t="n">
        <x:v>26</x:v>
      </x:c>
      <x:c r="F327" s="19" t="str">
        <x:v>eulogysmith.com</x:v>
      </x:c>
      <x:c r="G327" s="19" t="str">
        <x:v>Unknown</x:v>
      </x:c>
      <x:c r="H327" s="19" t="str">
        <x:v>其他/待核查</x:v>
      </x:c>
      <x:c r="I327" s="19" t="str">
        <x:v>Similarweb 未分类</x:v>
      </x:c>
      <x:c r="J327" s="19"/>
      <x:c r="K327" s="20" t="n">
        <x:v>0.0042</x:v>
      </x:c>
      <x:c r="L327" s="19" t="str">
        <x:v>新出现</x:v>
      </x:c>
      <x:c r="M327" s="20"/>
      <x:c r="N327" s="21" t="n">
        <x:v>52307</x:v>
      </x:c>
      <x:c r="O327" s="21" t="n">
        <x:v>220</x:v>
      </x:c>
      <x:c r="P327" s="21" t="n">
        <x:f>ROUND(N327*K327,0)</x:f>
        <x:v>220</x:v>
      </x:c>
      <x:c r="Q327" s="19" t="str">
        <x:v>否</x:v>
      </x:c>
      <x:c r="R327" s="19" t="str"/>
      <x:c r="S327" s="19" t="n">
        <x:f>IF(Q327="是",0,MIN(10,2+IF(C327="高",2,1)+IF(K327&gt;=3%,3,IF(K327&gt;=1%,2,1))+IF(L327="新出现",2,IF(M327&gt;=100%,3,IF(M327&gt;0,2,0)))))</x:f>
        <x:v>6</x:v>
      </x:c>
      <x:c r="T327" s="21"/>
      <x:c r="U327" s="20"/>
      <x:c r="V327" s="19" t="str">
        <x:v>http://eulogysmith.com/</x:v>
      </x:c>
      <x:c r="W327" s="19" t="str">
        <x:v>https://pro.similarweb.com/#/digitalsuite/websiteanalysis/referrals/*/999/1m?webSource=Total&amp;selectedTab=incomingTraffic&amp;key=creem.io</x:v>
      </x:c>
      <x:c r="X327" s="20" t="n">
        <x:f>IF(Q327="是",0,IFERROR(P327/SUMIFS($P$2:$P$964,$A$2:$A$964,A327,$Q$2:$Q$964,"否"),0))</x:f>
        <x:v>0.00806924882629108</x:v>
      </x:c>
      <x:c r="Y327" s="22" t="str">
        <x:f>IF(OR(M327="",U327=""),"未交叉",IF(M327*U327&gt;0,"同向",IF(M327*U327&lt;0,"背离","一侧持平")))</x:f>
        <x:v>未交叉</x:v>
      </x:c>
    </x:row>
    <x:row r="328">
      <x:c r="A328" s="18" t="str">
        <x:v>creem.io</x:v>
      </x:c>
      <x:c r="B328" s="19" t="str">
        <x:v>支付商主域（混合流量）</x:v>
      </x:c>
      <x:c r="C328" s="19" t="str">
        <x:v>中</x:v>
      </x:c>
      <x:c r="D328" s="19" t="str">
        <x:v>Jul 2026</x:v>
      </x:c>
      <x:c r="E328" s="19" t="n">
        <x:v>27</x:v>
      </x:c>
      <x:c r="F328" s="19" t="str">
        <x:v>resumma.com</x:v>
      </x:c>
      <x:c r="G328" s="19" t="str">
        <x:v>Unknown</x:v>
      </x:c>
      <x:c r="H328" s="19" t="str">
        <x:v>其他/待核查</x:v>
      </x:c>
      <x:c r="I328" s="19" t="str">
        <x:v>Similarweb 未分类</x:v>
      </x:c>
      <x:c r="J328" s="19" t="n">
        <x:v>6381683</x:v>
      </x:c>
      <x:c r="K328" s="20" t="n">
        <x:v>0.0042</x:v>
      </x:c>
      <x:c r="L328" s="19" t="str">
        <x:v>新出现</x:v>
      </x:c>
      <x:c r="M328" s="20"/>
      <x:c r="N328" s="21" t="n">
        <x:v>52307</x:v>
      </x:c>
      <x:c r="O328" s="21" t="n">
        <x:v>220</x:v>
      </x:c>
      <x:c r="P328" s="21" t="n">
        <x:f>ROUND(N328*K328,0)</x:f>
        <x:v>220</x:v>
      </x:c>
      <x:c r="Q328" s="19" t="str">
        <x:v>否</x:v>
      </x:c>
      <x:c r="R328" s="19" t="str"/>
      <x:c r="S328" s="19" t="n">
        <x:f>IF(Q328="是",0,MIN(10,2+IF(C328="高",2,1)+IF(K328&gt;=3%,3,IF(K328&gt;=1%,2,1))+IF(L328="新出现",2,IF(M328&gt;=100%,3,IF(M328&gt;0,2,0)))))</x:f>
        <x:v>6</x:v>
      </x:c>
      <x:c r="T328" s="21"/>
      <x:c r="U328" s="20"/>
      <x:c r="V328" s="19" t="str">
        <x:v>http://resumma.com/</x:v>
      </x:c>
      <x:c r="W328" s="19" t="str">
        <x:v>https://pro.similarweb.com/#/digitalsuite/websiteanalysis/referrals/*/999/1m?webSource=Total&amp;selectedTab=incomingTraffic&amp;key=creem.io</x:v>
      </x:c>
      <x:c r="X328" s="20" t="n">
        <x:f>IF(Q328="是",0,IFERROR(P328/SUMIFS($P$2:$P$964,$A$2:$A$964,A328,$Q$2:$Q$964,"否"),0))</x:f>
        <x:v>0.00806924882629108</x:v>
      </x:c>
      <x:c r="Y328" s="22" t="str">
        <x:f>IF(OR(M328="",U328=""),"未交叉",IF(M328*U328&gt;0,"同向",IF(M328*U328&lt;0,"背离","一侧持平")))</x:f>
        <x:v>未交叉</x:v>
      </x:c>
    </x:row>
    <x:row r="329">
      <x:c r="A329" s="18" t="str">
        <x:v>creem.io</x:v>
      </x:c>
      <x:c r="B329" s="19" t="str">
        <x:v>支付商主域（混合流量）</x:v>
      </x:c>
      <x:c r="C329" s="19" t="str">
        <x:v>中</x:v>
      </x:c>
      <x:c r="D329" s="19" t="str">
        <x:v>Jul 2026</x:v>
      </x:c>
      <x:c r="E329" s="19" t="n">
        <x:v>28</x:v>
      </x:c>
      <x:c r="F329" s="19" t="str">
        <x:v>hidemysong.com</x:v>
      </x:c>
      <x:c r="G329" s="19" t="str">
        <x:v>Unknown</x:v>
      </x:c>
      <x:c r="H329" s="19" t="str">
        <x:v>其他/待核查</x:v>
      </x:c>
      <x:c r="I329" s="19" t="str">
        <x:v>Similarweb 未分类</x:v>
      </x:c>
      <x:c r="J329" s="19" t="n">
        <x:v>2607046</x:v>
      </x:c>
      <x:c r="K329" s="20" t="n">
        <x:v>0.004</x:v>
      </x:c>
      <x:c r="L329" s="19" t="str">
        <x:v>新出现</x:v>
      </x:c>
      <x:c r="M329" s="20"/>
      <x:c r="N329" s="21" t="n">
        <x:v>52307</x:v>
      </x:c>
      <x:c r="O329" s="21" t="n">
        <x:v>209</x:v>
      </x:c>
      <x:c r="P329" s="21" t="n">
        <x:f>ROUND(N329*K329,0)</x:f>
        <x:v>209</x:v>
      </x:c>
      <x:c r="Q329" s="19" t="str">
        <x:v>否</x:v>
      </x:c>
      <x:c r="R329" s="19" t="str"/>
      <x:c r="S329" s="19" t="n">
        <x:f>IF(Q329="是",0,MIN(10,2+IF(C329="高",2,1)+IF(K329&gt;=3%,3,IF(K329&gt;=1%,2,1))+IF(L329="新出现",2,IF(M329&gt;=100%,3,IF(M329&gt;0,2,0)))))</x:f>
        <x:v>6</x:v>
      </x:c>
      <x:c r="T329" s="21"/>
      <x:c r="U329" s="20"/>
      <x:c r="V329" s="19" t="str">
        <x:v>http://hidemysong.com/</x:v>
      </x:c>
      <x:c r="W329" s="19" t="str">
        <x:v>https://pro.similarweb.com/#/digitalsuite/websiteanalysis/referrals/*/999/1m?webSource=Total&amp;selectedTab=incomingTraffic&amp;key=creem.io</x:v>
      </x:c>
      <x:c r="X329" s="20" t="n">
        <x:f>IF(Q329="是",0,IFERROR(P329/SUMIFS($P$2:$P$964,$A$2:$A$964,A329,$Q$2:$Q$964,"否"),0))</x:f>
        <x:v>0.0076657863849765254</x:v>
      </x:c>
      <x:c r="Y329" s="22" t="str">
        <x:f>IF(OR(M329="",U329=""),"未交叉",IF(M329*U329&gt;0,"同向",IF(M329*U329&lt;0,"背离","一侧持平")))</x:f>
        <x:v>未交叉</x:v>
      </x:c>
    </x:row>
    <x:row r="330">
      <x:c r="A330" s="18" t="str">
        <x:v>creem.io</x:v>
      </x:c>
      <x:c r="B330" s="19" t="str">
        <x:v>支付商主域（混合流量）</x:v>
      </x:c>
      <x:c r="C330" s="19" t="str">
        <x:v>中</x:v>
      </x:c>
      <x:c r="D330" s="19" t="str">
        <x:v>Jul 2026</x:v>
      </x:c>
      <x:c r="E330" s="19" t="n">
        <x:v>29</x:v>
      </x:c>
      <x:c r="F330" s="19" t="str">
        <x:v>audioerase.com</x:v>
      </x:c>
      <x:c r="G330" s="19" t="str">
        <x:v>Unknown</x:v>
      </x:c>
      <x:c r="H330" s="19" t="str">
        <x:v>其他/待核查</x:v>
      </x:c>
      <x:c r="I330" s="19" t="str">
        <x:v>Similarweb 未分类</x:v>
      </x:c>
      <x:c r="J330" s="19"/>
      <x:c r="K330" s="20" t="n">
        <x:v>0.004</x:v>
      </x:c>
      <x:c r="L330" s="19" t="str">
        <x:v>新出现</x:v>
      </x:c>
      <x:c r="M330" s="20"/>
      <x:c r="N330" s="21" t="n">
        <x:v>52307</x:v>
      </x:c>
      <x:c r="O330" s="21" t="n">
        <x:v>209</x:v>
      </x:c>
      <x:c r="P330" s="21" t="n">
        <x:f>ROUND(N330*K330,0)</x:f>
        <x:v>209</x:v>
      </x:c>
      <x:c r="Q330" s="19" t="str">
        <x:v>否</x:v>
      </x:c>
      <x:c r="R330" s="19" t="str"/>
      <x:c r="S330" s="19" t="n">
        <x:f>IF(Q330="是",0,MIN(10,2+IF(C330="高",2,1)+IF(K330&gt;=3%,3,IF(K330&gt;=1%,2,1))+IF(L330="新出现",2,IF(M330&gt;=100%,3,IF(M330&gt;0,2,0)))))</x:f>
        <x:v>6</x:v>
      </x:c>
      <x:c r="T330" s="21"/>
      <x:c r="U330" s="20"/>
      <x:c r="V330" s="19" t="str">
        <x:v>http://audioerase.com/</x:v>
      </x:c>
      <x:c r="W330" s="19" t="str">
        <x:v>https://pro.similarweb.com/#/digitalsuite/websiteanalysis/referrals/*/999/1m?webSource=Total&amp;selectedTab=incomingTraffic&amp;key=creem.io</x:v>
      </x:c>
      <x:c r="X330" s="20" t="n">
        <x:f>IF(Q330="是",0,IFERROR(P330/SUMIFS($P$2:$P$964,$A$2:$A$964,A330,$Q$2:$Q$964,"否"),0))</x:f>
        <x:v>0.0076657863849765254</x:v>
      </x:c>
      <x:c r="Y330" s="22" t="str">
        <x:f>IF(OR(M330="",U330=""),"未交叉",IF(M330*U330&gt;0,"同向",IF(M330*U330&lt;0,"背离","一侧持平")))</x:f>
        <x:v>未交叉</x:v>
      </x:c>
    </x:row>
    <x:row r="331">
      <x:c r="A331" s="18" t="str">
        <x:v>creem.io</x:v>
      </x:c>
      <x:c r="B331" s="19" t="str">
        <x:v>支付商主域（混合流量）</x:v>
      </x:c>
      <x:c r="C331" s="19" t="str">
        <x:v>中</x:v>
      </x:c>
      <x:c r="D331" s="19" t="str">
        <x:v>Jul 2026</x:v>
      </x:c>
      <x:c r="E331" s="19" t="n">
        <x:v>30</x:v>
      </x:c>
      <x:c r="F331" s="19" t="str">
        <x:v>askming.app</x:v>
      </x:c>
      <x:c r="G331" s="19" t="str">
        <x:v>Unknown</x:v>
      </x:c>
      <x:c r="H331" s="19" t="str">
        <x:v>其他/待核查</x:v>
      </x:c>
      <x:c r="I331" s="19" t="str">
        <x:v>Similarweb 未分类</x:v>
      </x:c>
      <x:c r="J331" s="19"/>
      <x:c r="K331" s="20" t="n">
        <x:v>0.0037</x:v>
      </x:c>
      <x:c r="L331" s="19" t="str">
        <x:v>新出现</x:v>
      </x:c>
      <x:c r="M331" s="20"/>
      <x:c r="N331" s="21" t="n">
        <x:v>52307</x:v>
      </x:c>
      <x:c r="O331" s="21" t="n">
        <x:v>194</x:v>
      </x:c>
      <x:c r="P331" s="21" t="n">
        <x:f>ROUND(N331*K331,0)</x:f>
        <x:v>194</x:v>
      </x:c>
      <x:c r="Q331" s="19" t="str">
        <x:v>否</x:v>
      </x:c>
      <x:c r="R331" s="19" t="str"/>
      <x:c r="S331" s="19" t="n">
        <x:f>IF(Q331="是",0,MIN(10,2+IF(C331="高",2,1)+IF(K331&gt;=3%,3,IF(K331&gt;=1%,2,1))+IF(L331="新出现",2,IF(M331&gt;=100%,3,IF(M331&gt;0,2,0)))))</x:f>
        <x:v>6</x:v>
      </x:c>
      <x:c r="T331" s="21"/>
      <x:c r="U331" s="20"/>
      <x:c r="V331" s="19" t="str">
        <x:v>http://askming.app/</x:v>
      </x:c>
      <x:c r="W331" s="19" t="str">
        <x:v>https://pro.similarweb.com/#/digitalsuite/websiteanalysis/referrals/*/999/1m?webSource=Total&amp;selectedTab=incomingTraffic&amp;key=creem.io</x:v>
      </x:c>
      <x:c r="X331" s="20" t="n">
        <x:f>IF(Q331="是",0,IFERROR(P331/SUMIFS($P$2:$P$964,$A$2:$A$964,A331,$Q$2:$Q$964,"否"),0))</x:f>
        <x:v>0.007115610328638498</x:v>
      </x:c>
      <x:c r="Y331" s="22" t="str">
        <x:f>IF(OR(M331="",U331=""),"未交叉",IF(M331*U331&gt;0,"同向",IF(M331*U331&lt;0,"背离","一侧持平")))</x:f>
        <x:v>未交叉</x:v>
      </x:c>
    </x:row>
    <x:row r="332">
      <x:c r="A332" s="18" t="str">
        <x:v>creem.io</x:v>
      </x:c>
      <x:c r="B332" s="19" t="str">
        <x:v>支付商主域（混合流量）</x:v>
      </x:c>
      <x:c r="C332" s="19" t="str">
        <x:v>中</x:v>
      </x:c>
      <x:c r="D332" s="19" t="str">
        <x:v>Jul 2026</x:v>
      </x:c>
      <x:c r="E332" s="19" t="n">
        <x:v>31</x:v>
      </x:c>
      <x:c r="F332" s="19" t="str">
        <x:v>facelessreels.app</x:v>
      </x:c>
      <x:c r="G332" s="19" t="str">
        <x:v>Unknown</x:v>
      </x:c>
      <x:c r="H332" s="19" t="str">
        <x:v>其他/待核查</x:v>
      </x:c>
      <x:c r="I332" s="19" t="str">
        <x:v>Similarweb 未分类</x:v>
      </x:c>
      <x:c r="J332" s="19" t="n">
        <x:v>765399</x:v>
      </x:c>
      <x:c r="K332" s="20" t="n">
        <x:v>0.0036</x:v>
      </x:c>
      <x:c r="L332" s="19" t="str">
        <x:v>新出现</x:v>
      </x:c>
      <x:c r="M332" s="20"/>
      <x:c r="N332" s="21" t="n">
        <x:v>52307</x:v>
      </x:c>
      <x:c r="O332" s="21" t="n">
        <x:v>188</x:v>
      </x:c>
      <x:c r="P332" s="21" t="n">
        <x:f>ROUND(N332*K332,0)</x:f>
        <x:v>188</x:v>
      </x:c>
      <x:c r="Q332" s="19" t="str">
        <x:v>否</x:v>
      </x:c>
      <x:c r="R332" s="19" t="str"/>
      <x:c r="S332" s="19" t="n">
        <x:f>IF(Q332="是",0,MIN(10,2+IF(C332="高",2,1)+IF(K332&gt;=3%,3,IF(K332&gt;=1%,2,1))+IF(L332="新出现",2,IF(M332&gt;=100%,3,IF(M332&gt;0,2,0)))))</x:f>
        <x:v>6</x:v>
      </x:c>
      <x:c r="T332" s="21"/>
      <x:c r="U332" s="20"/>
      <x:c r="V332" s="19" t="str">
        <x:v>http://facelessreels.app/</x:v>
      </x:c>
      <x:c r="W332" s="19" t="str">
        <x:v>https://pro.similarweb.com/#/digitalsuite/websiteanalysis/referrals/*/999/1m?webSource=Total&amp;selectedTab=incomingTraffic&amp;key=creem.io</x:v>
      </x:c>
      <x:c r="X332" s="20" t="n">
        <x:f>IF(Q332="是",0,IFERROR(P332/SUMIFS($P$2:$P$964,$A$2:$A$964,A332,$Q$2:$Q$964,"否"),0))</x:f>
        <x:v>0.006895539906103286</x:v>
      </x:c>
      <x:c r="Y332" s="22" t="str">
        <x:f>IF(OR(M332="",U332=""),"未交叉",IF(M332*U332&gt;0,"同向",IF(M332*U332&lt;0,"背离","一侧持平")))</x:f>
        <x:v>未交叉</x:v>
      </x:c>
    </x:row>
    <x:row r="333">
      <x:c r="A333" s="18" t="str">
        <x:v>creem.io</x:v>
      </x:c>
      <x:c r="B333" s="19" t="str">
        <x:v>支付商主域（混合流量）</x:v>
      </x:c>
      <x:c r="C333" s="19" t="str">
        <x:v>中</x:v>
      </x:c>
      <x:c r="D333" s="19" t="str">
        <x:v>Jul 2026</x:v>
      </x:c>
      <x:c r="E333" s="19" t="n">
        <x:v>32</x:v>
      </x:c>
      <x:c r="F333" s="19" t="str">
        <x:v>vidstudio.pro</x:v>
      </x:c>
      <x:c r="G333" s="19" t="str">
        <x:v>Unknown</x:v>
      </x:c>
      <x:c r="H333" s="19" t="str">
        <x:v>其他/待核查</x:v>
      </x:c>
      <x:c r="I333" s="19" t="str">
        <x:v>Similarweb 未分类</x:v>
      </x:c>
      <x:c r="J333" s="19"/>
      <x:c r="K333" s="20" t="n">
        <x:v>0.0013</x:v>
      </x:c>
      <x:c r="L333" s="19" t="str">
        <x:v>上升</x:v>
      </x:c>
      <x:c r="M333" s="20" t="n">
        <x:v>2.0611</x:v>
      </x:c>
      <x:c r="N333" s="21" t="n">
        <x:v>52307</x:v>
      </x:c>
      <x:c r="O333" s="21" t="n">
        <x:v>68</x:v>
      </x:c>
      <x:c r="P333" s="21" t="n">
        <x:f>ROUND(N333*K333,0)</x:f>
        <x:v>68</x:v>
      </x:c>
      <x:c r="Q333" s="19" t="str">
        <x:v>否</x:v>
      </x:c>
      <x:c r="R333" s="19" t="str"/>
      <x:c r="S333" s="19" t="n">
        <x:f>IF(Q333="是",0,MIN(10,2+IF(C333="高",2,1)+IF(K333&gt;=3%,3,IF(K333&gt;=1%,2,1))+IF(L333="新出现",2,IF(M333&gt;=100%,3,IF(M333&gt;0,2,0)))))</x:f>
        <x:v>7</x:v>
      </x:c>
      <x:c r="T333" s="21"/>
      <x:c r="U333" s="20"/>
      <x:c r="V333" s="19" t="str">
        <x:v>http://vidstudio.pro/</x:v>
      </x:c>
      <x:c r="W333" s="19" t="str">
        <x:v>https://pro.similarweb.com/#/digitalsuite/websiteanalysis/referrals/*/999/1m?webSource=Total&amp;selectedTab=incomingTraffic&amp;key=creem.io</x:v>
      </x:c>
      <x:c r="X333" s="20" t="n">
        <x:f>IF(Q333="是",0,IFERROR(P333/SUMIFS($P$2:$P$964,$A$2:$A$964,A333,$Q$2:$Q$964,"否"),0))</x:f>
        <x:v>0.002494131455399061</x:v>
      </x:c>
      <x:c r="Y333" s="22" t="str">
        <x:f>IF(OR(M333="",U333=""),"未交叉",IF(M333*U333&gt;0,"同向",IF(M333*U333&lt;0,"背离","一侧持平")))</x:f>
        <x:v>未交叉</x:v>
      </x:c>
    </x:row>
    <x:row r="334">
      <x:c r="A334" s="18" t="str">
        <x:v>creem.io</x:v>
      </x:c>
      <x:c r="B334" s="19" t="str">
        <x:v>支付商主域（混合流量）</x:v>
      </x:c>
      <x:c r="C334" s="19" t="str">
        <x:v>中</x:v>
      </x:c>
      <x:c r="D334" s="19" t="str">
        <x:v>Jul 2026</x:v>
      </x:c>
      <x:c r="E334" s="19" t="n">
        <x:v>33</x:v>
      </x:c>
      <x:c r="F334" s="19" t="str">
        <x:v>saasykit.com</x:v>
      </x:c>
      <x:c r="G334" s="19" t="str">
        <x:v>Web Hosting and Domain Names</x:v>
      </x:c>
      <x:c r="H334" s="19" t="str">
        <x:v>开发者工具与互联网基础设施</x:v>
      </x:c>
      <x:c r="I334" s="19" t="str">
        <x:v>Similarweb 行业映射</x:v>
      </x:c>
      <x:c r="J334" s="19" t="n">
        <x:v>1285405</x:v>
      </x:c>
      <x:c r="K334" s="20" t="n">
        <x:v>0.0013</x:v>
      </x:c>
      <x:c r="L334" s="19" t="str">
        <x:v>新出现</x:v>
      </x:c>
      <x:c r="M334" s="20"/>
      <x:c r="N334" s="21" t="n">
        <x:v>52307</x:v>
      </x:c>
      <x:c r="O334" s="21" t="n">
        <x:v>68</x:v>
      </x:c>
      <x:c r="P334" s="21" t="n">
        <x:f>ROUND(N334*K334,0)</x:f>
        <x:v>68</x:v>
      </x:c>
      <x:c r="Q334" s="19" t="str">
        <x:v>否</x:v>
      </x:c>
      <x:c r="R334" s="19" t="str"/>
      <x:c r="S334" s="19" t="n">
        <x:f>IF(Q334="是",0,MIN(10,2+IF(C334="高",2,1)+IF(K334&gt;=3%,3,IF(K334&gt;=1%,2,1))+IF(L334="新出现",2,IF(M334&gt;=100%,3,IF(M334&gt;0,2,0)))))</x:f>
        <x:v>6</x:v>
      </x:c>
      <x:c r="T334" s="21"/>
      <x:c r="U334" s="20"/>
      <x:c r="V334" s="19" t="str">
        <x:v>http://saasykit.com/</x:v>
      </x:c>
      <x:c r="W334" s="19" t="str">
        <x:v>https://pro.similarweb.com/#/digitalsuite/websiteanalysis/referrals/*/999/1m?webSource=Total&amp;selectedTab=incomingTraffic&amp;key=creem.io</x:v>
      </x:c>
      <x:c r="X334" s="20" t="n">
        <x:f>IF(Q334="是",0,IFERROR(P334/SUMIFS($P$2:$P$964,$A$2:$A$964,A334,$Q$2:$Q$964,"否"),0))</x:f>
        <x:v>0.002494131455399061</x:v>
      </x:c>
      <x:c r="Y334" s="22" t="str">
        <x:f>IF(OR(M334="",U334=""),"未交叉",IF(M334*U334&gt;0,"同向",IF(M334*U334&lt;0,"背离","一侧持平")))</x:f>
        <x:v>未交叉</x:v>
      </x:c>
    </x:row>
    <x:row r="335">
      <x:c r="A335" s="18" t="str">
        <x:v>creem.io</x:v>
      </x:c>
      <x:c r="B335" s="19" t="str">
        <x:v>支付商主域（混合流量）</x:v>
      </x:c>
      <x:c r="C335" s="19" t="str">
        <x:v>中</x:v>
      </x:c>
      <x:c r="D335" s="19" t="str">
        <x:v>Jul 2026</x:v>
      </x:c>
      <x:c r="E335" s="19" t="n">
        <x:v>34</x:v>
      </x:c>
      <x:c r="F335" s="19" t="str">
        <x:v>beneficiary-hub.paysway.io</x:v>
      </x:c>
      <x:c r="G335" s="19" t="str">
        <x:v>Unknown</x:v>
      </x:c>
      <x:c r="H335" s="19" t="str">
        <x:v>其他/待核查</x:v>
      </x:c>
      <x:c r="I335" s="19" t="str">
        <x:v>Similarweb 未分类</x:v>
      </x:c>
      <x:c r="J335" s="19"/>
      <x:c r="K335" s="20" t="n">
        <x:v>0.0012</x:v>
      </x:c>
      <x:c r="L335" s="19" t="str">
        <x:v>下降</x:v>
      </x:c>
      <x:c r="M335" s="20" t="n">
        <x:v>-0.8913</x:v>
      </x:c>
      <x:c r="N335" s="21" t="n">
        <x:v>52307</x:v>
      </x:c>
      <x:c r="O335" s="21" t="n">
        <x:v>63</x:v>
      </x:c>
      <x:c r="P335" s="21" t="n">
        <x:f>ROUND(N335*K335,0)</x:f>
        <x:v>63</x:v>
      </x:c>
      <x:c r="Q335" s="19" t="str">
        <x:v>否</x:v>
      </x:c>
      <x:c r="R335" s="19" t="str"/>
      <x:c r="S335" s="19" t="n">
        <x:f>IF(Q335="是",0,MIN(10,2+IF(C335="高",2,1)+IF(K335&gt;=3%,3,IF(K335&gt;=1%,2,1))+IF(L335="新出现",2,IF(M335&gt;=100%,3,IF(M335&gt;0,2,0)))))</x:f>
        <x:v>4</x:v>
      </x:c>
      <x:c r="T335" s="21"/>
      <x:c r="U335" s="20"/>
      <x:c r="V335" s="19" t="str">
        <x:v>http://beneficiary-hub.paysway.io/</x:v>
      </x:c>
      <x:c r="W335" s="19" t="str">
        <x:v>https://pro.similarweb.com/#/digitalsuite/websiteanalysis/referrals/*/999/1m?webSource=Total&amp;selectedTab=incomingTraffic&amp;key=creem.io</x:v>
      </x:c>
      <x:c r="X335" s="20" t="n">
        <x:f>IF(Q335="是",0,IFERROR(P335/SUMIFS($P$2:$P$964,$A$2:$A$964,A335,$Q$2:$Q$964,"否"),0))</x:f>
        <x:v>0.0023107394366197183</x:v>
      </x:c>
      <x:c r="Y335" s="22" t="str">
        <x:f>IF(OR(M335="",U335=""),"未交叉",IF(M335*U335&gt;0,"同向",IF(M335*U335&lt;0,"背离","一侧持平")))</x:f>
        <x:v>未交叉</x:v>
      </x:c>
    </x:row>
    <x:row r="336">
      <x:c r="A336" s="18" t="str">
        <x:v>creem.io</x:v>
      </x:c>
      <x:c r="B336" s="19" t="str">
        <x:v>支付商主域（混合流量）</x:v>
      </x:c>
      <x:c r="C336" s="19" t="str">
        <x:v>中</x:v>
      </x:c>
      <x:c r="D336" s="19" t="str">
        <x:v>Jul 2026</x:v>
      </x:c>
      <x:c r="E336" s="19" t="n">
        <x:v>35</x:v>
      </x:c>
      <x:c r="F336" s="19" t="str">
        <x:v>getsaaskit.io</x:v>
      </x:c>
      <x:c r="G336" s="19" t="str">
        <x:v>Unknown</x:v>
      </x:c>
      <x:c r="H336" s="19" t="str">
        <x:v>其他/待核查</x:v>
      </x:c>
      <x:c r="I336" s="19" t="str">
        <x:v>Similarweb 未分类</x:v>
      </x:c>
      <x:c r="J336" s="19"/>
      <x:c r="K336" s="20" t="n">
        <x:v>0.0012</x:v>
      </x:c>
      <x:c r="L336" s="19" t="str">
        <x:v>新出现</x:v>
      </x:c>
      <x:c r="M336" s="20"/>
      <x:c r="N336" s="21" t="n">
        <x:v>52307</x:v>
      </x:c>
      <x:c r="O336" s="21" t="n">
        <x:v>63</x:v>
      </x:c>
      <x:c r="P336" s="21" t="n">
        <x:f>ROUND(N336*K336,0)</x:f>
        <x:v>63</x:v>
      </x:c>
      <x:c r="Q336" s="19" t="str">
        <x:v>否</x:v>
      </x:c>
      <x:c r="R336" s="19" t="str"/>
      <x:c r="S336" s="19" t="n">
        <x:f>IF(Q336="是",0,MIN(10,2+IF(C336="高",2,1)+IF(K336&gt;=3%,3,IF(K336&gt;=1%,2,1))+IF(L336="新出现",2,IF(M336&gt;=100%,3,IF(M336&gt;0,2,0)))))</x:f>
        <x:v>6</x:v>
      </x:c>
      <x:c r="T336" s="21"/>
      <x:c r="U336" s="20"/>
      <x:c r="V336" s="19" t="str">
        <x:v>http://getsaaskit.io/</x:v>
      </x:c>
      <x:c r="W336" s="19" t="str">
        <x:v>https://pro.similarweb.com/#/digitalsuite/websiteanalysis/referrals/*/999/1m?webSource=Total&amp;selectedTab=incomingTraffic&amp;key=creem.io</x:v>
      </x:c>
      <x:c r="X336" s="20" t="n">
        <x:f>IF(Q336="是",0,IFERROR(P336/SUMIFS($P$2:$P$964,$A$2:$A$964,A336,$Q$2:$Q$964,"否"),0))</x:f>
        <x:v>0.0023107394366197183</x:v>
      </x:c>
      <x:c r="Y336" s="22" t="str">
        <x:f>IF(OR(M336="",U336=""),"未交叉",IF(M336*U336&gt;0,"同向",IF(M336*U336&lt;0,"背离","一侧持平")))</x:f>
        <x:v>未交叉</x:v>
      </x:c>
    </x:row>
    <x:row r="337">
      <x:c r="A337" s="18" t="str">
        <x:v>creem.io</x:v>
      </x:c>
      <x:c r="B337" s="19" t="str">
        <x:v>支付商主域（混合流量）</x:v>
      </x:c>
      <x:c r="C337" s="19" t="str">
        <x:v>中</x:v>
      </x:c>
      <x:c r="D337" s="19" t="str">
        <x:v>Jul 2026</x:v>
      </x:c>
      <x:c r="E337" s="19" t="n">
        <x:v>36</x:v>
      </x:c>
      <x:c r="F337" s="19" t="str">
        <x:v>mkdollar.com</x:v>
      </x:c>
      <x:c r="G337" s="19" t="str">
        <x:v>Unknown</x:v>
      </x:c>
      <x:c r="H337" s="19" t="str">
        <x:v>其他/待核查</x:v>
      </x:c>
      <x:c r="I337" s="19" t="str">
        <x:v>Similarweb 未分类</x:v>
      </x:c>
      <x:c r="J337" s="19" t="n">
        <x:v>4511680</x:v>
      </x:c>
      <x:c r="K337" s="20" t="n">
        <x:v>0.0009</x:v>
      </x:c>
      <x:c r="L337" s="19" t="str">
        <x:v>下降</x:v>
      </x:c>
      <x:c r="M337" s="20" t="n">
        <x:v>-0.7314</x:v>
      </x:c>
      <x:c r="N337" s="21" t="n">
        <x:v>52307</x:v>
      </x:c>
      <x:c r="O337" s="21" t="n">
        <x:v>47</x:v>
      </x:c>
      <x:c r="P337" s="21" t="n">
        <x:f>ROUND(N337*K337,0)</x:f>
        <x:v>47</x:v>
      </x:c>
      <x:c r="Q337" s="19" t="str">
        <x:v>否</x:v>
      </x:c>
      <x:c r="R337" s="19" t="str"/>
      <x:c r="S337" s="19" t="n">
        <x:f>IF(Q337="是",0,MIN(10,2+IF(C337="高",2,1)+IF(K337&gt;=3%,3,IF(K337&gt;=1%,2,1))+IF(L337="新出现",2,IF(M337&gt;=100%,3,IF(M337&gt;0,2,0)))))</x:f>
        <x:v>4</x:v>
      </x:c>
      <x:c r="T337" s="21"/>
      <x:c r="U337" s="20"/>
      <x:c r="V337" s="19" t="str">
        <x:v>http://mkdollar.com/</x:v>
      </x:c>
      <x:c r="W337" s="19" t="str">
        <x:v>https://pro.similarweb.com/#/digitalsuite/websiteanalysis/referrals/*/999/1m?webSource=Total&amp;selectedTab=incomingTraffic&amp;key=creem.io</x:v>
      </x:c>
      <x:c r="X337" s="20" t="n">
        <x:f>IF(Q337="是",0,IFERROR(P337/SUMIFS($P$2:$P$964,$A$2:$A$964,A337,$Q$2:$Q$964,"否"),0))</x:f>
        <x:v>0.0017238849765258215</x:v>
      </x:c>
      <x:c r="Y337" s="22" t="str">
        <x:f>IF(OR(M337="",U337=""),"未交叉",IF(M337*U337&gt;0,"同向",IF(M337*U337&lt;0,"背离","一侧持平")))</x:f>
        <x:v>未交叉</x:v>
      </x:c>
    </x:row>
    <x:row r="338">
      <x:c r="A338" s="18" t="str">
        <x:v>creem.io</x:v>
      </x:c>
      <x:c r="B338" s="19" t="str">
        <x:v>支付商主域（混合流量）</x:v>
      </x:c>
      <x:c r="C338" s="19" t="str">
        <x:v>中</x:v>
      </x:c>
      <x:c r="D338" s="19" t="str">
        <x:v>Jul 2026</x:v>
      </x:c>
      <x:c r="E338" s="19" t="n">
        <x:v>37</x:v>
      </x:c>
      <x:c r="F338" s="19" t="str">
        <x:v>token-calculator.net</x:v>
      </x:c>
      <x:c r="G338" s="19" t="str">
        <x:v>Programming and Developer Software</x:v>
      </x:c>
      <x:c r="H338" s="19" t="str">
        <x:v>开发者工具与互联网基础设施</x:v>
      </x:c>
      <x:c r="I338" s="19" t="str">
        <x:v>Similarweb 行业映射</x:v>
      </x:c>
      <x:c r="J338" s="19" t="n">
        <x:v>400180</x:v>
      </x:c>
      <x:c r="K338" s="20" t="n">
        <x:v>0.0009</x:v>
      </x:c>
      <x:c r="L338" s="19" t="str">
        <x:v>新出现</x:v>
      </x:c>
      <x:c r="M338" s="20"/>
      <x:c r="N338" s="21" t="n">
        <x:v>52307</x:v>
      </x:c>
      <x:c r="O338" s="21" t="n">
        <x:v>47</x:v>
      </x:c>
      <x:c r="P338" s="21" t="n">
        <x:f>ROUND(N338*K338,0)</x:f>
        <x:v>47</x:v>
      </x:c>
      <x:c r="Q338" s="19" t="str">
        <x:v>否</x:v>
      </x:c>
      <x:c r="R338" s="19" t="str"/>
      <x:c r="S338" s="19" t="n">
        <x:f>IF(Q338="是",0,MIN(10,2+IF(C338="高",2,1)+IF(K338&gt;=3%,3,IF(K338&gt;=1%,2,1))+IF(L338="新出现",2,IF(M338&gt;=100%,3,IF(M338&gt;0,2,0)))))</x:f>
        <x:v>6</x:v>
      </x:c>
      <x:c r="T338" s="21"/>
      <x:c r="U338" s="20"/>
      <x:c r="V338" s="19" t="str">
        <x:v>http://token-calculator.net/</x:v>
      </x:c>
      <x:c r="W338" s="19" t="str">
        <x:v>https://pro.similarweb.com/#/digitalsuite/websiteanalysis/referrals/*/999/1m?webSource=Total&amp;selectedTab=incomingTraffic&amp;key=creem.io</x:v>
      </x:c>
      <x:c r="X338" s="20" t="n">
        <x:f>IF(Q338="是",0,IFERROR(P338/SUMIFS($P$2:$P$964,$A$2:$A$964,A338,$Q$2:$Q$964,"否"),0))</x:f>
        <x:v>0.0017238849765258215</x:v>
      </x:c>
      <x:c r="Y338" s="22" t="str">
        <x:f>IF(OR(M338="",U338=""),"未交叉",IF(M338*U338&gt;0,"同向",IF(M338*U338&lt;0,"背离","一侧持平")))</x:f>
        <x:v>未交叉</x:v>
      </x:c>
    </x:row>
    <x:row r="339">
      <x:c r="A339" s="18" t="str">
        <x:v>creem.io</x:v>
      </x:c>
      <x:c r="B339" s="19" t="str">
        <x:v>支付商主域（混合流量）</x:v>
      </x:c>
      <x:c r="C339" s="19" t="str">
        <x:v>中</x:v>
      </x:c>
      <x:c r="D339" s="19" t="str">
        <x:v>Jul 2026</x:v>
      </x:c>
      <x:c r="E339" s="19" t="n">
        <x:v>38</x:v>
      </x:c>
      <x:c r="F339" s="19" t="str">
        <x:v>web.tabbit.ai</x:v>
      </x:c>
      <x:c r="G339" s="19" t="str">
        <x:v>Unknown</x:v>
      </x:c>
      <x:c r="H339" s="19" t="str">
        <x:v>AI 工具与应用（未细分）</x:v>
      </x:c>
      <x:c r="I339" s="19" t="str">
        <x:v>域名后缀启发式</x:v>
      </x:c>
      <x:c r="J339" s="19"/>
      <x:c r="K339" s="20" t="n">
        <x:v>0.0009</x:v>
      </x:c>
      <x:c r="L339" s="19" t="str">
        <x:v>新出现</x:v>
      </x:c>
      <x:c r="M339" s="20"/>
      <x:c r="N339" s="21" t="n">
        <x:v>52307</x:v>
      </x:c>
      <x:c r="O339" s="21" t="n">
        <x:v>47</x:v>
      </x:c>
      <x:c r="P339" s="21" t="n">
        <x:f>ROUND(N339*K339,0)</x:f>
        <x:v>47</x:v>
      </x:c>
      <x:c r="Q339" s="19" t="str">
        <x:v>否</x:v>
      </x:c>
      <x:c r="R339" s="19" t="str"/>
      <x:c r="S339" s="19" t="n">
        <x:f>IF(Q339="是",0,MIN(10,2+IF(C339="高",2,1)+IF(K339&gt;=3%,3,IF(K339&gt;=1%,2,1))+IF(L339="新出现",2,IF(M339&gt;=100%,3,IF(M339&gt;0,2,0)))))</x:f>
        <x:v>6</x:v>
      </x:c>
      <x:c r="T339" s="21"/>
      <x:c r="U339" s="20"/>
      <x:c r="V339" s="19" t="str">
        <x:v>http://web.tabbit.ai/</x:v>
      </x:c>
      <x:c r="W339" s="19" t="str">
        <x:v>https://pro.similarweb.com/#/digitalsuite/websiteanalysis/referrals/*/999/1m?webSource=Total&amp;selectedTab=incomingTraffic&amp;key=creem.io</x:v>
      </x:c>
      <x:c r="X339" s="20" t="n">
        <x:f>IF(Q339="是",0,IFERROR(P339/SUMIFS($P$2:$P$964,$A$2:$A$964,A339,$Q$2:$Q$964,"否"),0))</x:f>
        <x:v>0.0017238849765258215</x:v>
      </x:c>
      <x:c r="Y339" s="22" t="str">
        <x:f>IF(OR(M339="",U339=""),"未交叉",IF(M339*U339&gt;0,"同向",IF(M339*U339&lt;0,"背离","一侧持平")))</x:f>
        <x:v>未交叉</x:v>
      </x:c>
    </x:row>
    <x:row r="340">
      <x:c r="A340" s="18" t="str">
        <x:v>creem.io</x:v>
      </x:c>
      <x:c r="B340" s="19" t="str">
        <x:v>支付商主域（混合流量）</x:v>
      </x:c>
      <x:c r="C340" s="19" t="str">
        <x:v>中</x:v>
      </x:c>
      <x:c r="D340" s="19" t="str">
        <x:v>Jul 2026</x:v>
      </x:c>
      <x:c r="E340" s="19" t="n">
        <x:v>39</x:v>
      </x:c>
      <x:c r="F340" s="19" t="str">
        <x:v>runkey.ai</x:v>
      </x:c>
      <x:c r="G340" s="19" t="str">
        <x:v>Unknown</x:v>
      </x:c>
      <x:c r="H340" s="19" t="str">
        <x:v>AI 工具与应用（未细分）</x:v>
      </x:c>
      <x:c r="I340" s="19" t="str">
        <x:v>域名后缀启发式</x:v>
      </x:c>
      <x:c r="J340" s="19"/>
      <x:c r="K340" s="20" t="n">
        <x:v>0.0009</x:v>
      </x:c>
      <x:c r="L340" s="19" t="str">
        <x:v>新出现</x:v>
      </x:c>
      <x:c r="M340" s="20"/>
      <x:c r="N340" s="21" t="n">
        <x:v>52307</x:v>
      </x:c>
      <x:c r="O340" s="21" t="n">
        <x:v>47</x:v>
      </x:c>
      <x:c r="P340" s="21" t="n">
        <x:f>ROUND(N340*K340,0)</x:f>
        <x:v>47</x:v>
      </x:c>
      <x:c r="Q340" s="19" t="str">
        <x:v>否</x:v>
      </x:c>
      <x:c r="R340" s="19" t="str"/>
      <x:c r="S340" s="19" t="n">
        <x:f>IF(Q340="是",0,MIN(10,2+IF(C340="高",2,1)+IF(K340&gt;=3%,3,IF(K340&gt;=1%,2,1))+IF(L340="新出现",2,IF(M340&gt;=100%,3,IF(M340&gt;0,2,0)))))</x:f>
        <x:v>6</x:v>
      </x:c>
      <x:c r="T340" s="21"/>
      <x:c r="U340" s="20"/>
      <x:c r="V340" s="19" t="str">
        <x:v>http://runkey.ai/</x:v>
      </x:c>
      <x:c r="W340" s="19" t="str">
        <x:v>https://pro.similarweb.com/#/digitalsuite/websiteanalysis/referrals/*/999/1m?webSource=Total&amp;selectedTab=incomingTraffic&amp;key=creem.io</x:v>
      </x:c>
      <x:c r="X340" s="20" t="n">
        <x:f>IF(Q340="是",0,IFERROR(P340/SUMIFS($P$2:$P$964,$A$2:$A$964,A340,$Q$2:$Q$964,"否"),0))</x:f>
        <x:v>0.0017238849765258215</x:v>
      </x:c>
      <x:c r="Y340" s="22" t="str">
        <x:f>IF(OR(M340="",U340=""),"未交叉",IF(M340*U340&gt;0,"同向",IF(M340*U340&lt;0,"背离","一侧持平")))</x:f>
        <x:v>未交叉</x:v>
      </x:c>
    </x:row>
    <x:row r="341">
      <x:c r="A341" s="18" t="str">
        <x:v>creem.io</x:v>
      </x:c>
      <x:c r="B341" s="19" t="str">
        <x:v>支付商主域（混合流量）</x:v>
      </x:c>
      <x:c r="C341" s="19" t="str">
        <x:v>中</x:v>
      </x:c>
      <x:c r="D341" s="19" t="str">
        <x:v>Jul 2026</x:v>
      </x:c>
      <x:c r="E341" s="19" t="n">
        <x:v>40</x:v>
      </x:c>
      <x:c r="F341" s="19" t="str">
        <x:v>bestblogs.dev</x:v>
      </x:c>
      <x:c r="G341" s="19" t="str">
        <x:v>Programming and Developer Software</x:v>
      </x:c>
      <x:c r="H341" s="19" t="str">
        <x:v>开发者工具与互联网基础设施</x:v>
      </x:c>
      <x:c r="I341" s="19" t="str">
        <x:v>Similarweb 行业映射</x:v>
      </x:c>
      <x:c r="J341" s="19" t="n">
        <x:v>243546</x:v>
      </x:c>
      <x:c r="K341" s="20" t="n">
        <x:v>0.0009</x:v>
      </x:c>
      <x:c r="L341" s="19" t="str">
        <x:v>新出现</x:v>
      </x:c>
      <x:c r="M341" s="20"/>
      <x:c r="N341" s="21" t="n">
        <x:v>52307</x:v>
      </x:c>
      <x:c r="O341" s="21" t="n">
        <x:v>47</x:v>
      </x:c>
      <x:c r="P341" s="21" t="n">
        <x:f>ROUND(N341*K341,0)</x:f>
        <x:v>47</x:v>
      </x:c>
      <x:c r="Q341" s="19" t="str">
        <x:v>否</x:v>
      </x:c>
      <x:c r="R341" s="19" t="str"/>
      <x:c r="S341" s="19" t="n">
        <x:f>IF(Q341="是",0,MIN(10,2+IF(C341="高",2,1)+IF(K341&gt;=3%,3,IF(K341&gt;=1%,2,1))+IF(L341="新出现",2,IF(M341&gt;=100%,3,IF(M341&gt;0,2,0)))))</x:f>
        <x:v>6</x:v>
      </x:c>
      <x:c r="T341" s="21"/>
      <x:c r="U341" s="20"/>
      <x:c r="V341" s="19" t="str">
        <x:v>http://bestblogs.dev/</x:v>
      </x:c>
      <x:c r="W341" s="19" t="str">
        <x:v>https://pro.similarweb.com/#/digitalsuite/websiteanalysis/referrals/*/999/1m?webSource=Total&amp;selectedTab=incomingTraffic&amp;key=creem.io</x:v>
      </x:c>
      <x:c r="X341" s="20" t="n">
        <x:f>IF(Q341="是",0,IFERROR(P341/SUMIFS($P$2:$P$964,$A$2:$A$964,A341,$Q$2:$Q$964,"否"),0))</x:f>
        <x:v>0.0017238849765258215</x:v>
      </x:c>
      <x:c r="Y341" s="22" t="str">
        <x:f>IF(OR(M341="",U341=""),"未交叉",IF(M341*U341&gt;0,"同向",IF(M341*U341&lt;0,"背离","一侧持平")))</x:f>
        <x:v>未交叉</x:v>
      </x:c>
    </x:row>
    <x:row r="342">
      <x:c r="A342" s="18" t="str">
        <x:v>creem.io</x:v>
      </x:c>
      <x:c r="B342" s="19" t="str">
        <x:v>支付商主域（混合流量）</x:v>
      </x:c>
      <x:c r="C342" s="19" t="str">
        <x:v>中</x:v>
      </x:c>
      <x:c r="D342" s="19" t="str">
        <x:v>Jul 2026</x:v>
      </x:c>
      <x:c r="E342" s="19" t="n">
        <x:v>41</x:v>
      </x:c>
      <x:c r="F342" s="19" t="str">
        <x:v>deltasweep.com</x:v>
      </x:c>
      <x:c r="G342" s="19" t="str">
        <x:v>Unknown</x:v>
      </x:c>
      <x:c r="H342" s="19" t="str">
        <x:v>其他/待核查</x:v>
      </x:c>
      <x:c r="I342" s="19" t="str">
        <x:v>Similarweb 未分类</x:v>
      </x:c>
      <x:c r="J342" s="19" t="n">
        <x:v>1482421</x:v>
      </x:c>
      <x:c r="K342" s="20" t="n">
        <x:v>0.0005</x:v>
      </x:c>
      <x:c r="L342" s="19" t="str">
        <x:v>下降</x:v>
      </x:c>
      <x:c r="M342" s="20" t="n">
        <x:v>-0.9281</x:v>
      </x:c>
      <x:c r="N342" s="21" t="n">
        <x:v>52307</x:v>
      </x:c>
      <x:c r="O342" s="21" t="n">
        <x:v>26</x:v>
      </x:c>
      <x:c r="P342" s="21" t="n">
        <x:f>ROUND(N342*K342,0)</x:f>
        <x:v>26</x:v>
      </x:c>
      <x:c r="Q342" s="19" t="str">
        <x:v>否</x:v>
      </x:c>
      <x:c r="R342" s="19" t="str"/>
      <x:c r="S342" s="19" t="n">
        <x:f>IF(Q342="是",0,MIN(10,2+IF(C342="高",2,1)+IF(K342&gt;=3%,3,IF(K342&gt;=1%,2,1))+IF(L342="新出现",2,IF(M342&gt;=100%,3,IF(M342&gt;0,2,0)))))</x:f>
        <x:v>4</x:v>
      </x:c>
      <x:c r="T342" s="21"/>
      <x:c r="U342" s="20"/>
      <x:c r="V342" s="19" t="str">
        <x:v>http://deltasweep.com/</x:v>
      </x:c>
      <x:c r="W342" s="19" t="str">
        <x:v>https://pro.similarweb.com/#/digitalsuite/websiteanalysis/referrals/*/999/1m?webSource=Total&amp;selectedTab=incomingTraffic&amp;key=creem.io</x:v>
      </x:c>
      <x:c r="X342" s="20" t="n">
        <x:f>IF(Q342="是",0,IFERROR(P342/SUMIFS($P$2:$P$964,$A$2:$A$964,A342,$Q$2:$Q$964,"否"),0))</x:f>
        <x:v>0.0009536384976525822</x:v>
      </x:c>
      <x:c r="Y342" s="22" t="str">
        <x:f>IF(OR(M342="",U342=""),"未交叉",IF(M342*U342&gt;0,"同向",IF(M342*U342&lt;0,"背离","一侧持平")))</x:f>
        <x:v>未交叉</x:v>
      </x:c>
    </x:row>
    <x:row r="343">
      <x:c r="A343" s="18" t="str">
        <x:v>creem.io</x:v>
      </x:c>
      <x:c r="B343" s="19" t="str">
        <x:v>支付商主域（混合流量）</x:v>
      </x:c>
      <x:c r="C343" s="19" t="str">
        <x:v>中</x:v>
      </x:c>
      <x:c r="D343" s="19" t="str">
        <x:v>Jul 2026</x:v>
      </x:c>
      <x:c r="E343" s="19" t="n">
        <x:v>42</x:v>
      </x:c>
      <x:c r="F343" s="19" t="str">
        <x:v>greenlightdash.pro</x:v>
      </x:c>
      <x:c r="G343" s="19" t="str">
        <x:v>Unknown</x:v>
      </x:c>
      <x:c r="H343" s="19" t="str">
        <x:v>其他/待核查</x:v>
      </x:c>
      <x:c r="I343" s="19" t="str">
        <x:v>Similarweb 未分类</x:v>
      </x:c>
      <x:c r="J343" s="19" t="n">
        <x:v>13625011</x:v>
      </x:c>
      <x:c r="K343" s="20" t="n">
        <x:v>0.0005</x:v>
      </x:c>
      <x:c r="L343" s="19" t="str">
        <x:v>下降</x:v>
      </x:c>
      <x:c r="M343" s="20" t="n">
        <x:v>-0.3036</x:v>
      </x:c>
      <x:c r="N343" s="21" t="n">
        <x:v>52307</x:v>
      </x:c>
      <x:c r="O343" s="21" t="n">
        <x:v>26</x:v>
      </x:c>
      <x:c r="P343" s="21" t="n">
        <x:f>ROUND(N343*K343,0)</x:f>
        <x:v>26</x:v>
      </x:c>
      <x:c r="Q343" s="19" t="str">
        <x:v>否</x:v>
      </x:c>
      <x:c r="R343" s="19" t="str"/>
      <x:c r="S343" s="19" t="n">
        <x:f>IF(Q343="是",0,MIN(10,2+IF(C343="高",2,1)+IF(K343&gt;=3%,3,IF(K343&gt;=1%,2,1))+IF(L343="新出现",2,IF(M343&gt;=100%,3,IF(M343&gt;0,2,0)))))</x:f>
        <x:v>4</x:v>
      </x:c>
      <x:c r="T343" s="21"/>
      <x:c r="U343" s="20"/>
      <x:c r="V343" s="19" t="str">
        <x:v>http://greenlightdash.pro/</x:v>
      </x:c>
      <x:c r="W343" s="19" t="str">
        <x:v>https://pro.similarweb.com/#/digitalsuite/websiteanalysis/referrals/*/999/1m?webSource=Total&amp;selectedTab=incomingTraffic&amp;key=creem.io</x:v>
      </x:c>
      <x:c r="X343" s="20" t="n">
        <x:f>IF(Q343="是",0,IFERROR(P343/SUMIFS($P$2:$P$964,$A$2:$A$964,A343,$Q$2:$Q$964,"否"),0))</x:f>
        <x:v>0.0009536384976525822</x:v>
      </x:c>
      <x:c r="Y343" s="22" t="str">
        <x:f>IF(OR(M343="",U343=""),"未交叉",IF(M343*U343&gt;0,"同向",IF(M343*U343&lt;0,"背离","一侧持平")))</x:f>
        <x:v>未交叉</x:v>
      </x:c>
    </x:row>
    <x:row r="344">
      <x:c r="A344" s="18" t="str">
        <x:v>polar.sh</x:v>
      </x:c>
      <x:c r="B344" s="19" t="str">
        <x:v>支付商主域（混合流量）</x:v>
      </x:c>
      <x:c r="C344" s="19" t="str">
        <x:v>中</x:v>
      </x:c>
      <x:c r="D344" s="19" t="str">
        <x:v>Jul 2026</x:v>
      </x:c>
      <x:c r="E344" s="19" t="n">
        <x:v>1</x:v>
      </x:c>
      <x:c r="F344" s="19" t="str">
        <x:v>Referral</x:v>
      </x:c>
      <x:c r="G344" s="19" t="str">
        <x:v>Unknown</x:v>
      </x:c>
      <x:c r="H344" s="19" t="str">
        <x:v>其他/待核查</x:v>
      </x:c>
      <x:c r="I344" s="19" t="str">
        <x:v>Similarweb 未分类</x:v>
      </x:c>
      <x:c r="J344" s="19"/>
      <x:c r="K344" s="20" t="n">
        <x:v>0.1376</x:v>
      </x:c>
      <x:c r="L344" s="19" t="str">
        <x:v>上升</x:v>
      </x:c>
      <x:c r="M344" s="20" t="n">
        <x:v>0.20440000000000003</x:v>
      </x:c>
      <x:c r="N344" s="21" t="n">
        <x:v>157018</x:v>
      </x:c>
      <x:c r="O344" s="21" t="n">
        <x:v>21606</x:v>
      </x:c>
      <x:c r="P344" s="21" t="n">
        <x:f>ROUND(N344*K344,0)</x:f>
        <x:v>21606</x:v>
      </x:c>
      <x:c r="Q344" s="19" t="str">
        <x:v>是</x:v>
      </x:c>
      <x:c r="R344" s="19" t="str">
        <x:v>无效/聚合标签</x:v>
      </x:c>
      <x:c r="S344" s="19" t="n">
        <x:f>IF(Q344="是",0,MIN(10,2+IF(C344="高",2,1)+IF(K344&gt;=3%,3,IF(K344&gt;=1%,2,1))+IF(L344="新出现",2,IF(M344&gt;=100%,3,IF(M344&gt;0,2,0)))))</x:f>
        <x:v>0</x:v>
      </x:c>
      <x:c r="T344" s="21"/>
      <x:c r="U344" s="20"/>
      <x:c r="V344" s="19" t="str">
        <x:v>http://referral/</x:v>
      </x:c>
      <x:c r="W344" s="19" t="str">
        <x:v>https://pro.similarweb.com/#/digitalsuite/websiteanalysis/referrals/*/999/1m?webSource=Total&amp;selectedTab=incomingTraffic&amp;key=polar.sh</x:v>
      </x:c>
      <x:c r="X344" s="20" t="n">
        <x:f>IF(Q344="是",0,IFERROR(P344/SUMIFS($P$2:$P$964,$A$2:$A$964,A344,$Q$2:$Q$964,"否"),0))</x:f>
        <x:v>0</x:v>
      </x:c>
      <x:c r="Y344" s="22" t="str">
        <x:f>IF(OR(M344="",U344=""),"未交叉",IF(M344*U344&gt;0,"同向",IF(M344*U344&lt;0,"背离","一侧持平")))</x:f>
        <x:v>未交叉</x:v>
      </x:c>
    </x:row>
    <x:row r="345">
      <x:c r="A345" s="18" t="str">
        <x:v>polar.sh</x:v>
      </x:c>
      <x:c r="B345" s="19" t="str">
        <x:v>支付商主域（混合流量）</x:v>
      </x:c>
      <x:c r="C345" s="19" t="str">
        <x:v>中</x:v>
      </x:c>
      <x:c r="D345" s="19" t="str">
        <x:v>Jul 2026</x:v>
      </x:c>
      <x:c r="E345" s="19" t="n">
        <x:v>2</x:v>
      </x:c>
      <x:c r="F345" s="19" t="str">
        <x:v>stripe.com</x:v>
      </x:c>
      <x:c r="G345" s="19" t="str">
        <x:v>Finance</x:v>
      </x:c>
      <x:c r="H345" s="19" t="str">
        <x:v>金融、支付与交易服务</x:v>
      </x:c>
      <x:c r="I345" s="19" t="str">
        <x:v>Similarweb 行业映射</x:v>
      </x:c>
      <x:c r="J345" s="19" t="n">
        <x:v>319</x:v>
      </x:c>
      <x:c r="K345" s="20" t="n">
        <x:v>0.0834</x:v>
      </x:c>
      <x:c r="L345" s="19" t="str">
        <x:v>上升</x:v>
      </x:c>
      <x:c r="M345" s="20" t="n">
        <x:v>8.751900000000001</x:v>
      </x:c>
      <x:c r="N345" s="21" t="n">
        <x:v>157018</x:v>
      </x:c>
      <x:c r="O345" s="21" t="n">
        <x:v>13095</x:v>
      </x:c>
      <x:c r="P345" s="21" t="n">
        <x:f>ROUND(N345*K345,0)</x:f>
        <x:v>13095</x:v>
      </x:c>
      <x:c r="Q345" s="19" t="str">
        <x:v>是</x:v>
      </x:c>
      <x:c r="R345" s="19" t="str">
        <x:v>支付平台、自引荐或流量中介</x:v>
      </x:c>
      <x:c r="S345" s="19" t="n">
        <x:f>IF(Q345="是",0,MIN(10,2+IF(C345="高",2,1)+IF(K345&gt;=3%,3,IF(K345&gt;=1%,2,1))+IF(L345="新出现",2,IF(M345&gt;=100%,3,IF(M345&gt;0,2,0)))))</x:f>
        <x:v>0</x:v>
      </x:c>
      <x:c r="T345" s="21"/>
      <x:c r="U345" s="20"/>
      <x:c r="V345" s="19" t="str">
        <x:v>http://stripe.com/</x:v>
      </x:c>
      <x:c r="W345" s="19" t="str">
        <x:v>https://pro.similarweb.com/#/digitalsuite/websiteanalysis/referrals/*/999/1m?webSource=Total&amp;selectedTab=incomingTraffic&amp;key=polar.sh</x:v>
      </x:c>
      <x:c r="X345" s="20" t="n">
        <x:f>IF(Q345="是",0,IFERROR(P345/SUMIFS($P$2:$P$964,$A$2:$A$964,A345,$Q$2:$Q$964,"否"),0))</x:f>
        <x:v>0</x:v>
      </x:c>
      <x:c r="Y345" s="22" t="str">
        <x:f>IF(OR(M345="",U345=""),"未交叉",IF(M345*U345&gt;0,"同向",IF(M345*U345&lt;0,"背离","一侧持平")))</x:f>
        <x:v>未交叉</x:v>
      </x:c>
    </x:row>
    <x:row r="346">
      <x:c r="A346" s="18" t="str">
        <x:v>polar.sh</x:v>
      </x:c>
      <x:c r="B346" s="19" t="str">
        <x:v>支付商主域（混合流量）</x:v>
      </x:c>
      <x:c r="C346" s="19" t="str">
        <x:v>中</x:v>
      </x:c>
      <x:c r="D346" s="19" t="str">
        <x:v>Jul 2026</x:v>
      </x:c>
      <x:c r="E346" s="19" t="n">
        <x:v>3</x:v>
      </x:c>
      <x:c r="F346" s="19" t="str">
        <x:v>l.threads.com</x:v>
      </x:c>
      <x:c r="G346" s="19" t="str">
        <x:v>Investing</x:v>
      </x:c>
      <x:c r="H346" s="19" t="str">
        <x:v>金融、支付与交易服务</x:v>
      </x:c>
      <x:c r="I346" s="19" t="str">
        <x:v>Similarweb 行业映射</x:v>
      </x:c>
      <x:c r="J346" s="19"/>
      <x:c r="K346" s="20" t="n">
        <x:v>0.0458</x:v>
      </x:c>
      <x:c r="L346" s="19" t="str">
        <x:v>新出现</x:v>
      </x:c>
      <x:c r="M346" s="20"/>
      <x:c r="N346" s="21" t="n">
        <x:v>157018</x:v>
      </x:c>
      <x:c r="O346" s="21" t="n">
        <x:v>7191</x:v>
      </x:c>
      <x:c r="P346" s="21" t="n">
        <x:f>ROUND(N346*K346,0)</x:f>
        <x:v>7191</x:v>
      </x:c>
      <x:c r="Q346" s="19" t="str">
        <x:v>是</x:v>
      </x:c>
      <x:c r="R346" s="19" t="str">
        <x:v>支付平台、自引荐或流量中介</x:v>
      </x:c>
      <x:c r="S346" s="19" t="n">
        <x:f>IF(Q346="是",0,MIN(10,2+IF(C346="高",2,1)+IF(K346&gt;=3%,3,IF(K346&gt;=1%,2,1))+IF(L346="新出现",2,IF(M346&gt;=100%,3,IF(M346&gt;0,2,0)))))</x:f>
        <x:v>0</x:v>
      </x:c>
      <x:c r="T346" s="21"/>
      <x:c r="U346" s="20"/>
      <x:c r="V346" s="19" t="str">
        <x:v>http://l.threads.com/</x:v>
      </x:c>
      <x:c r="W346" s="19" t="str">
        <x:v>https://pro.similarweb.com/#/digitalsuite/websiteanalysis/referrals/*/999/1m?webSource=Total&amp;selectedTab=incomingTraffic&amp;key=polar.sh</x:v>
      </x:c>
      <x:c r="X346" s="20" t="n">
        <x:f>IF(Q346="是",0,IFERROR(P346/SUMIFS($P$2:$P$964,$A$2:$A$964,A346,$Q$2:$Q$964,"否"),0))</x:f>
        <x:v>0</x:v>
      </x:c>
      <x:c r="Y346" s="22" t="str">
        <x:f>IF(OR(M346="",U346=""),"未交叉",IF(M346*U346&gt;0,"同向",IF(M346*U346&lt;0,"背离","一侧持平")))</x:f>
        <x:v>未交叉</x:v>
      </x:c>
    </x:row>
    <x:row r="347">
      <x:c r="A347" s="18" t="str">
        <x:v>polar.sh</x:v>
      </x:c>
      <x:c r="B347" s="19" t="str">
        <x:v>支付商主域（混合流量）</x:v>
      </x:c>
      <x:c r="C347" s="19" t="str">
        <x:v>中</x:v>
      </x:c>
      <x:c r="D347" s="19" t="str">
        <x:v>Jul 2026</x:v>
      </x:c>
      <x:c r="E347" s="19" t="n">
        <x:v>4</x:v>
      </x:c>
      <x:c r="F347" s="19" t="str">
        <x:v>toolsformotion.com</x:v>
      </x:c>
      <x:c r="G347" s="19" t="str">
        <x:v>Unknown</x:v>
      </x:c>
      <x:c r="H347" s="19" t="str">
        <x:v>创作者资产、模板与设计工具</x:v>
      </x:c>
      <x:c r="I347" s="19" t="str">
        <x:v>域名人工识别</x:v>
      </x:c>
      <x:c r="J347" s="19" t="n">
        <x:v>1434382</x:v>
      </x:c>
      <x:c r="K347" s="20" t="n">
        <x:v>0.0429</x:v>
      </x:c>
      <x:c r="L347" s="19" t="str">
        <x:v>上升</x:v>
      </x:c>
      <x:c r="M347" s="20" t="n">
        <x:v>3.9326</x:v>
      </x:c>
      <x:c r="N347" s="21" t="n">
        <x:v>157018</x:v>
      </x:c>
      <x:c r="O347" s="21" t="n">
        <x:v>6736</x:v>
      </x:c>
      <x:c r="P347" s="21" t="n">
        <x:f>ROUND(N347*K347,0)</x:f>
        <x:v>6736</x:v>
      </x:c>
      <x:c r="Q347" s="19" t="str">
        <x:v>否</x:v>
      </x:c>
      <x:c r="R347" s="19" t="str"/>
      <x:c r="S347" s="19" t="n">
        <x:f>IF(Q347="是",0,MIN(10,2+IF(C347="高",2,1)+IF(K347&gt;=3%,3,IF(K347&gt;=1%,2,1))+IF(L347="新出现",2,IF(M347&gt;=100%,3,IF(M347&gt;0,2,0)))))</x:f>
        <x:v>9</x:v>
      </x:c>
      <x:c r="T347" s="21"/>
      <x:c r="U347" s="20"/>
      <x:c r="V347" s="19" t="str">
        <x:v>http://toolsformotion.com/</x:v>
      </x:c>
      <x:c r="W347" s="19" t="str">
        <x:v>https://pro.similarweb.com/#/digitalsuite/websiteanalysis/referrals/*/999/1m?webSource=Total&amp;selectedTab=incomingTraffic&amp;key=polar.sh</x:v>
      </x:c>
      <x:c r="X347" s="20" t="n">
        <x:f>IF(Q347="是",0,IFERROR(P347/SUMIFS($P$2:$P$964,$A$2:$A$964,A347,$Q$2:$Q$964,"否"),0))</x:f>
        <x:v>0.06965441647881207</x:v>
      </x:c>
      <x:c r="Y347" s="22" t="str">
        <x:f>IF(OR(M347="",U347=""),"未交叉",IF(M347*U347&gt;0,"同向",IF(M347*U347&lt;0,"背离","一侧持平")))</x:f>
        <x:v>未交叉</x:v>
      </x:c>
    </x:row>
    <x:row r="348">
      <x:c r="A348" s="18" t="str">
        <x:v>polar.sh</x:v>
      </x:c>
      <x:c r="B348" s="19" t="str">
        <x:v>支付商主域（混合流量）</x:v>
      </x:c>
      <x:c r="C348" s="19" t="str">
        <x:v>中</x:v>
      </x:c>
      <x:c r="D348" s="19" t="str">
        <x:v>Jul 2026</x:v>
      </x:c>
      <x:c r="E348" s="19" t="n">
        <x:v>5</x:v>
      </x:c>
      <x:c r="F348" s="19" t="str">
        <x:v>haramblur.com</x:v>
      </x:c>
      <x:c r="G348" s="19" t="str">
        <x:v>Programming and Developer Software</x:v>
      </x:c>
      <x:c r="H348" s="19" t="str">
        <x:v>开发者工具与互联网基础设施</x:v>
      </x:c>
      <x:c r="I348" s="19" t="str">
        <x:v>Similarweb 行业映射</x:v>
      </x:c>
      <x:c r="J348" s="19" t="n">
        <x:v>302813</x:v>
      </x:c>
      <x:c r="K348" s="20" t="n">
        <x:v>0.029500000000000002</x:v>
      </x:c>
      <x:c r="L348" s="19" t="str">
        <x:v>新出现</x:v>
      </x:c>
      <x:c r="M348" s="20"/>
      <x:c r="N348" s="21" t="n">
        <x:v>157018</x:v>
      </x:c>
      <x:c r="O348" s="21" t="n">
        <x:v>4632</x:v>
      </x:c>
      <x:c r="P348" s="21" t="n">
        <x:f>ROUND(N348*K348,0)</x:f>
        <x:v>4632</x:v>
      </x:c>
      <x:c r="Q348" s="19" t="str">
        <x:v>否</x:v>
      </x:c>
      <x:c r="R348" s="19" t="str"/>
      <x:c r="S348" s="19" t="n">
        <x:f>IF(Q348="是",0,MIN(10,2+IF(C348="高",2,1)+IF(K348&gt;=3%,3,IF(K348&gt;=1%,2,1))+IF(L348="新出现",2,IF(M348&gt;=100%,3,IF(M348&gt;0,2,0)))))</x:f>
        <x:v>7</x:v>
      </x:c>
      <x:c r="T348" s="21"/>
      <x:c r="U348" s="20"/>
      <x:c r="V348" s="19" t="str">
        <x:v>http://haramblur.com/</x:v>
      </x:c>
      <x:c r="W348" s="19" t="str">
        <x:v>https://pro.similarweb.com/#/digitalsuite/websiteanalysis/referrals/*/999/1m?webSource=Total&amp;selectedTab=incomingTraffic&amp;key=polar.sh</x:v>
      </x:c>
      <x:c r="X348" s="20" t="n">
        <x:f>IF(Q348="是",0,IFERROR(P348/SUMIFS($P$2:$P$964,$A$2:$A$964,A348,$Q$2:$Q$964,"否"),0))</x:f>
        <x:v>0.047897751949206875</x:v>
      </x:c>
      <x:c r="Y348" s="22" t="str">
        <x:f>IF(OR(M348="",U348=""),"未交叉",IF(M348*U348&gt;0,"同向",IF(M348*U348&lt;0,"背离","一侧持平")))</x:f>
        <x:v>未交叉</x:v>
      </x:c>
    </x:row>
    <x:row r="349">
      <x:c r="A349" s="18" t="str">
        <x:v>polar.sh</x:v>
      </x:c>
      <x:c r="B349" s="19" t="str">
        <x:v>支付商主域（混合流量）</x:v>
      </x:c>
      <x:c r="C349" s="19" t="str">
        <x:v>中</x:v>
      </x:c>
      <x:c r="D349" s="19" t="str">
        <x:v>Jul 2026</x:v>
      </x:c>
      <x:c r="E349" s="19" t="n">
        <x:v>6</x:v>
      </x:c>
      <x:c r="F349" s="19" t="str">
        <x:v>postpeer.dev</x:v>
      </x:c>
      <x:c r="G349" s="19" t="str">
        <x:v>Unknown</x:v>
      </x:c>
      <x:c r="H349" s="19" t="str">
        <x:v>其他/待核查</x:v>
      </x:c>
      <x:c r="I349" s="19" t="str">
        <x:v>Similarweb 未分类</x:v>
      </x:c>
      <x:c r="J349" s="19" t="n">
        <x:v>739202</x:v>
      </x:c>
      <x:c r="K349" s="20" t="n">
        <x:v>0.027999999999999997</x:v>
      </x:c>
      <x:c r="L349" s="19" t="str">
        <x:v>上升</x:v>
      </x:c>
      <x:c r="M349" s="20" t="n">
        <x:v>50</x:v>
      </x:c>
      <x:c r="N349" s="21" t="n">
        <x:v>157018</x:v>
      </x:c>
      <x:c r="O349" s="21" t="n">
        <x:v>4397</x:v>
      </x:c>
      <x:c r="P349" s="21" t="n">
        <x:f>ROUND(N349*K349,0)</x:f>
        <x:v>4397</x:v>
      </x:c>
      <x:c r="Q349" s="19" t="str">
        <x:v>否</x:v>
      </x:c>
      <x:c r="R349" s="19" t="str"/>
      <x:c r="S349" s="19" t="n">
        <x:f>IF(Q349="是",0,MIN(10,2+IF(C349="高",2,1)+IF(K349&gt;=3%,3,IF(K349&gt;=1%,2,1))+IF(L349="新出现",2,IF(M349&gt;=100%,3,IF(M349&gt;0,2,0)))))</x:f>
        <x:v>8</x:v>
      </x:c>
      <x:c r="T349" s="21"/>
      <x:c r="U349" s="20"/>
      <x:c r="V349" s="19" t="str">
        <x:v>http://postpeer.dev/</x:v>
      </x:c>
      <x:c r="W349" s="19" t="str">
        <x:v>https://pro.similarweb.com/#/digitalsuite/websiteanalysis/referrals/*/999/1m?webSource=Total&amp;selectedTab=incomingTraffic&amp;key=polar.sh</x:v>
      </x:c>
      <x:c r="X349" s="20" t="n">
        <x:f>IF(Q349="是",0,IFERROR(P349/SUMIFS($P$2:$P$964,$A$2:$A$964,A349,$Q$2:$Q$964,"否"),0))</x:f>
        <x:v>0.04546770624366637</x:v>
      </x:c>
      <x:c r="Y349" s="22" t="str">
        <x:f>IF(OR(M349="",U349=""),"未交叉",IF(M349*U349&gt;0,"同向",IF(M349*U349&lt;0,"背离","一侧持平")))</x:f>
        <x:v>未交叉</x:v>
      </x:c>
    </x:row>
    <x:row r="350">
      <x:c r="A350" s="18" t="str">
        <x:v>polar.sh</x:v>
      </x:c>
      <x:c r="B350" s="19" t="str">
        <x:v>支付商主域（混合流量）</x:v>
      </x:c>
      <x:c r="C350" s="19" t="str">
        <x:v>中</x:v>
      </x:c>
      <x:c r="D350" s="19" t="str">
        <x:v>Jul 2026</x:v>
      </x:c>
      <x:c r="E350" s="19" t="n">
        <x:v>7</x:v>
      </x:c>
      <x:c r="F350" s="19" t="str">
        <x:v>app.kleo.so</x:v>
      </x:c>
      <x:c r="G350" s="19" t="str">
        <x:v>Graphics Multimedia and Web Design</x:v>
      </x:c>
      <x:c r="H350" s="19" t="str">
        <x:v>营销、电商与商业 SaaS</x:v>
      </x:c>
      <x:c r="I350" s="19" t="str">
        <x:v>域名人工识别</x:v>
      </x:c>
      <x:c r="J350" s="19"/>
      <x:c r="K350" s="20" t="n">
        <x:v>0.024399999999999998</x:v>
      </x:c>
      <x:c r="L350" s="19" t="str">
        <x:v>上升</x:v>
      </x:c>
      <x:c r="M350" s="20" t="n">
        <x:v>0.8271</x:v>
      </x:c>
      <x:c r="N350" s="21" t="n">
        <x:v>157018</x:v>
      </x:c>
      <x:c r="O350" s="21" t="n">
        <x:v>3831</x:v>
      </x:c>
      <x:c r="P350" s="21" t="n">
        <x:f>ROUND(N350*K350,0)</x:f>
        <x:v>3831</x:v>
      </x:c>
      <x:c r="Q350" s="19" t="str">
        <x:v>否</x:v>
      </x:c>
      <x:c r="R350" s="19" t="str"/>
      <x:c r="S350" s="19" t="n">
        <x:f>IF(Q350="是",0,MIN(10,2+IF(C350="高",2,1)+IF(K350&gt;=3%,3,IF(K350&gt;=1%,2,1))+IF(L350="新出现",2,IF(M350&gt;=100%,3,IF(M350&gt;0,2,0)))))</x:f>
        <x:v>7</x:v>
      </x:c>
      <x:c r="T350" s="21"/>
      <x:c r="U350" s="20"/>
      <x:c r="V350" s="19" t="str">
        <x:v>http://app.kleo.so/</x:v>
      </x:c>
      <x:c r="W350" s="19" t="str">
        <x:v>https://pro.similarweb.com/#/digitalsuite/websiteanalysis/referrals/*/999/1m?webSource=Total&amp;selectedTab=incomingTraffic&amp;key=polar.sh</x:v>
      </x:c>
      <x:c r="X350" s="20" t="n">
        <x:f>IF(Q350="是",0,IFERROR(P350/SUMIFS($P$2:$P$964,$A$2:$A$964,A350,$Q$2:$Q$964,"否"),0))</x:f>
        <x:v>0.039614915310322005</x:v>
      </x:c>
      <x:c r="Y350" s="22" t="str">
        <x:f>IF(OR(M350="",U350=""),"未交叉",IF(M350*U350&gt;0,"同向",IF(M350*U350&lt;0,"背离","一侧持平")))</x:f>
        <x:v>未交叉</x:v>
      </x:c>
    </x:row>
    <x:row r="351">
      <x:c r="A351" s="18" t="str">
        <x:v>polar.sh</x:v>
      </x:c>
      <x:c r="B351" s="19" t="str">
        <x:v>支付商主域（混合流量）</x:v>
      </x:c>
      <x:c r="C351" s="19" t="str">
        <x:v>中</x:v>
      </x:c>
      <x:c r="D351" s="19" t="str">
        <x:v>Jul 2026</x:v>
      </x:c>
      <x:c r="E351" s="19" t="n">
        <x:v>8</x:v>
      </x:c>
      <x:c r="F351" s="19" t="str">
        <x:v>lidrun.com</x:v>
      </x:c>
      <x:c r="G351" s="19" t="str">
        <x:v>Unknown</x:v>
      </x:c>
      <x:c r="H351" s="19" t="str">
        <x:v>其他/待核查</x:v>
      </x:c>
      <x:c r="I351" s="19" t="str">
        <x:v>Similarweb 未分类</x:v>
      </x:c>
      <x:c r="J351" s="19" t="n">
        <x:v>2919368</x:v>
      </x:c>
      <x:c r="K351" s="20" t="n">
        <x:v>0.0235</x:v>
      </x:c>
      <x:c r="L351" s="19" t="str">
        <x:v>上升</x:v>
      </x:c>
      <x:c r="M351" s="20" t="n">
        <x:v>7.6537</x:v>
      </x:c>
      <x:c r="N351" s="21" t="n">
        <x:v>157018</x:v>
      </x:c>
      <x:c r="O351" s="21" t="n">
        <x:v>3690</x:v>
      </x:c>
      <x:c r="P351" s="21" t="n">
        <x:f>ROUND(N351*K351,0)</x:f>
        <x:v>3690</x:v>
      </x:c>
      <x:c r="Q351" s="19" t="str">
        <x:v>否</x:v>
      </x:c>
      <x:c r="R351" s="19" t="str"/>
      <x:c r="S351" s="19" t="n">
        <x:f>IF(Q351="是",0,MIN(10,2+IF(C351="高",2,1)+IF(K351&gt;=3%,3,IF(K351&gt;=1%,2,1))+IF(L351="新出现",2,IF(M351&gt;=100%,3,IF(M351&gt;0,2,0)))))</x:f>
        <x:v>8</x:v>
      </x:c>
      <x:c r="T351" s="21"/>
      <x:c r="U351" s="20"/>
      <x:c r="V351" s="19" t="str">
        <x:v>http://lidrun.com/</x:v>
      </x:c>
      <x:c r="W351" s="19" t="str">
        <x:v>https://pro.similarweb.com/#/digitalsuite/websiteanalysis/referrals/*/999/1m?webSource=Total&amp;selectedTab=incomingTraffic&amp;key=polar.sh</x:v>
      </x:c>
      <x:c r="X351" s="20" t="n">
        <x:f>IF(Q351="是",0,IFERROR(P351/SUMIFS($P$2:$P$964,$A$2:$A$964,A351,$Q$2:$Q$964,"否"),0))</x:f>
        <x:v>0.038156887886997705</x:v>
      </x:c>
      <x:c r="Y351" s="22" t="str">
        <x:f>IF(OR(M351="",U351=""),"未交叉",IF(M351*U351&gt;0,"同向",IF(M351*U351&lt;0,"背离","一侧持平")))</x:f>
        <x:v>未交叉</x:v>
      </x:c>
    </x:row>
    <x:row r="352">
      <x:c r="A352" s="18" t="str">
        <x:v>polar.sh</x:v>
      </x:c>
      <x:c r="B352" s="19" t="str">
        <x:v>支付商主域（混合流量）</x:v>
      </x:c>
      <x:c r="C352" s="19" t="str">
        <x:v>中</x:v>
      </x:c>
      <x:c r="D352" s="19" t="str">
        <x:v>Jul 2026</x:v>
      </x:c>
      <x:c r="E352" s="19" t="n">
        <x:v>9</x:v>
      </x:c>
      <x:c r="F352" s="19" t="str">
        <x:v>fazier.com</x:v>
      </x:c>
      <x:c r="G352" s="19" t="str">
        <x:v>Graphics Multimedia and Web Design</x:v>
      </x:c>
      <x:c r="H352" s="19" t="str">
        <x:v>营销、电商与商业 SaaS</x:v>
      </x:c>
      <x:c r="I352" s="19" t="str">
        <x:v>域名人工识别</x:v>
      </x:c>
      <x:c r="J352" s="19" t="n">
        <x:v>394675</x:v>
      </x:c>
      <x:c r="K352" s="20" t="n">
        <x:v>0.0177</x:v>
      </x:c>
      <x:c r="L352" s="19" t="str">
        <x:v>上升</x:v>
      </x:c>
      <x:c r="M352" s="20" t="n">
        <x:v>0.2651</x:v>
      </x:c>
      <x:c r="N352" s="21" t="n">
        <x:v>157018</x:v>
      </x:c>
      <x:c r="O352" s="21" t="n">
        <x:v>2779</x:v>
      </x:c>
      <x:c r="P352" s="21" t="n">
        <x:f>ROUND(N352*K352,0)</x:f>
        <x:v>2779</x:v>
      </x:c>
      <x:c r="Q352" s="19" t="str">
        <x:v>否</x:v>
      </x:c>
      <x:c r="R352" s="19" t="str"/>
      <x:c r="S352" s="19" t="n">
        <x:f>IF(Q352="是",0,MIN(10,2+IF(C352="高",2,1)+IF(K352&gt;=3%,3,IF(K352&gt;=1%,2,1))+IF(L352="新出现",2,IF(M352&gt;=100%,3,IF(M352&gt;0,2,0)))))</x:f>
        <x:v>7</x:v>
      </x:c>
      <x:c r="T352" s="21"/>
      <x:c r="U352" s="20"/>
      <x:c r="V352" s="19" t="str">
        <x:v>http://fazier.com/</x:v>
      </x:c>
      <x:c r="W352" s="19" t="str">
        <x:v>https://pro.similarweb.com/#/digitalsuite/websiteanalysis/referrals/*/999/1m?webSource=Total&amp;selectedTab=incomingTraffic&amp;key=polar.sh</x:v>
      </x:c>
      <x:c r="X352" s="20" t="n">
        <x:f>IF(Q352="是",0,IFERROR(P352/SUMIFS($P$2:$P$964,$A$2:$A$964,A352,$Q$2:$Q$964,"否"),0))</x:f>
        <x:v>0.02873658304551941</x:v>
      </x:c>
      <x:c r="Y352" s="22" t="str">
        <x:f>IF(OR(M352="",U352=""),"未交叉",IF(M352*U352&gt;0,"同向",IF(M352*U352&lt;0,"背离","一侧持平")))</x:f>
        <x:v>未交叉</x:v>
      </x:c>
    </x:row>
    <x:row r="353">
      <x:c r="A353" s="18" t="str">
        <x:v>polar.sh</x:v>
      </x:c>
      <x:c r="B353" s="19" t="str">
        <x:v>支付商主域（混合流量）</x:v>
      </x:c>
      <x:c r="C353" s="19" t="str">
        <x:v>中</x:v>
      </x:c>
      <x:c r="D353" s="19" t="str">
        <x:v>Jul 2026</x:v>
      </x:c>
      <x:c r="E353" s="19" t="n">
        <x:v>10</x:v>
      </x:c>
      <x:c r="F353" s="19" t="str">
        <x:v>creatomate.com</x:v>
      </x:c>
      <x:c r="G353" s="19" t="str">
        <x:v>Programming and Developer Software</x:v>
      </x:c>
      <x:c r="H353" s="19" t="str">
        <x:v>创作者资产、模板与设计工具</x:v>
      </x:c>
      <x:c r="I353" s="19" t="str">
        <x:v>域名人工识别</x:v>
      </x:c>
      <x:c r="J353" s="19" t="n">
        <x:v>334984</x:v>
      </x:c>
      <x:c r="K353" s="20" t="n">
        <x:v>0.0166</x:v>
      </x:c>
      <x:c r="L353" s="19" t="str">
        <x:v>新出现</x:v>
      </x:c>
      <x:c r="M353" s="20"/>
      <x:c r="N353" s="21" t="n">
        <x:v>157018</x:v>
      </x:c>
      <x:c r="O353" s="21" t="n">
        <x:v>2606</x:v>
      </x:c>
      <x:c r="P353" s="21" t="n">
        <x:f>ROUND(N353*K353,0)</x:f>
        <x:v>2606</x:v>
      </x:c>
      <x:c r="Q353" s="19" t="str">
        <x:v>否</x:v>
      </x:c>
      <x:c r="R353" s="19" t="str"/>
      <x:c r="S353" s="19" t="n">
        <x:f>IF(Q353="是",0,MIN(10,2+IF(C353="高",2,1)+IF(K353&gt;=3%,3,IF(K353&gt;=1%,2,1))+IF(L353="新出现",2,IF(M353&gt;=100%,3,IF(M353&gt;0,2,0)))))</x:f>
        <x:v>7</x:v>
      </x:c>
      <x:c r="T353" s="21"/>
      <x:c r="U353" s="20"/>
      <x:c r="V353" s="19" t="str">
        <x:v>http://creatomate.com/</x:v>
      </x:c>
      <x:c r="W353" s="19" t="str">
        <x:v>https://pro.similarweb.com/#/digitalsuite/websiteanalysis/referrals/*/999/1m?webSource=Total&amp;selectedTab=incomingTraffic&amp;key=polar.sh</x:v>
      </x:c>
      <x:c r="X353" s="20" t="n">
        <x:f>IF(Q353="是",0,IFERROR(P353/SUMIFS($P$2:$P$964,$A$2:$A$964,A353,$Q$2:$Q$964,"否"),0))</x:f>
        <x:v>0.026947655781440656</x:v>
      </x:c>
      <x:c r="Y353" s="22" t="str">
        <x:f>IF(OR(M353="",U353=""),"未交叉",IF(M353*U353&gt;0,"同向",IF(M353*U353&lt;0,"背离","一侧持平")))</x:f>
        <x:v>未交叉</x:v>
      </x:c>
    </x:row>
    <x:row r="354">
      <x:c r="A354" s="18" t="str">
        <x:v>polar.sh</x:v>
      </x:c>
      <x:c r="B354" s="19" t="str">
        <x:v>支付商主域（混合流量）</x:v>
      </x:c>
      <x:c r="C354" s="19" t="str">
        <x:v>中</x:v>
      </x:c>
      <x:c r="D354" s="19" t="str">
        <x:v>Jul 2026</x:v>
      </x:c>
      <x:c r="E354" s="19" t="n">
        <x:v>11</x:v>
      </x:c>
      <x:c r="F354" s="19" t="str">
        <x:v>huewrite.com</x:v>
      </x:c>
      <x:c r="G354" s="19" t="str">
        <x:v>Universities and Colleges</x:v>
      </x:c>
      <x:c r="H354" s="19" t="str">
        <x:v>其他/待核查</x:v>
      </x:c>
      <x:c r="I354" s="19" t="str">
        <x:v>保守归类</x:v>
      </x:c>
      <x:c r="J354" s="19" t="n">
        <x:v>490145</x:v>
      </x:c>
      <x:c r="K354" s="20" t="n">
        <x:v>0.0161</x:v>
      </x:c>
      <x:c r="L354" s="19" t="str">
        <x:v>下降</x:v>
      </x:c>
      <x:c r="M354" s="20" t="n">
        <x:v>-0.2779</x:v>
      </x:c>
      <x:c r="N354" s="21" t="n">
        <x:v>157018</x:v>
      </x:c>
      <x:c r="O354" s="21" t="n">
        <x:v>2528</x:v>
      </x:c>
      <x:c r="P354" s="21" t="n">
        <x:f>ROUND(N354*K354,0)</x:f>
        <x:v>2528</x:v>
      </x:c>
      <x:c r="Q354" s="19" t="str">
        <x:v>否</x:v>
      </x:c>
      <x:c r="R354" s="19" t="str"/>
      <x:c r="S354" s="19" t="n">
        <x:f>IF(Q354="是",0,MIN(10,2+IF(C354="高",2,1)+IF(K354&gt;=3%,3,IF(K354&gt;=1%,2,1))+IF(L354="新出现",2,IF(M354&gt;=100%,3,IF(M354&gt;0,2,0)))))</x:f>
        <x:v>5</x:v>
      </x:c>
      <x:c r="T354" s="21"/>
      <x:c r="U354" s="20"/>
      <x:c r="V354" s="19" t="str">
        <x:v>http://huewrite.com/</x:v>
      </x:c>
      <x:c r="W354" s="19" t="str">
        <x:v>https://pro.similarweb.com/#/digitalsuite/websiteanalysis/referrals/*/999/1m?webSource=Total&amp;selectedTab=incomingTraffic&amp;key=polar.sh</x:v>
      </x:c>
      <x:c r="X354" s="20" t="n">
        <x:f>IF(Q354="是",0,IFERROR(P354/SUMIFS($P$2:$P$964,$A$2:$A$964,A354,$Q$2:$Q$964,"否"),0))</x:f>
        <x:v>0.02614108741960168</x:v>
      </x:c>
      <x:c r="Y354" s="22" t="str">
        <x:f>IF(OR(M354="",U354=""),"未交叉",IF(M354*U354&gt;0,"同向",IF(M354*U354&lt;0,"背离","一侧持平")))</x:f>
        <x:v>未交叉</x:v>
      </x:c>
    </x:row>
    <x:row r="355">
      <x:c r="A355" s="18" t="str">
        <x:v>polar.sh</x:v>
      </x:c>
      <x:c r="B355" s="19" t="str">
        <x:v>支付商主域（混合流量）</x:v>
      </x:c>
      <x:c r="C355" s="19" t="str">
        <x:v>中</x:v>
      </x:c>
      <x:c r="D355" s="19" t="str">
        <x:v>Jul 2026</x:v>
      </x:c>
      <x:c r="E355" s="19" t="n">
        <x:v>12</x:v>
      </x:c>
      <x:c r="F355" s="19" t="str">
        <x:v>github.com</x:v>
      </x:c>
      <x:c r="G355" s="19" t="str">
        <x:v>Programming and Developer Software</x:v>
      </x:c>
      <x:c r="H355" s="19" t="str">
        <x:v>开发者工具与互联网基础设施</x:v>
      </x:c>
      <x:c r="I355" s="19" t="str">
        <x:v>Similarweb 行业映射</x:v>
      </x:c>
      <x:c r="J355" s="19" t="n">
        <x:v>49</x:v>
      </x:c>
      <x:c r="K355" s="20" t="n">
        <x:v>0.016</x:v>
      </x:c>
      <x:c r="L355" s="19" t="str">
        <x:v>下降</x:v>
      </x:c>
      <x:c r="M355" s="20" t="n">
        <x:v>-0.9024</x:v>
      </x:c>
      <x:c r="N355" s="21" t="n">
        <x:v>157018</x:v>
      </x:c>
      <x:c r="O355" s="21" t="n">
        <x:v>2512</x:v>
      </x:c>
      <x:c r="P355" s="21" t="n">
        <x:f>ROUND(N355*K355,0)</x:f>
        <x:v>2512</x:v>
      </x:c>
      <x:c r="Q355" s="19" t="str">
        <x:v>否</x:v>
      </x:c>
      <x:c r="R355" s="19" t="str"/>
      <x:c r="S355" s="19" t="n">
        <x:f>IF(Q355="是",0,MIN(10,2+IF(C355="高",2,1)+IF(K355&gt;=3%,3,IF(K355&gt;=1%,2,1))+IF(L355="新出现",2,IF(M355&gt;=100%,3,IF(M355&gt;0,2,0)))))</x:f>
        <x:v>5</x:v>
      </x:c>
      <x:c r="T355" s="21"/>
      <x:c r="U355" s="20"/>
      <x:c r="V355" s="19" t="str">
        <x:v>http://github.com/</x:v>
      </x:c>
      <x:c r="W355" s="19" t="str">
        <x:v>https://pro.similarweb.com/#/digitalsuite/websiteanalysis/referrals/*/999/1m?webSource=Total&amp;selectedTab=incomingTraffic&amp;key=polar.sh</x:v>
      </x:c>
      <x:c r="X355" s="20" t="n">
        <x:f>IF(Q355="是",0,IFERROR(P355/SUMIFS($P$2:$P$964,$A$2:$A$964,A355,$Q$2:$Q$964,"否"),0))</x:f>
        <x:v>0.025975637499224453</x:v>
      </x:c>
      <x:c r="Y355" s="22" t="str">
        <x:f>IF(OR(M355="",U355=""),"未交叉",IF(M355*U355&gt;0,"同向",IF(M355*U355&lt;0,"背离","一侧持平")))</x:f>
        <x:v>未交叉</x:v>
      </x:c>
    </x:row>
    <x:row r="356">
      <x:c r="A356" s="18" t="str">
        <x:v>polar.sh</x:v>
      </x:c>
      <x:c r="B356" s="19" t="str">
        <x:v>支付商主域（混合流量）</x:v>
      </x:c>
      <x:c r="C356" s="19" t="str">
        <x:v>中</x:v>
      </x:c>
      <x:c r="D356" s="19" t="str">
        <x:v>Jul 2026</x:v>
      </x:c>
      <x:c r="E356" s="19" t="n">
        <x:v>13</x:v>
      </x:c>
      <x:c r="F356" s="19" t="str">
        <x:v>invisibledetails.com</x:v>
      </x:c>
      <x:c r="G356" s="19" t="str">
        <x:v>Unknown</x:v>
      </x:c>
      <x:c r="H356" s="19" t="str">
        <x:v>其他/待核查</x:v>
      </x:c>
      <x:c r="I356" s="19" t="str">
        <x:v>Similarweb 未分类</x:v>
      </x:c>
      <x:c r="J356" s="19"/>
      <x:c r="K356" s="20" t="n">
        <x:v>0.0118</x:v>
      </x:c>
      <x:c r="L356" s="19" t="str">
        <x:v>新出现</x:v>
      </x:c>
      <x:c r="M356" s="20"/>
      <x:c r="N356" s="21" t="n">
        <x:v>157018</x:v>
      </x:c>
      <x:c r="O356" s="21" t="n">
        <x:v>1853</x:v>
      </x:c>
      <x:c r="P356" s="21" t="n">
        <x:f>ROUND(N356*K356,0)</x:f>
        <x:v>1853</x:v>
      </x:c>
      <x:c r="Q356" s="19" t="str">
        <x:v>否</x:v>
      </x:c>
      <x:c r="R356" s="19" t="str"/>
      <x:c r="S356" s="19" t="n">
        <x:f>IF(Q356="是",0,MIN(10,2+IF(C356="高",2,1)+IF(K356&gt;=3%,3,IF(K356&gt;=1%,2,1))+IF(L356="新出现",2,IF(M356&gt;=100%,3,IF(M356&gt;0,2,0)))))</x:f>
        <x:v>7</x:v>
      </x:c>
      <x:c r="T356" s="21"/>
      <x:c r="U356" s="20"/>
      <x:c r="V356" s="19" t="str">
        <x:v>http://invisibledetails.com/</x:v>
      </x:c>
      <x:c r="W356" s="19" t="str">
        <x:v>https://pro.similarweb.com/#/digitalsuite/websiteanalysis/referrals/*/999/1m?webSource=Total&amp;selectedTab=incomingTraffic&amp;key=polar.sh</x:v>
      </x:c>
      <x:c r="X356" s="20" t="n">
        <x:f>IF(Q356="是",0,IFERROR(P356/SUMIFS($P$2:$P$964,$A$2:$A$964,A356,$Q$2:$Q$964,"否"),0))</x:f>
        <x:v>0.019161168903687464</x:v>
      </x:c>
      <x:c r="Y356" s="22" t="str">
        <x:f>IF(OR(M356="",U356=""),"未交叉",IF(M356*U356&gt;0,"同向",IF(M356*U356&lt;0,"背离","一侧持平")))</x:f>
        <x:v>未交叉</x:v>
      </x:c>
    </x:row>
    <x:row r="357">
      <x:c r="A357" s="18" t="str">
        <x:v>polar.sh</x:v>
      </x:c>
      <x:c r="B357" s="19" t="str">
        <x:v>支付商主域（混合流量）</x:v>
      </x:c>
      <x:c r="C357" s="19" t="str">
        <x:v>中</x:v>
      </x:c>
      <x:c r="D357" s="19" t="str">
        <x:v>Jul 2026</x:v>
      </x:c>
      <x:c r="E357" s="19" t="n">
        <x:v>14</x:v>
      </x:c>
      <x:c r="F357" s="19" t="str">
        <x:v>flowerisblooming.com</x:v>
      </x:c>
      <x:c r="G357" s="19" t="str">
        <x:v>Unknown</x:v>
      </x:c>
      <x:c r="H357" s="19" t="str">
        <x:v>其他/待核查</x:v>
      </x:c>
      <x:c r="I357" s="19" t="str">
        <x:v>Similarweb 未分类</x:v>
      </x:c>
      <x:c r="J357" s="19" t="n">
        <x:v>298735</x:v>
      </x:c>
      <x:c r="K357" s="20" t="n">
        <x:v>0.0118</x:v>
      </x:c>
      <x:c r="L357" s="19" t="str">
        <x:v>上升</x:v>
      </x:c>
      <x:c r="M357" s="20" t="n">
        <x:v>0.20879999999999999</x:v>
      </x:c>
      <x:c r="N357" s="21" t="n">
        <x:v>157018</x:v>
      </x:c>
      <x:c r="O357" s="21" t="n">
        <x:v>1853</x:v>
      </x:c>
      <x:c r="P357" s="21" t="n">
        <x:f>ROUND(N357*K357,0)</x:f>
        <x:v>1853</x:v>
      </x:c>
      <x:c r="Q357" s="19" t="str">
        <x:v>否</x:v>
      </x:c>
      <x:c r="R357" s="19" t="str"/>
      <x:c r="S357" s="19" t="n">
        <x:f>IF(Q357="是",0,MIN(10,2+IF(C357="高",2,1)+IF(K357&gt;=3%,3,IF(K357&gt;=1%,2,1))+IF(L357="新出现",2,IF(M357&gt;=100%,3,IF(M357&gt;0,2,0)))))</x:f>
        <x:v>7</x:v>
      </x:c>
      <x:c r="T357" s="21"/>
      <x:c r="U357" s="20"/>
      <x:c r="V357" s="19" t="str">
        <x:v>http://flowerisblooming.com/</x:v>
      </x:c>
      <x:c r="W357" s="19" t="str">
        <x:v>https://pro.similarweb.com/#/digitalsuite/websiteanalysis/referrals/*/999/1m?webSource=Total&amp;selectedTab=incomingTraffic&amp;key=polar.sh</x:v>
      </x:c>
      <x:c r="X357" s="20" t="n">
        <x:f>IF(Q357="是",0,IFERROR(P357/SUMIFS($P$2:$P$964,$A$2:$A$964,A357,$Q$2:$Q$964,"否"),0))</x:f>
        <x:v>0.019161168903687464</x:v>
      </x:c>
      <x:c r="Y357" s="22" t="str">
        <x:f>IF(OR(M357="",U357=""),"未交叉",IF(M357*U357&gt;0,"同向",IF(M357*U357&lt;0,"背离","一侧持平")))</x:f>
        <x:v>未交叉</x:v>
      </x:c>
    </x:row>
    <x:row r="358">
      <x:c r="A358" s="18" t="str">
        <x:v>polar.sh</x:v>
      </x:c>
      <x:c r="B358" s="19" t="str">
        <x:v>支付商主域（混合流量）</x:v>
      </x:c>
      <x:c r="C358" s="19" t="str">
        <x:v>中</x:v>
      </x:c>
      <x:c r="D358" s="19" t="str">
        <x:v>Jul 2026</x:v>
      </x:c>
      <x:c r="E358" s="19" t="n">
        <x:v>15</x:v>
      </x:c>
      <x:c r="F358" s="19" t="str">
        <x:v>unicorn.studio</x:v>
      </x:c>
      <x:c r="G358" s="19" t="str">
        <x:v>Graphics Multimedia and Web Design</x:v>
      </x:c>
      <x:c r="H358" s="19" t="str">
        <x:v>创作、设计与多媒体工具</x:v>
      </x:c>
      <x:c r="I358" s="19" t="str">
        <x:v>Similarweb 行业映射</x:v>
      </x:c>
      <x:c r="J358" s="19" t="n">
        <x:v>218568</x:v>
      </x:c>
      <x:c r="K358" s="20" t="n">
        <x:v>0.0115</x:v>
      </x:c>
      <x:c r="L358" s="19" t="str">
        <x:v>下降</x:v>
      </x:c>
      <x:c r="M358" s="20" t="n">
        <x:v>-0.2782</x:v>
      </x:c>
      <x:c r="N358" s="21" t="n">
        <x:v>157018</x:v>
      </x:c>
      <x:c r="O358" s="21" t="n">
        <x:v>1806</x:v>
      </x:c>
      <x:c r="P358" s="21" t="n">
        <x:f>ROUND(N358*K358,0)</x:f>
        <x:v>1806</x:v>
      </x:c>
      <x:c r="Q358" s="19" t="str">
        <x:v>否</x:v>
      </x:c>
      <x:c r="R358" s="19" t="str"/>
      <x:c r="S358" s="19" t="n">
        <x:f>IF(Q358="是",0,MIN(10,2+IF(C358="高",2,1)+IF(K358&gt;=3%,3,IF(K358&gt;=1%,2,1))+IF(L358="新出现",2,IF(M358&gt;=100%,3,IF(M358&gt;0,2,0)))))</x:f>
        <x:v>5</x:v>
      </x:c>
      <x:c r="T358" s="21"/>
      <x:c r="U358" s="20"/>
      <x:c r="V358" s="19" t="str">
        <x:v>http://unicorn.studio/</x:v>
      </x:c>
      <x:c r="W358" s="19" t="str">
        <x:v>https://pro.similarweb.com/#/digitalsuite/websiteanalysis/referrals/*/999/1m?webSource=Total&amp;selectedTab=incomingTraffic&amp;key=polar.sh</x:v>
      </x:c>
      <x:c r="X358" s="20" t="n">
        <x:f>IF(Q358="是",0,IFERROR(P358/SUMIFS($P$2:$P$964,$A$2:$A$964,A358,$Q$2:$Q$964,"否"),0))</x:f>
        <x:v>0.018675159762579364</x:v>
      </x:c>
      <x:c r="Y358" s="22" t="str">
        <x:f>IF(OR(M358="",U358=""),"未交叉",IF(M358*U358&gt;0,"同向",IF(M358*U358&lt;0,"背离","一侧持平")))</x:f>
        <x:v>未交叉</x:v>
      </x:c>
    </x:row>
    <x:row r="359">
      <x:c r="A359" s="18" t="str">
        <x:v>polar.sh</x:v>
      </x:c>
      <x:c r="B359" s="19" t="str">
        <x:v>支付商主域（混合流量）</x:v>
      </x:c>
      <x:c r="C359" s="19" t="str">
        <x:v>中</x:v>
      </x:c>
      <x:c r="D359" s="19" t="str">
        <x:v>Jul 2026</x:v>
      </x:c>
      <x:c r="E359" s="19" t="n">
        <x:v>16</x:v>
      </x:c>
      <x:c r="F359" s="19" t="str">
        <x:v>app.strix.ai</x:v>
      </x:c>
      <x:c r="G359" s="19" t="str">
        <x:v>Unknown</x:v>
      </x:c>
      <x:c r="H359" s="19" t="str">
        <x:v>AI 工具与应用（未细分）</x:v>
      </x:c>
      <x:c r="I359" s="19" t="str">
        <x:v>域名后缀启发式</x:v>
      </x:c>
      <x:c r="J359" s="19"/>
      <x:c r="K359" s="20" t="n">
        <x:v>0.011000000000000001</x:v>
      </x:c>
      <x:c r="L359" s="19" t="str">
        <x:v>上升</x:v>
      </x:c>
      <x:c r="M359" s="20" t="n">
        <x:v>1.1227</x:v>
      </x:c>
      <x:c r="N359" s="21" t="n">
        <x:v>157018</x:v>
      </x:c>
      <x:c r="O359" s="21" t="n">
        <x:v>1727</x:v>
      </x:c>
      <x:c r="P359" s="21" t="n">
        <x:f>ROUND(N359*K359,0)</x:f>
        <x:v>1727</x:v>
      </x:c>
      <x:c r="Q359" s="19" t="str">
        <x:v>否</x:v>
      </x:c>
      <x:c r="R359" s="19" t="str"/>
      <x:c r="S359" s="19" t="n">
        <x:f>IF(Q359="是",0,MIN(10,2+IF(C359="高",2,1)+IF(K359&gt;=3%,3,IF(K359&gt;=1%,2,1))+IF(L359="新出现",2,IF(M359&gt;=100%,3,IF(M359&gt;0,2,0)))))</x:f>
        <x:v>8</x:v>
      </x:c>
      <x:c r="T359" s="21"/>
      <x:c r="U359" s="20"/>
      <x:c r="V359" s="19" t="str">
        <x:v>http://app.strix.ai/</x:v>
      </x:c>
      <x:c r="W359" s="19" t="str">
        <x:v>https://pro.similarweb.com/#/digitalsuite/websiteanalysis/referrals/*/999/1m?webSource=Total&amp;selectedTab=incomingTraffic&amp;key=polar.sh</x:v>
      </x:c>
      <x:c r="X359" s="20" t="n">
        <x:f>IF(Q359="是",0,IFERROR(P359/SUMIFS($P$2:$P$964,$A$2:$A$964,A359,$Q$2:$Q$964,"否"),0))</x:f>
        <x:v>0.017858250780716813</x:v>
      </x:c>
      <x:c r="Y359" s="22" t="str">
        <x:f>IF(OR(M359="",U359=""),"未交叉",IF(M359*U359&gt;0,"同向",IF(M359*U359&lt;0,"背离","一侧持平")))</x:f>
        <x:v>未交叉</x:v>
      </x:c>
    </x:row>
    <x:row r="360">
      <x:c r="A360" s="18" t="str">
        <x:v>polar.sh</x:v>
      </x:c>
      <x:c r="B360" s="19" t="str">
        <x:v>支付商主域（混合流量）</x:v>
      </x:c>
      <x:c r="C360" s="19" t="str">
        <x:v>中</x:v>
      </x:c>
      <x:c r="D360" s="19" t="str">
        <x:v>Jul 2026</x:v>
      </x:c>
      <x:c r="E360" s="19" t="n">
        <x:v>17</x:v>
      </x:c>
      <x:c r="F360" s="19" t="str">
        <x:v>ai.photta.app</x:v>
      </x:c>
      <x:c r="G360" s="19" t="str">
        <x:v>Unknown</x:v>
      </x:c>
      <x:c r="H360" s="19" t="str">
        <x:v>其他/待核查</x:v>
      </x:c>
      <x:c r="I360" s="19" t="str">
        <x:v>Similarweb 未分类</x:v>
      </x:c>
      <x:c r="J360" s="19"/>
      <x:c r="K360" s="20" t="n">
        <x:v>0.0106</x:v>
      </x:c>
      <x:c r="L360" s="19" t="str">
        <x:v>上升</x:v>
      </x:c>
      <x:c r="M360" s="20" t="n">
        <x:v>10.256300000000001</x:v>
      </x:c>
      <x:c r="N360" s="21" t="n">
        <x:v>157018</x:v>
      </x:c>
      <x:c r="O360" s="21" t="n">
        <x:v>1664</x:v>
      </x:c>
      <x:c r="P360" s="21" t="n">
        <x:f>ROUND(N360*K360,0)</x:f>
        <x:v>1664</x:v>
      </x:c>
      <x:c r="Q360" s="19" t="str">
        <x:v>否</x:v>
      </x:c>
      <x:c r="R360" s="19" t="str"/>
      <x:c r="S360" s="19" t="n">
        <x:f>IF(Q360="是",0,MIN(10,2+IF(C360="高",2,1)+IF(K360&gt;=3%,3,IF(K360&gt;=1%,2,1))+IF(L360="新出现",2,IF(M360&gt;=100%,3,IF(M360&gt;0,2,0)))))</x:f>
        <x:v>8</x:v>
      </x:c>
      <x:c r="T360" s="21"/>
      <x:c r="U360" s="20"/>
      <x:c r="V360" s="19" t="str">
        <x:v>http://ai.photta.app/</x:v>
      </x:c>
      <x:c r="W360" s="19" t="str">
        <x:v>https://pro.similarweb.com/#/digitalsuite/websiteanalysis/referrals/*/999/1m?webSource=Total&amp;selectedTab=incomingTraffic&amp;key=polar.sh</x:v>
      </x:c>
      <x:c r="X360" s="20" t="n">
        <x:f>IF(Q360="是",0,IFERROR(P360/SUMIFS($P$2:$P$964,$A$2:$A$964,A360,$Q$2:$Q$964,"否"),0))</x:f>
        <x:v>0.017206791719231486</x:v>
      </x:c>
      <x:c r="Y360" s="22" t="str">
        <x:f>IF(OR(M360="",U360=""),"未交叉",IF(M360*U360&gt;0,"同向",IF(M360*U360&lt;0,"背离","一侧持平")))</x:f>
        <x:v>未交叉</x:v>
      </x:c>
    </x:row>
    <x:row r="361">
      <x:c r="A361" s="18" t="str">
        <x:v>polar.sh</x:v>
      </x:c>
      <x:c r="B361" s="19" t="str">
        <x:v>支付商主域（混合流量）</x:v>
      </x:c>
      <x:c r="C361" s="19" t="str">
        <x:v>中</x:v>
      </x:c>
      <x:c r="D361" s="19" t="str">
        <x:v>Jul 2026</x:v>
      </x:c>
      <x:c r="E361" s="19" t="n">
        <x:v>18</x:v>
      </x:c>
      <x:c r="F361" s="19" t="str">
        <x:v>mckp.live</x:v>
      </x:c>
      <x:c r="G361" s="19" t="str">
        <x:v>Unknown</x:v>
      </x:c>
      <x:c r="H361" s="19" t="str">
        <x:v>其他/待核查</x:v>
      </x:c>
      <x:c r="I361" s="19" t="str">
        <x:v>Similarweb 未分类</x:v>
      </x:c>
      <x:c r="J361" s="19"/>
      <x:c r="K361" s="20" t="n">
        <x:v>0.0103</x:v>
      </x:c>
      <x:c r="L361" s="19" t="str">
        <x:v>上升</x:v>
      </x:c>
      <x:c r="M361" s="20" t="n">
        <x:v>7.2933</x:v>
      </x:c>
      <x:c r="N361" s="21" t="n">
        <x:v>157018</x:v>
      </x:c>
      <x:c r="O361" s="21" t="n">
        <x:v>1617</x:v>
      </x:c>
      <x:c r="P361" s="21" t="n">
        <x:f>ROUND(N361*K361,0)</x:f>
        <x:v>1617</x:v>
      </x:c>
      <x:c r="Q361" s="19" t="str">
        <x:v>否</x:v>
      </x:c>
      <x:c r="R361" s="19" t="str"/>
      <x:c r="S361" s="19" t="n">
        <x:f>IF(Q361="是",0,MIN(10,2+IF(C361="高",2,1)+IF(K361&gt;=3%,3,IF(K361&gt;=1%,2,1))+IF(L361="新出现",2,IF(M361&gt;=100%,3,IF(M361&gt;0,2,0)))))</x:f>
        <x:v>8</x:v>
      </x:c>
      <x:c r="T361" s="21"/>
      <x:c r="U361" s="20"/>
      <x:c r="V361" s="19" t="str">
        <x:v>http://mckp.live/</x:v>
      </x:c>
      <x:c r="W361" s="19" t="str">
        <x:v>https://pro.similarweb.com/#/digitalsuite/websiteanalysis/referrals/*/999/1m?webSource=Total&amp;selectedTab=incomingTraffic&amp;key=polar.sh</x:v>
      </x:c>
      <x:c r="X361" s="20" t="n">
        <x:f>IF(Q361="是",0,IFERROR(P361/SUMIFS($P$2:$P$964,$A$2:$A$964,A361,$Q$2:$Q$964,"否"),0))</x:f>
        <x:v>0.016720782578123386</x:v>
      </x:c>
      <x:c r="Y361" s="22" t="str">
        <x:f>IF(OR(M361="",U361=""),"未交叉",IF(M361*U361&gt;0,"同向",IF(M361*U361&lt;0,"背离","一侧持平")))</x:f>
        <x:v>未交叉</x:v>
      </x:c>
    </x:row>
    <x:row r="362">
      <x:c r="A362" s="18" t="str">
        <x:v>polar.sh</x:v>
      </x:c>
      <x:c r="B362" s="19" t="str">
        <x:v>支付商主域（混合流量）</x:v>
      </x:c>
      <x:c r="C362" s="19" t="str">
        <x:v>中</x:v>
      </x:c>
      <x:c r="D362" s="19" t="str">
        <x:v>Jul 2026</x:v>
      </x:c>
      <x:c r="E362" s="19" t="n">
        <x:v>19</x:v>
      </x:c>
      <x:c r="F362" s="19" t="str">
        <x:v>ror.zone</x:v>
      </x:c>
      <x:c r="G362" s="19" t="str">
        <x:v>Video Games Consoles and Accessories</x:v>
      </x:c>
      <x:c r="H362" s="19" t="str">
        <x:v>游戏、数字商品与虚拟内容</x:v>
      </x:c>
      <x:c r="I362" s="19" t="str">
        <x:v>Similarweb 行业映射</x:v>
      </x:c>
      <x:c r="J362" s="19" t="n">
        <x:v>814054</x:v>
      </x:c>
      <x:c r="K362" s="20" t="n">
        <x:v>0.0101</x:v>
      </x:c>
      <x:c r="L362" s="19" t="str">
        <x:v>上升</x:v>
      </x:c>
      <x:c r="M362" s="20" t="n">
        <x:v>1.1223</x:v>
      </x:c>
      <x:c r="N362" s="21" t="n">
        <x:v>157018</x:v>
      </x:c>
      <x:c r="O362" s="21" t="n">
        <x:v>1586</x:v>
      </x:c>
      <x:c r="P362" s="21" t="n">
        <x:f>ROUND(N362*K362,0)</x:f>
        <x:v>1586</x:v>
      </x:c>
      <x:c r="Q362" s="19" t="str">
        <x:v>否</x:v>
      </x:c>
      <x:c r="R362" s="19" t="str"/>
      <x:c r="S362" s="19" t="n">
        <x:f>IF(Q362="是",0,MIN(10,2+IF(C362="高",2,1)+IF(K362&gt;=3%,3,IF(K362&gt;=1%,2,1))+IF(L362="新出现",2,IF(M362&gt;=100%,3,IF(M362&gt;0,2,0)))))</x:f>
        <x:v>8</x:v>
      </x:c>
      <x:c r="T362" s="21"/>
      <x:c r="U362" s="20"/>
      <x:c r="V362" s="19" t="str">
        <x:v>http://ror.zone/</x:v>
      </x:c>
      <x:c r="W362" s="19" t="str">
        <x:v>https://pro.similarweb.com/#/digitalsuite/websiteanalysis/referrals/*/999/1m?webSource=Total&amp;selectedTab=incomingTraffic&amp;key=polar.sh</x:v>
      </x:c>
      <x:c r="X362" s="20" t="n">
        <x:f>IF(Q362="是",0,IFERROR(P362/SUMIFS($P$2:$P$964,$A$2:$A$964,A362,$Q$2:$Q$964,"否"),0))</x:f>
        <x:v>0.01640022335739251</x:v>
      </x:c>
      <x:c r="Y362" s="22" t="str">
        <x:f>IF(OR(M362="",U362=""),"未交叉",IF(M362*U362&gt;0,"同向",IF(M362*U362&lt;0,"背离","一侧持平")))</x:f>
        <x:v>未交叉</x:v>
      </x:c>
    </x:row>
    <x:row r="363">
      <x:c r="A363" s="18" t="str">
        <x:v>polar.sh</x:v>
      </x:c>
      <x:c r="B363" s="19" t="str">
        <x:v>支付商主域（混合流量）</x:v>
      </x:c>
      <x:c r="C363" s="19" t="str">
        <x:v>中</x:v>
      </x:c>
      <x:c r="D363" s="19" t="str">
        <x:v>Jul 2026</x:v>
      </x:c>
      <x:c r="E363" s="19" t="n">
        <x:v>20</x:v>
      </x:c>
      <x:c r="F363" s="19" t="str">
        <x:v>j2team.org</x:v>
      </x:c>
      <x:c r="G363" s="19" t="str">
        <x:v>Consumer Electronics</x:v>
      </x:c>
      <x:c r="H363" s="19" t="str">
        <x:v>其他/待核查</x:v>
      </x:c>
      <x:c r="I363" s="19" t="str">
        <x:v>保守归类</x:v>
      </x:c>
      <x:c r="J363" s="19" t="n">
        <x:v>201029</x:v>
      </x:c>
      <x:c r="K363" s="20" t="n">
        <x:v>0.0096</x:v>
      </x:c>
      <x:c r="L363" s="19" t="str">
        <x:v>上升</x:v>
      </x:c>
      <x:c r="M363" s="20" t="n">
        <x:v>11.3847</x:v>
      </x:c>
      <x:c r="N363" s="21" t="n">
        <x:v>157018</x:v>
      </x:c>
      <x:c r="O363" s="21" t="n">
        <x:v>1507</x:v>
      </x:c>
      <x:c r="P363" s="21" t="n">
        <x:f>ROUND(N363*K363,0)</x:f>
        <x:v>1507</x:v>
      </x:c>
      <x:c r="Q363" s="19" t="str">
        <x:v>否</x:v>
      </x:c>
      <x:c r="R363" s="19" t="str"/>
      <x:c r="S363" s="19" t="n">
        <x:f>IF(Q363="是",0,MIN(10,2+IF(C363="高",2,1)+IF(K363&gt;=3%,3,IF(K363&gt;=1%,2,1))+IF(L363="新出现",2,IF(M363&gt;=100%,3,IF(M363&gt;0,2,0)))))</x:f>
        <x:v>7</x:v>
      </x:c>
      <x:c r="T363" s="21"/>
      <x:c r="U363" s="20"/>
      <x:c r="V363" s="19" t="str">
        <x:v>http://j2team.org/</x:v>
      </x:c>
      <x:c r="W363" s="19" t="str">
        <x:v>https://pro.similarweb.com/#/digitalsuite/websiteanalysis/referrals/*/999/1m?webSource=Total&amp;selectedTab=incomingTraffic&amp;key=polar.sh</x:v>
      </x:c>
      <x:c r="X363" s="20" t="n">
        <x:f>IF(Q363="是",0,IFERROR(P363/SUMIFS($P$2:$P$964,$A$2:$A$964,A363,$Q$2:$Q$964,"否"),0))</x:f>
        <x:v>0.015583314375529957</x:v>
      </x:c>
      <x:c r="Y363" s="22" t="str">
        <x:f>IF(OR(M363="",U363=""),"未交叉",IF(M363*U363&gt;0,"同向",IF(M363*U363&lt;0,"背离","一侧持平")))</x:f>
        <x:v>未交叉</x:v>
      </x:c>
    </x:row>
    <x:row r="364">
      <x:c r="A364" s="18" t="str">
        <x:v>polar.sh</x:v>
      </x:c>
      <x:c r="B364" s="19" t="str">
        <x:v>支付商主域（混合流量）</x:v>
      </x:c>
      <x:c r="C364" s="19" t="str">
        <x:v>中</x:v>
      </x:c>
      <x:c r="D364" s="19" t="str">
        <x:v>Jul 2026</x:v>
      </x:c>
      <x:c r="E364" s="19" t="n">
        <x:v>21</x:v>
      </x:c>
      <x:c r="F364" s="19" t="str">
        <x:v>animatemymap.com</x:v>
      </x:c>
      <x:c r="G364" s="19" t="str">
        <x:v>Unknown</x:v>
      </x:c>
      <x:c r="H364" s="19" t="str">
        <x:v>其他/待核查</x:v>
      </x:c>
      <x:c r="I364" s="19" t="str">
        <x:v>Similarweb 未分类</x:v>
      </x:c>
      <x:c r="J364" s="19" t="n">
        <x:v>177073</x:v>
      </x:c>
      <x:c r="K364" s="20" t="n">
        <x:v>0.009000000000000001</x:v>
      </x:c>
      <x:c r="L364" s="19" t="str">
        <x:v>上升</x:v>
      </x:c>
      <x:c r="M364" s="20" t="n">
        <x:v>50</x:v>
      </x:c>
      <x:c r="N364" s="21" t="n">
        <x:v>157018</x:v>
      </x:c>
      <x:c r="O364" s="21" t="n">
        <x:v>1413</x:v>
      </x:c>
      <x:c r="P364" s="21" t="n">
        <x:f>ROUND(N364*K364,0)</x:f>
        <x:v>1413</x:v>
      </x:c>
      <x:c r="Q364" s="19" t="str">
        <x:v>否</x:v>
      </x:c>
      <x:c r="R364" s="19" t="str"/>
      <x:c r="S364" s="19" t="n">
        <x:f>IF(Q364="是",0,MIN(10,2+IF(C364="高",2,1)+IF(K364&gt;=3%,3,IF(K364&gt;=1%,2,1))+IF(L364="新出现",2,IF(M364&gt;=100%,3,IF(M364&gt;0,2,0)))))</x:f>
        <x:v>7</x:v>
      </x:c>
      <x:c r="T364" s="21"/>
      <x:c r="U364" s="20"/>
      <x:c r="V364" s="19" t="str">
        <x:v>http://animatemymap.com/</x:v>
      </x:c>
      <x:c r="W364" s="19" t="str">
        <x:v>https://pro.similarweb.com/#/digitalsuite/websiteanalysis/referrals/*/999/1m?webSource=Total&amp;selectedTab=incomingTraffic&amp;key=polar.sh</x:v>
      </x:c>
      <x:c r="X364" s="20" t="n">
        <x:f>IF(Q364="是",0,IFERROR(P364/SUMIFS($P$2:$P$964,$A$2:$A$964,A364,$Q$2:$Q$964,"否"),0))</x:f>
        <x:v>0.014611296093313755</x:v>
      </x:c>
      <x:c r="Y364" s="22" t="str">
        <x:f>IF(OR(M364="",U364=""),"未交叉",IF(M364*U364&gt;0,"同向",IF(M364*U364&lt;0,"背离","一侧持平")))</x:f>
        <x:v>未交叉</x:v>
      </x:c>
    </x:row>
    <x:row r="365">
      <x:c r="A365" s="18" t="str">
        <x:v>polar.sh</x:v>
      </x:c>
      <x:c r="B365" s="19" t="str">
        <x:v>支付商主域（混合流量）</x:v>
      </x:c>
      <x:c r="C365" s="19" t="str">
        <x:v>中</x:v>
      </x:c>
      <x:c r="D365" s="19" t="str">
        <x:v>Jul 2026</x:v>
      </x:c>
      <x:c r="E365" s="19" t="n">
        <x:v>22</x:v>
      </x:c>
      <x:c r="F365" s="19" t="str">
        <x:v>flyn.to</x:v>
      </x:c>
      <x:c r="G365" s="19" t="str">
        <x:v>Unknown</x:v>
      </x:c>
      <x:c r="H365" s="19" t="str">
        <x:v>其他/待核查</x:v>
      </x:c>
      <x:c r="I365" s="19" t="str">
        <x:v>Similarweb 未分类</x:v>
      </x:c>
      <x:c r="J365" s="19" t="n">
        <x:v>465928</x:v>
      </x:c>
      <x:c r="K365" s="20" t="n">
        <x:v>0.0089</x:v>
      </x:c>
      <x:c r="L365" s="19" t="str">
        <x:v>新出现</x:v>
      </x:c>
      <x:c r="M365" s="20"/>
      <x:c r="N365" s="21" t="n">
        <x:v>157018</x:v>
      </x:c>
      <x:c r="O365" s="21" t="n">
        <x:v>1397</x:v>
      </x:c>
      <x:c r="P365" s="21" t="n">
        <x:f>ROUND(N365*K365,0)</x:f>
        <x:v>1397</x:v>
      </x:c>
      <x:c r="Q365" s="19" t="str">
        <x:v>否</x:v>
      </x:c>
      <x:c r="R365" s="19" t="str"/>
      <x:c r="S365" s="19" t="n">
        <x:f>IF(Q365="是",0,MIN(10,2+IF(C365="高",2,1)+IF(K365&gt;=3%,3,IF(K365&gt;=1%,2,1))+IF(L365="新出现",2,IF(M365&gt;=100%,3,IF(M365&gt;0,2,0)))))</x:f>
        <x:v>6</x:v>
      </x:c>
      <x:c r="T365" s="21"/>
      <x:c r="U365" s="20"/>
      <x:c r="V365" s="19" t="str">
        <x:v>http://flyn.to/</x:v>
      </x:c>
      <x:c r="W365" s="19" t="str">
        <x:v>https://pro.similarweb.com/#/digitalsuite/websiteanalysis/referrals/*/999/1m?webSource=Total&amp;selectedTab=incomingTraffic&amp;key=polar.sh</x:v>
      </x:c>
      <x:c r="X365" s="20" t="n">
        <x:f>IF(Q365="是",0,IFERROR(P365/SUMIFS($P$2:$P$964,$A$2:$A$964,A365,$Q$2:$Q$964,"否"),0))</x:f>
        <x:v>0.01444584617293653</x:v>
      </x:c>
      <x:c r="Y365" s="22" t="str">
        <x:f>IF(OR(M365="",U365=""),"未交叉",IF(M365*U365&gt;0,"同向",IF(M365*U365&lt;0,"背离","一侧持平")))</x:f>
        <x:v>未交叉</x:v>
      </x:c>
    </x:row>
    <x:row r="366">
      <x:c r="A366" s="18" t="str">
        <x:v>polar.sh</x:v>
      </x:c>
      <x:c r="B366" s="19" t="str">
        <x:v>支付商主域（混合流量）</x:v>
      </x:c>
      <x:c r="C366" s="19" t="str">
        <x:v>中</x:v>
      </x:c>
      <x:c r="D366" s="19" t="str">
        <x:v>Jul 2026</x:v>
      </x:c>
      <x:c r="E366" s="19" t="n">
        <x:v>23</x:v>
      </x:c>
      <x:c r="F366" s="19" t="str">
        <x:v>clearserp.com</x:v>
      </x:c>
      <x:c r="G366" s="19" t="str">
        <x:v>Unknown</x:v>
      </x:c>
      <x:c r="H366" s="19" t="str">
        <x:v>其他/待核查</x:v>
      </x:c>
      <x:c r="I366" s="19" t="str">
        <x:v>Similarweb 未分类</x:v>
      </x:c>
      <x:c r="J366" s="19" t="n">
        <x:v>2914743</x:v>
      </x:c>
      <x:c r="K366" s="20" t="n">
        <x:v>0.0088</x:v>
      </x:c>
      <x:c r="L366" s="19" t="str">
        <x:v>上升</x:v>
      </x:c>
      <x:c r="M366" s="20" t="n">
        <x:v>3.0801999999999996</x:v>
      </x:c>
      <x:c r="N366" s="21" t="n">
        <x:v>157018</x:v>
      </x:c>
      <x:c r="O366" s="21" t="n">
        <x:v>1382</x:v>
      </x:c>
      <x:c r="P366" s="21" t="n">
        <x:f>ROUND(N366*K366,0)</x:f>
        <x:v>1382</x:v>
      </x:c>
      <x:c r="Q366" s="19" t="str">
        <x:v>否</x:v>
      </x:c>
      <x:c r="R366" s="19" t="str"/>
      <x:c r="S366" s="19" t="n">
        <x:f>IF(Q366="是",0,MIN(10,2+IF(C366="高",2,1)+IF(K366&gt;=3%,3,IF(K366&gt;=1%,2,1))+IF(L366="新出现",2,IF(M366&gt;=100%,3,IF(M366&gt;0,2,0)))))</x:f>
        <x:v>7</x:v>
      </x:c>
      <x:c r="T366" s="21"/>
      <x:c r="U366" s="20"/>
      <x:c r="V366" s="19" t="str">
        <x:v>http://clearserp.com/</x:v>
      </x:c>
      <x:c r="W366" s="19" t="str">
        <x:v>https://pro.similarweb.com/#/digitalsuite/websiteanalysis/referrals/*/999/1m?webSource=Total&amp;selectedTab=incomingTraffic&amp;key=polar.sh</x:v>
      </x:c>
      <x:c r="X366" s="20" t="n">
        <x:f>IF(Q366="是",0,IFERROR(P366/SUMIFS($P$2:$P$964,$A$2:$A$964,A366,$Q$2:$Q$964,"否"),0))</x:f>
        <x:v>0.01429073687258288</x:v>
      </x:c>
      <x:c r="Y366" s="22" t="str">
        <x:f>IF(OR(M366="",U366=""),"未交叉",IF(M366*U366&gt;0,"同向",IF(M366*U366&lt;0,"背离","一侧持平")))</x:f>
        <x:v>未交叉</x:v>
      </x:c>
    </x:row>
    <x:row r="367">
      <x:c r="A367" s="18" t="str">
        <x:v>polar.sh</x:v>
      </x:c>
      <x:c r="B367" s="19" t="str">
        <x:v>支付商主域（混合流量）</x:v>
      </x:c>
      <x:c r="C367" s="19" t="str">
        <x:v>中</x:v>
      </x:c>
      <x:c r="D367" s="19" t="str">
        <x:v>Jul 2026</x:v>
      </x:c>
      <x:c r="E367" s="19" t="n">
        <x:v>24</x:v>
      </x:c>
      <x:c r="F367" s="19" t="str">
        <x:v>launchigniter.com</x:v>
      </x:c>
      <x:c r="G367" s="19" t="str">
        <x:v>Unknown</x:v>
      </x:c>
      <x:c r="H367" s="19" t="str">
        <x:v>其他/待核查</x:v>
      </x:c>
      <x:c r="I367" s="19" t="str">
        <x:v>Similarweb 未分类</x:v>
      </x:c>
      <x:c r="J367" s="19" t="n">
        <x:v>1385431</x:v>
      </x:c>
      <x:c r="K367" s="20" t="n">
        <x:v>0.0087</x:v>
      </x:c>
      <x:c r="L367" s="19" t="str">
        <x:v>上升</x:v>
      </x:c>
      <x:c r="M367" s="20" t="n">
        <x:v>0.1092</x:v>
      </x:c>
      <x:c r="N367" s="21" t="n">
        <x:v>157018</x:v>
      </x:c>
      <x:c r="O367" s="21" t="n">
        <x:v>1366</x:v>
      </x:c>
      <x:c r="P367" s="21" t="n">
        <x:f>ROUND(N367*K367,0)</x:f>
        <x:v>1366</x:v>
      </x:c>
      <x:c r="Q367" s="19" t="str">
        <x:v>否</x:v>
      </x:c>
      <x:c r="R367" s="19" t="str"/>
      <x:c r="S367" s="19" t="n">
        <x:f>IF(Q367="是",0,MIN(10,2+IF(C367="高",2,1)+IF(K367&gt;=3%,3,IF(K367&gt;=1%,2,1))+IF(L367="新出现",2,IF(M367&gt;=100%,3,IF(M367&gt;0,2,0)))))</x:f>
        <x:v>6</x:v>
      </x:c>
      <x:c r="T367" s="21"/>
      <x:c r="U367" s="20"/>
      <x:c r="V367" s="19" t="str">
        <x:v>http://launchigniter.com/</x:v>
      </x:c>
      <x:c r="W367" s="19" t="str">
        <x:v>https://pro.similarweb.com/#/digitalsuite/websiteanalysis/referrals/*/999/1m?webSource=Total&amp;selectedTab=incomingTraffic&amp;key=polar.sh</x:v>
      </x:c>
      <x:c r="X367" s="20" t="n">
        <x:f>IF(Q367="是",0,IFERROR(P367/SUMIFS($P$2:$P$964,$A$2:$A$964,A367,$Q$2:$Q$964,"否"),0))</x:f>
        <x:v>0.014125286952205654</x:v>
      </x:c>
      <x:c r="Y367" s="22" t="str">
        <x:f>IF(OR(M367="",U367=""),"未交叉",IF(M367*U367&gt;0,"同向",IF(M367*U367&lt;0,"背离","一侧持平")))</x:f>
        <x:v>未交叉</x:v>
      </x:c>
    </x:row>
    <x:row r="368">
      <x:c r="A368" s="18" t="str">
        <x:v>polar.sh</x:v>
      </x:c>
      <x:c r="B368" s="19" t="str">
        <x:v>支付商主域（混合流量）</x:v>
      </x:c>
      <x:c r="C368" s="19" t="str">
        <x:v>中</x:v>
      </x:c>
      <x:c r="D368" s="19" t="str">
        <x:v>Jul 2026</x:v>
      </x:c>
      <x:c r="E368" s="19" t="n">
        <x:v>25</x:v>
      </x:c>
      <x:c r="F368" s="19" t="str">
        <x:v>backlinkgpt.com</x:v>
      </x:c>
      <x:c r="G368" s="19" t="str">
        <x:v>Computers Electronics and Technology</x:v>
      </x:c>
      <x:c r="H368" s="19" t="str">
        <x:v>通用数字产品与技术服务</x:v>
      </x:c>
      <x:c r="I368" s="19" t="str">
        <x:v>Similarweb 行业映射</x:v>
      </x:c>
      <x:c r="J368" s="19" t="n">
        <x:v>2524750</x:v>
      </x:c>
      <x:c r="K368" s="20" t="n">
        <x:v>0.0085</x:v>
      </x:c>
      <x:c r="L368" s="19" t="str">
        <x:v>上升</x:v>
      </x:c>
      <x:c r="M368" s="20" t="n">
        <x:v>1.7711000000000001</x:v>
      </x:c>
      <x:c r="N368" s="21" t="n">
        <x:v>157018</x:v>
      </x:c>
      <x:c r="O368" s="21" t="n">
        <x:v>1335</x:v>
      </x:c>
      <x:c r="P368" s="21" t="n">
        <x:f>ROUND(N368*K368,0)</x:f>
        <x:v>1335</x:v>
      </x:c>
      <x:c r="Q368" s="19" t="str">
        <x:v>否</x:v>
      </x:c>
      <x:c r="R368" s="19" t="str"/>
      <x:c r="S368" s="19" t="n">
        <x:f>IF(Q368="是",0,MIN(10,2+IF(C368="高",2,1)+IF(K368&gt;=3%,3,IF(K368&gt;=1%,2,1))+IF(L368="新出现",2,IF(M368&gt;=100%,3,IF(M368&gt;0,2,0)))))</x:f>
        <x:v>7</x:v>
      </x:c>
      <x:c r="T368" s="21"/>
      <x:c r="U368" s="20"/>
      <x:c r="V368" s="19" t="str">
        <x:v>http://backlinkgpt.com/</x:v>
      </x:c>
      <x:c r="W368" s="19" t="str">
        <x:v>https://pro.similarweb.com/#/digitalsuite/websiteanalysis/referrals/*/999/1m?webSource=Total&amp;selectedTab=incomingTraffic&amp;key=polar.sh</x:v>
      </x:c>
      <x:c r="X368" s="20" t="n">
        <x:f>IF(Q368="是",0,IFERROR(P368/SUMIFS($P$2:$P$964,$A$2:$A$964,A368,$Q$2:$Q$964,"否"),0))</x:f>
        <x:v>0.01380472773147478</x:v>
      </x:c>
      <x:c r="Y368" s="22" t="str">
        <x:f>IF(OR(M368="",U368=""),"未交叉",IF(M368*U368&gt;0,"同向",IF(M368*U368&lt;0,"背离","一侧持平")))</x:f>
        <x:v>未交叉</x:v>
      </x:c>
    </x:row>
    <x:row r="369">
      <x:c r="A369" s="18" t="str">
        <x:v>polar.sh</x:v>
      </x:c>
      <x:c r="B369" s="19" t="str">
        <x:v>支付商主域（混合流量）</x:v>
      </x:c>
      <x:c r="C369" s="19" t="str">
        <x:v>中</x:v>
      </x:c>
      <x:c r="D369" s="19" t="str">
        <x:v>Jul 2026</x:v>
      </x:c>
      <x:c r="E369" s="19" t="n">
        <x:v>26</x:v>
      </x:c>
      <x:c r="F369" s="19" t="str">
        <x:v>app.glaido.com</x:v>
      </x:c>
      <x:c r="G369" s="19" t="str">
        <x:v>Graphics Multimedia and Web Design</x:v>
      </x:c>
      <x:c r="H369" s="19" t="str">
        <x:v>创作、设计与多媒体工具</x:v>
      </x:c>
      <x:c r="I369" s="19" t="str">
        <x:v>Similarweb 行业映射</x:v>
      </x:c>
      <x:c r="J369" s="19"/>
      <x:c r="K369" s="20" t="n">
        <x:v>0.0078000000000000005</x:v>
      </x:c>
      <x:c r="L369" s="19" t="str">
        <x:v>上升</x:v>
      </x:c>
      <x:c r="M369" s="20" t="n">
        <x:v>25.1985</x:v>
      </x:c>
      <x:c r="N369" s="21" t="n">
        <x:v>157018</x:v>
      </x:c>
      <x:c r="O369" s="21" t="n">
        <x:v>1225</x:v>
      </x:c>
      <x:c r="P369" s="21" t="n">
        <x:f>ROUND(N369*K369,0)</x:f>
        <x:v>1225</x:v>
      </x:c>
      <x:c r="Q369" s="19" t="str">
        <x:v>否</x:v>
      </x:c>
      <x:c r="R369" s="19" t="str"/>
      <x:c r="S369" s="19" t="n">
        <x:f>IF(Q369="是",0,MIN(10,2+IF(C369="高",2,1)+IF(K369&gt;=3%,3,IF(K369&gt;=1%,2,1))+IF(L369="新出现",2,IF(M369&gt;=100%,3,IF(M369&gt;0,2,0)))))</x:f>
        <x:v>7</x:v>
      </x:c>
      <x:c r="T369" s="21"/>
      <x:c r="U369" s="20"/>
      <x:c r="V369" s="19" t="str">
        <x:v>http://app.glaido.com/</x:v>
      </x:c>
      <x:c r="W369" s="19" t="str">
        <x:v>https://pro.similarweb.com/#/digitalsuite/websiteanalysis/referrals/*/999/1m?webSource=Total&amp;selectedTab=incomingTraffic&amp;key=polar.sh</x:v>
      </x:c>
      <x:c r="X369" s="20" t="n">
        <x:f>IF(Q369="是",0,IFERROR(P369/SUMIFS($P$2:$P$964,$A$2:$A$964,A369,$Q$2:$Q$964,"否"),0))</x:f>
        <x:v>0.012667259528881352</x:v>
      </x:c>
      <x:c r="Y369" s="22" t="str">
        <x:f>IF(OR(M369="",U369=""),"未交叉",IF(M369*U369&gt;0,"同向",IF(M369*U369&lt;0,"背离","一侧持平")))</x:f>
        <x:v>未交叉</x:v>
      </x:c>
    </x:row>
    <x:row r="370">
      <x:c r="A370" s="18" t="str">
        <x:v>polar.sh</x:v>
      </x:c>
      <x:c r="B370" s="19" t="str">
        <x:v>支付商主域（混合流量）</x:v>
      </x:c>
      <x:c r="C370" s="19" t="str">
        <x:v>中</x:v>
      </x:c>
      <x:c r="D370" s="19" t="str">
        <x:v>Jul 2026</x:v>
      </x:c>
      <x:c r="E370" s="19" t="n">
        <x:v>27</x:v>
      </x:c>
      <x:c r="F370" s="19" t="str">
        <x:v>temlis.com</x:v>
      </x:c>
      <x:c r="G370" s="19" t="str">
        <x:v>Graphics Multimedia and Web Design</x:v>
      </x:c>
      <x:c r="H370" s="19" t="str">
        <x:v>创作、设计与多媒体工具</x:v>
      </x:c>
      <x:c r="I370" s="19" t="str">
        <x:v>Similarweb 行业映射</x:v>
      </x:c>
      <x:c r="J370" s="19" t="n">
        <x:v>399279</x:v>
      </x:c>
      <x:c r="K370" s="20" t="n">
        <x:v>0.0076</x:v>
      </x:c>
      <x:c r="L370" s="19" t="str">
        <x:v>上升</x:v>
      </x:c>
      <x:c r="M370" s="20" t="n">
        <x:v>6.925700000000001</x:v>
      </x:c>
      <x:c r="N370" s="21" t="n">
        <x:v>157018</x:v>
      </x:c>
      <x:c r="O370" s="21" t="n">
        <x:v>1193</x:v>
      </x:c>
      <x:c r="P370" s="21" t="n">
        <x:f>ROUND(N370*K370,0)</x:f>
        <x:v>1193</x:v>
      </x:c>
      <x:c r="Q370" s="19" t="str">
        <x:v>否</x:v>
      </x:c>
      <x:c r="R370" s="19" t="str"/>
      <x:c r="S370" s="19" t="n">
        <x:f>IF(Q370="是",0,MIN(10,2+IF(C370="高",2,1)+IF(K370&gt;=3%,3,IF(K370&gt;=1%,2,1))+IF(L370="新出现",2,IF(M370&gt;=100%,3,IF(M370&gt;0,2,0)))))</x:f>
        <x:v>7</x:v>
      </x:c>
      <x:c r="T370" s="21"/>
      <x:c r="U370" s="20"/>
      <x:c r="V370" s="19" t="str">
        <x:v>http://temlis.com/</x:v>
      </x:c>
      <x:c r="W370" s="19" t="str">
        <x:v>https://pro.similarweb.com/#/digitalsuite/websiteanalysis/referrals/*/999/1m?webSource=Total&amp;selectedTab=incomingTraffic&amp;key=polar.sh</x:v>
      </x:c>
      <x:c r="X370" s="20" t="n">
        <x:f>IF(Q370="是",0,IFERROR(P370/SUMIFS($P$2:$P$964,$A$2:$A$964,A370,$Q$2:$Q$964,"否"),0))</x:f>
        <x:v>0.0123363596881269</x:v>
      </x:c>
      <x:c r="Y370" s="22" t="str">
        <x:f>IF(OR(M370="",U370=""),"未交叉",IF(M370*U370&gt;0,"同向",IF(M370*U370&lt;0,"背离","一侧持平")))</x:f>
        <x:v>未交叉</x:v>
      </x:c>
    </x:row>
    <x:row r="371">
      <x:c r="A371" s="18" t="str">
        <x:v>polar.sh</x:v>
      </x:c>
      <x:c r="B371" s="19" t="str">
        <x:v>支付商主域（混合流量）</x:v>
      </x:c>
      <x:c r="C371" s="19" t="str">
        <x:v>中</x:v>
      </x:c>
      <x:c r="D371" s="19" t="str">
        <x:v>Jul 2026</x:v>
      </x:c>
      <x:c r="E371" s="19" t="n">
        <x:v>28</x:v>
      </x:c>
      <x:c r="F371" s="19" t="str">
        <x:v>taskatk.app</x:v>
      </x:c>
      <x:c r="G371" s="19" t="str">
        <x:v>Unknown</x:v>
      </x:c>
      <x:c r="H371" s="19" t="str">
        <x:v>其他/待核查</x:v>
      </x:c>
      <x:c r="I371" s="19" t="str">
        <x:v>Similarweb 未分类</x:v>
      </x:c>
      <x:c r="J371" s="19"/>
      <x:c r="K371" s="20" t="n">
        <x:v>0.0073</x:v>
      </x:c>
      <x:c r="L371" s="19" t="str">
        <x:v>新出现</x:v>
      </x:c>
      <x:c r="M371" s="20"/>
      <x:c r="N371" s="21" t="n">
        <x:v>157018</x:v>
      </x:c>
      <x:c r="O371" s="21" t="n">
        <x:v>1146</x:v>
      </x:c>
      <x:c r="P371" s="21" t="n">
        <x:f>ROUND(N371*K371,0)</x:f>
        <x:v>1146</x:v>
      </x:c>
      <x:c r="Q371" s="19" t="str">
        <x:v>否</x:v>
      </x:c>
      <x:c r="R371" s="19" t="str"/>
      <x:c r="S371" s="19" t="n">
        <x:f>IF(Q371="是",0,MIN(10,2+IF(C371="高",2,1)+IF(K371&gt;=3%,3,IF(K371&gt;=1%,2,1))+IF(L371="新出现",2,IF(M371&gt;=100%,3,IF(M371&gt;0,2,0)))))</x:f>
        <x:v>6</x:v>
      </x:c>
      <x:c r="T371" s="21"/>
      <x:c r="U371" s="20"/>
      <x:c r="V371" s="19" t="str">
        <x:v>http://taskatk.app/</x:v>
      </x:c>
      <x:c r="W371" s="19" t="str">
        <x:v>https://pro.similarweb.com/#/digitalsuite/websiteanalysis/referrals/*/999/1m?webSource=Total&amp;selectedTab=incomingTraffic&amp;key=polar.sh</x:v>
      </x:c>
      <x:c r="X371" s="20" t="n">
        <x:f>IF(Q371="是",0,IFERROR(P371/SUMIFS($P$2:$P$964,$A$2:$A$964,A371,$Q$2:$Q$964,"否"),0))</x:f>
        <x:v>0.011850350547018799</x:v>
      </x:c>
      <x:c r="Y371" s="22" t="str">
        <x:f>IF(OR(M371="",U371=""),"未交叉",IF(M371*U371&gt;0,"同向",IF(M371*U371&lt;0,"背离","一侧持平")))</x:f>
        <x:v>未交叉</x:v>
      </x:c>
    </x:row>
    <x:row r="372">
      <x:c r="A372" s="18" t="str">
        <x:v>polar.sh</x:v>
      </x:c>
      <x:c r="B372" s="19" t="str">
        <x:v>支付商主域（混合流量）</x:v>
      </x:c>
      <x:c r="C372" s="19" t="str">
        <x:v>中</x:v>
      </x:c>
      <x:c r="D372" s="19" t="str">
        <x:v>Jul 2026</x:v>
      </x:c>
      <x:c r="E372" s="19" t="n">
        <x:v>29</x:v>
      </x:c>
      <x:c r="F372" s="19" t="str">
        <x:v>viral.app</x:v>
      </x:c>
      <x:c r="G372" s="19" t="str">
        <x:v>Graphics Multimedia and Web Design</x:v>
      </x:c>
      <x:c r="H372" s="19" t="str">
        <x:v>创作、设计与多媒体工具</x:v>
      </x:c>
      <x:c r="I372" s="19" t="str">
        <x:v>Similarweb 行业映射</x:v>
      </x:c>
      <x:c r="J372" s="19" t="n">
        <x:v>480694</x:v>
      </x:c>
      <x:c r="K372" s="20" t="n">
        <x:v>0.006999999999999999</x:v>
      </x:c>
      <x:c r="L372" s="19" t="str">
        <x:v>下降</x:v>
      </x:c>
      <x:c r="M372" s="20" t="n">
        <x:v>-0.733</x:v>
      </x:c>
      <x:c r="N372" s="21" t="n">
        <x:v>157018</x:v>
      </x:c>
      <x:c r="O372" s="21" t="n">
        <x:v>1099</x:v>
      </x:c>
      <x:c r="P372" s="21" t="n">
        <x:f>ROUND(N372*K372,0)</x:f>
        <x:v>1099</x:v>
      </x:c>
      <x:c r="Q372" s="19" t="str">
        <x:v>否</x:v>
      </x:c>
      <x:c r="R372" s="19" t="str"/>
      <x:c r="S372" s="19" t="n">
        <x:f>IF(Q372="是",0,MIN(10,2+IF(C372="高",2,1)+IF(K372&gt;=3%,3,IF(K372&gt;=1%,2,1))+IF(L372="新出现",2,IF(M372&gt;=100%,3,IF(M372&gt;0,2,0)))))</x:f>
        <x:v>4</x:v>
      </x:c>
      <x:c r="T372" s="21"/>
      <x:c r="U372" s="20"/>
      <x:c r="V372" s="19" t="str">
        <x:v>http://viral.app/</x:v>
      </x:c>
      <x:c r="W372" s="19" t="str">
        <x:v>https://pro.similarweb.com/#/digitalsuite/websiteanalysis/referrals/*/999/1m?webSource=Total&amp;selectedTab=incomingTraffic&amp;key=polar.sh</x:v>
      </x:c>
      <x:c r="X372" s="20" t="n">
        <x:f>IF(Q372="是",0,IFERROR(P372/SUMIFS($P$2:$P$964,$A$2:$A$964,A372,$Q$2:$Q$964,"否"),0))</x:f>
        <x:v>0.0113643414059107</x:v>
      </x:c>
      <x:c r="Y372" s="22" t="str">
        <x:f>IF(OR(M372="",U372=""),"未交叉",IF(M372*U372&gt;0,"同向",IF(M372*U372&lt;0,"背离","一侧持平")))</x:f>
        <x:v>未交叉</x:v>
      </x:c>
    </x:row>
    <x:row r="373">
      <x:c r="A373" s="18" t="str">
        <x:v>polar.sh</x:v>
      </x:c>
      <x:c r="B373" s="19" t="str">
        <x:v>支付商主域（混合流量）</x:v>
      </x:c>
      <x:c r="C373" s="19" t="str">
        <x:v>中</x:v>
      </x:c>
      <x:c r="D373" s="19" t="str">
        <x:v>Jul 2026</x:v>
      </x:c>
      <x:c r="E373" s="19" t="n">
        <x:v>30</x:v>
      </x:c>
      <x:c r="F373" s="19" t="str">
        <x:v>cocodly.com</x:v>
      </x:c>
      <x:c r="G373" s="19" t="str">
        <x:v>Unknown</x:v>
      </x:c>
      <x:c r="H373" s="19" t="str">
        <x:v>其他/待核查</x:v>
      </x:c>
      <x:c r="I373" s="19" t="str">
        <x:v>Similarweb 未分类</x:v>
      </x:c>
      <x:c r="J373" s="19" t="n">
        <x:v>1205208</x:v>
      </x:c>
      <x:c r="K373" s="20" t="n">
        <x:v>0.0069</x:v>
      </x:c>
      <x:c r="L373" s="19" t="str">
        <x:v>新出现</x:v>
      </x:c>
      <x:c r="M373" s="20"/>
      <x:c r="N373" s="21" t="n">
        <x:v>157018</x:v>
      </x:c>
      <x:c r="O373" s="21" t="n">
        <x:v>1083</x:v>
      </x:c>
      <x:c r="P373" s="21" t="n">
        <x:f>ROUND(N373*K373,0)</x:f>
        <x:v>1083</x:v>
      </x:c>
      <x:c r="Q373" s="19" t="str">
        <x:v>否</x:v>
      </x:c>
      <x:c r="R373" s="19" t="str"/>
      <x:c r="S373" s="19" t="n">
        <x:f>IF(Q373="是",0,MIN(10,2+IF(C373="高",2,1)+IF(K373&gt;=3%,3,IF(K373&gt;=1%,2,1))+IF(L373="新出现",2,IF(M373&gt;=100%,3,IF(M373&gt;0,2,0)))))</x:f>
        <x:v>6</x:v>
      </x:c>
      <x:c r="T373" s="21"/>
      <x:c r="U373" s="20"/>
      <x:c r="V373" s="19" t="str">
        <x:v>http://cocodly.com/</x:v>
      </x:c>
      <x:c r="W373" s="19" t="str">
        <x:v>https://pro.similarweb.com/#/digitalsuite/websiteanalysis/referrals/*/999/1m?webSource=Total&amp;selectedTab=incomingTraffic&amp;key=polar.sh</x:v>
      </x:c>
      <x:c r="X373" s="20" t="n">
        <x:f>IF(Q373="是",0,IFERROR(P373/SUMIFS($P$2:$P$964,$A$2:$A$964,A373,$Q$2:$Q$964,"否"),0))</x:f>
        <x:v>0.011198891485533472</x:v>
      </x:c>
      <x:c r="Y373" s="22" t="str">
        <x:f>IF(OR(M373="",U373=""),"未交叉",IF(M373*U373&gt;0,"同向",IF(M373*U373&lt;0,"背离","一侧持平")))</x:f>
        <x:v>未交叉</x:v>
      </x:c>
    </x:row>
    <x:row r="374">
      <x:c r="A374" s="18" t="str">
        <x:v>polar.sh</x:v>
      </x:c>
      <x:c r="B374" s="19" t="str">
        <x:v>支付商主域（混合流量）</x:v>
      </x:c>
      <x:c r="C374" s="19" t="str">
        <x:v>中</x:v>
      </x:c>
      <x:c r="D374" s="19" t="str">
        <x:v>Jul 2026</x:v>
      </x:c>
      <x:c r="E374" s="19" t="n">
        <x:v>31</x:v>
      </x:c>
      <x:c r="F374" s="19" t="str">
        <x:v>store.neofn.dev</x:v>
      </x:c>
      <x:c r="G374" s="19" t="str">
        <x:v>Unknown</x:v>
      </x:c>
      <x:c r="H374" s="19" t="str">
        <x:v>其他/待核查</x:v>
      </x:c>
      <x:c r="I374" s="19" t="str">
        <x:v>Similarweb 未分类</x:v>
      </x:c>
      <x:c r="J374" s="19"/>
      <x:c r="K374" s="20" t="n">
        <x:v>0.0069</x:v>
      </x:c>
      <x:c r="L374" s="19" t="str">
        <x:v>上升</x:v>
      </x:c>
      <x:c r="M374" s="20" t="n">
        <x:v>6.4593</x:v>
      </x:c>
      <x:c r="N374" s="21" t="n">
        <x:v>157018</x:v>
      </x:c>
      <x:c r="O374" s="21" t="n">
        <x:v>1083</x:v>
      </x:c>
      <x:c r="P374" s="21" t="n">
        <x:f>ROUND(N374*K374,0)</x:f>
        <x:v>1083</x:v>
      </x:c>
      <x:c r="Q374" s="19" t="str">
        <x:v>否</x:v>
      </x:c>
      <x:c r="R374" s="19" t="str"/>
      <x:c r="S374" s="19" t="n">
        <x:f>IF(Q374="是",0,MIN(10,2+IF(C374="高",2,1)+IF(K374&gt;=3%,3,IF(K374&gt;=1%,2,1))+IF(L374="新出现",2,IF(M374&gt;=100%,3,IF(M374&gt;0,2,0)))))</x:f>
        <x:v>7</x:v>
      </x:c>
      <x:c r="T374" s="21"/>
      <x:c r="U374" s="20"/>
      <x:c r="V374" s="19" t="str">
        <x:v>http://store.neofn.dev/</x:v>
      </x:c>
      <x:c r="W374" s="19" t="str">
        <x:v>https://pro.similarweb.com/#/digitalsuite/websiteanalysis/referrals/*/999/1m?webSource=Total&amp;selectedTab=incomingTraffic&amp;key=polar.sh</x:v>
      </x:c>
      <x:c r="X374" s="20" t="n">
        <x:f>IF(Q374="是",0,IFERROR(P374/SUMIFS($P$2:$P$964,$A$2:$A$964,A374,$Q$2:$Q$964,"否"),0))</x:f>
        <x:v>0.011198891485533472</x:v>
      </x:c>
      <x:c r="Y374" s="22" t="str">
        <x:f>IF(OR(M374="",U374=""),"未交叉",IF(M374*U374&gt;0,"同向",IF(M374*U374&lt;0,"背离","一侧持平")))</x:f>
        <x:v>未交叉</x:v>
      </x:c>
    </x:row>
    <x:row r="375">
      <x:c r="A375" s="18" t="str">
        <x:v>polar.sh</x:v>
      </x:c>
      <x:c r="B375" s="19" t="str">
        <x:v>支付商主域（混合流量）</x:v>
      </x:c>
      <x:c r="C375" s="19" t="str">
        <x:v>中</x:v>
      </x:c>
      <x:c r="D375" s="19" t="str">
        <x:v>Jul 2026</x:v>
      </x:c>
      <x:c r="E375" s="19" t="n">
        <x:v>32</x:v>
      </x:c>
      <x:c r="F375" s="19" t="str">
        <x:v>genmax.io</x:v>
      </x:c>
      <x:c r="G375" s="19" t="str">
        <x:v>Unknown</x:v>
      </x:c>
      <x:c r="H375" s="19" t="str">
        <x:v>其他/待核查</x:v>
      </x:c>
      <x:c r="I375" s="19" t="str">
        <x:v>Similarweb 未分类</x:v>
      </x:c>
      <x:c r="J375" s="19" t="n">
        <x:v>1322143</x:v>
      </x:c>
      <x:c r="K375" s="20" t="n">
        <x:v>0.0066</x:v>
      </x:c>
      <x:c r="L375" s="19" t="str">
        <x:v>上升</x:v>
      </x:c>
      <x:c r="M375" s="20" t="n">
        <x:v>7.514500000000001</x:v>
      </x:c>
      <x:c r="N375" s="21" t="n">
        <x:v>157018</x:v>
      </x:c>
      <x:c r="O375" s="21" t="n">
        <x:v>1036</x:v>
      </x:c>
      <x:c r="P375" s="21" t="n">
        <x:f>ROUND(N375*K375,0)</x:f>
        <x:v>1036</x:v>
      </x:c>
      <x:c r="Q375" s="19" t="str">
        <x:v>否</x:v>
      </x:c>
      <x:c r="R375" s="19" t="str"/>
      <x:c r="S375" s="19" t="n">
        <x:f>IF(Q375="是",0,MIN(10,2+IF(C375="高",2,1)+IF(K375&gt;=3%,3,IF(K375&gt;=1%,2,1))+IF(L375="新出现",2,IF(M375&gt;=100%,3,IF(M375&gt;0,2,0)))))</x:f>
        <x:v>7</x:v>
      </x:c>
      <x:c r="T375" s="21"/>
      <x:c r="U375" s="20"/>
      <x:c r="V375" s="19" t="str">
        <x:v>http://genmax.io/</x:v>
      </x:c>
      <x:c r="W375" s="19" t="str">
        <x:v>https://pro.similarweb.com/#/digitalsuite/websiteanalysis/referrals/*/999/1m?webSource=Total&amp;selectedTab=incomingTraffic&amp;key=polar.sh</x:v>
      </x:c>
      <x:c r="X375" s="20" t="n">
        <x:f>IF(Q375="是",0,IFERROR(P375/SUMIFS($P$2:$P$964,$A$2:$A$964,A375,$Q$2:$Q$964,"否"),0))</x:f>
        <x:v>0.010712882344425372</x:v>
      </x:c>
      <x:c r="Y375" s="22" t="str">
        <x:f>IF(OR(M375="",U375=""),"未交叉",IF(M375*U375&gt;0,"同向",IF(M375*U375&lt;0,"背离","一侧持平")))</x:f>
        <x:v>未交叉</x:v>
      </x:c>
    </x:row>
    <x:row r="376">
      <x:c r="A376" s="18" t="str">
        <x:v>polar.sh</x:v>
      </x:c>
      <x:c r="B376" s="19" t="str">
        <x:v>支付商主域（混合流量）</x:v>
      </x:c>
      <x:c r="C376" s="19" t="str">
        <x:v>中</x:v>
      </x:c>
      <x:c r="D376" s="19" t="str">
        <x:v>Jul 2026</x:v>
      </x:c>
      <x:c r="E376" s="19" t="n">
        <x:v>33</x:v>
      </x:c>
      <x:c r="F376" s="19" t="str">
        <x:v>eliteai.tools</x:v>
      </x:c>
      <x:c r="G376" s="19" t="str">
        <x:v>Graphics Multimedia and Web Design</x:v>
      </x:c>
      <x:c r="H376" s="19" t="str">
        <x:v>创作、设计与多媒体工具</x:v>
      </x:c>
      <x:c r="I376" s="19" t="str">
        <x:v>Similarweb 行业映射</x:v>
      </x:c>
      <x:c r="J376" s="19" t="n">
        <x:v>502568</x:v>
      </x:c>
      <x:c r="K376" s="20" t="n">
        <x:v>0.006500000000000001</x:v>
      </x:c>
      <x:c r="L376" s="19" t="str">
        <x:v>上升</x:v>
      </x:c>
      <x:c r="M376" s="20" t="n">
        <x:v>0.4673</x:v>
      </x:c>
      <x:c r="N376" s="21" t="n">
        <x:v>157018</x:v>
      </x:c>
      <x:c r="O376" s="21" t="n">
        <x:v>1021</x:v>
      </x:c>
      <x:c r="P376" s="21" t="n">
        <x:f>ROUND(N376*K376,0)</x:f>
        <x:v>1021</x:v>
      </x:c>
      <x:c r="Q376" s="19" t="str">
        <x:v>否</x:v>
      </x:c>
      <x:c r="R376" s="19" t="str"/>
      <x:c r="S376" s="19" t="n">
        <x:f>IF(Q376="是",0,MIN(10,2+IF(C376="高",2,1)+IF(K376&gt;=3%,3,IF(K376&gt;=1%,2,1))+IF(L376="新出现",2,IF(M376&gt;=100%,3,IF(M376&gt;0,2,0)))))</x:f>
        <x:v>6</x:v>
      </x:c>
      <x:c r="T376" s="21"/>
      <x:c r="U376" s="20"/>
      <x:c r="V376" s="19" t="str">
        <x:v>http://eliteai.tools/</x:v>
      </x:c>
      <x:c r="W376" s="19" t="str">
        <x:v>https://pro.similarweb.com/#/digitalsuite/websiteanalysis/referrals/*/999/1m?webSource=Total&amp;selectedTab=incomingTraffic&amp;key=polar.sh</x:v>
      </x:c>
      <x:c r="X376" s="20" t="n">
        <x:f>IF(Q376="是",0,IFERROR(P376/SUMIFS($P$2:$P$964,$A$2:$A$964,A376,$Q$2:$Q$964,"否"),0))</x:f>
        <x:v>0.010557773044071723</x:v>
      </x:c>
      <x:c r="Y376" s="22" t="str">
        <x:f>IF(OR(M376="",U376=""),"未交叉",IF(M376*U376&gt;0,"同向",IF(M376*U376&lt;0,"背离","一侧持平")))</x:f>
        <x:v>未交叉</x:v>
      </x:c>
    </x:row>
    <x:row r="377">
      <x:c r="A377" s="18" t="str">
        <x:v>polar.sh</x:v>
      </x:c>
      <x:c r="B377" s="19" t="str">
        <x:v>支付商主域（混合流量）</x:v>
      </x:c>
      <x:c r="C377" s="19" t="str">
        <x:v>中</x:v>
      </x:c>
      <x:c r="D377" s="19" t="str">
        <x:v>Jul 2026</x:v>
      </x:c>
      <x:c r="E377" s="19" t="n">
        <x:v>34</x:v>
      </x:c>
      <x:c r="F377" s="19" t="str">
        <x:v>decodemyfeed.com</x:v>
      </x:c>
      <x:c r="G377" s="19" t="str">
        <x:v>Unknown</x:v>
      </x:c>
      <x:c r="H377" s="19" t="str">
        <x:v>其他/待核查</x:v>
      </x:c>
      <x:c r="I377" s="19" t="str">
        <x:v>Similarweb 未分类</x:v>
      </x:c>
      <x:c r="J377" s="19"/>
      <x:c r="K377" s="20" t="n">
        <x:v>0.0062</x:v>
      </x:c>
      <x:c r="L377" s="19" t="str">
        <x:v>新出现</x:v>
      </x:c>
      <x:c r="M377" s="20"/>
      <x:c r="N377" s="21" t="n">
        <x:v>157018</x:v>
      </x:c>
      <x:c r="O377" s="21" t="n">
        <x:v>974</x:v>
      </x:c>
      <x:c r="P377" s="21" t="n">
        <x:f>ROUND(N377*K377,0)</x:f>
        <x:v>974</x:v>
      </x:c>
      <x:c r="Q377" s="19" t="str">
        <x:v>否</x:v>
      </x:c>
      <x:c r="R377" s="19" t="str"/>
      <x:c r="S377" s="19" t="n">
        <x:f>IF(Q377="是",0,MIN(10,2+IF(C377="高",2,1)+IF(K377&gt;=3%,3,IF(K377&gt;=1%,2,1))+IF(L377="新出现",2,IF(M377&gt;=100%,3,IF(M377&gt;0,2,0)))))</x:f>
        <x:v>6</x:v>
      </x:c>
      <x:c r="T377" s="21"/>
      <x:c r="U377" s="20"/>
      <x:c r="V377" s="19" t="str">
        <x:v>http://decodemyfeed.com/</x:v>
      </x:c>
      <x:c r="W377" s="19" t="str">
        <x:v>https://pro.similarweb.com/#/digitalsuite/websiteanalysis/referrals/*/999/1m?webSource=Total&amp;selectedTab=incomingTraffic&amp;key=polar.sh</x:v>
      </x:c>
      <x:c r="X377" s="20" t="n">
        <x:f>IF(Q377="是",0,IFERROR(P377/SUMIFS($P$2:$P$964,$A$2:$A$964,A377,$Q$2:$Q$964,"否"),0))</x:f>
        <x:v>0.010071763902963621</x:v>
      </x:c>
      <x:c r="Y377" s="22" t="str">
        <x:f>IF(OR(M377="",U377=""),"未交叉",IF(M377*U377&gt;0,"同向",IF(M377*U377&lt;0,"背离","一侧持平")))</x:f>
        <x:v>未交叉</x:v>
      </x:c>
    </x:row>
    <x:row r="378">
      <x:c r="A378" s="18" t="str">
        <x:v>polar.sh</x:v>
      </x:c>
      <x:c r="B378" s="19" t="str">
        <x:v>支付商主域（混合流量）</x:v>
      </x:c>
      <x:c r="C378" s="19" t="str">
        <x:v>中</x:v>
      </x:c>
      <x:c r="D378" s="19" t="str">
        <x:v>Jul 2026</x:v>
      </x:c>
      <x:c r="E378" s="19" t="n">
        <x:v>35</x:v>
      </x:c>
      <x:c r="F378" s="19" t="str">
        <x:v>trysmooth.ai</x:v>
      </x:c>
      <x:c r="G378" s="19" t="str">
        <x:v>Unknown</x:v>
      </x:c>
      <x:c r="H378" s="19" t="str">
        <x:v>AI 工具与应用（未细分）</x:v>
      </x:c>
      <x:c r="I378" s="19" t="str">
        <x:v>域名后缀启发式</x:v>
      </x:c>
      <x:c r="J378" s="19" t="n">
        <x:v>1840178</x:v>
      </x:c>
      <x:c r="K378" s="20" t="n">
        <x:v>0.0058</x:v>
      </x:c>
      <x:c r="L378" s="19" t="str">
        <x:v>上升</x:v>
      </x:c>
      <x:c r="M378" s="20" t="n">
        <x:v>1.1922</x:v>
      </x:c>
      <x:c r="N378" s="21" t="n">
        <x:v>157018</x:v>
      </x:c>
      <x:c r="O378" s="21" t="n">
        <x:v>911</x:v>
      </x:c>
      <x:c r="P378" s="21" t="n">
        <x:f>ROUND(N378*K378,0)</x:f>
        <x:v>911</x:v>
      </x:c>
      <x:c r="Q378" s="19" t="str">
        <x:v>否</x:v>
      </x:c>
      <x:c r="R378" s="19" t="str"/>
      <x:c r="S378" s="19" t="n">
        <x:f>IF(Q378="是",0,MIN(10,2+IF(C378="高",2,1)+IF(K378&gt;=3%,3,IF(K378&gt;=1%,2,1))+IF(L378="新出现",2,IF(M378&gt;=100%,3,IF(M378&gt;0,2,0)))))</x:f>
        <x:v>7</x:v>
      </x:c>
      <x:c r="T378" s="21"/>
      <x:c r="U378" s="20"/>
      <x:c r="V378" s="19" t="str">
        <x:v>http://trysmooth.ai/</x:v>
      </x:c>
      <x:c r="W378" s="19" t="str">
        <x:v>https://pro.similarweb.com/#/digitalsuite/websiteanalysis/referrals/*/999/1m?webSource=Total&amp;selectedTab=incomingTraffic&amp;key=polar.sh</x:v>
      </x:c>
      <x:c r="X378" s="20" t="n">
        <x:f>IF(Q378="是",0,IFERROR(P378/SUMIFS($P$2:$P$964,$A$2:$A$964,A378,$Q$2:$Q$964,"否"),0))</x:f>
        <x:v>0.009420304841478296</x:v>
      </x:c>
      <x:c r="Y378" s="22" t="str">
        <x:f>IF(OR(M378="",U378=""),"未交叉",IF(M378*U378&gt;0,"同向",IF(M378*U378&lt;0,"背离","一侧持平")))</x:f>
        <x:v>未交叉</x:v>
      </x:c>
    </x:row>
    <x:row r="379">
      <x:c r="A379" s="18" t="str">
        <x:v>polar.sh</x:v>
      </x:c>
      <x:c r="B379" s="19" t="str">
        <x:v>支付商主域（混合流量）</x:v>
      </x:c>
      <x:c r="C379" s="19" t="str">
        <x:v>中</x:v>
      </x:c>
      <x:c r="D379" s="19" t="str">
        <x:v>Jul 2026</x:v>
      </x:c>
      <x:c r="E379" s="19" t="n">
        <x:v>36</x:v>
      </x:c>
      <x:c r="F379" s="19" t="str">
        <x:v>roverdrop.com</x:v>
      </x:c>
      <x:c r="G379" s="19" t="str">
        <x:v>Unknown</x:v>
      </x:c>
      <x:c r="H379" s="19" t="str">
        <x:v>其他/待核查</x:v>
      </x:c>
      <x:c r="I379" s="19" t="str">
        <x:v>Similarweb 未分类</x:v>
      </x:c>
      <x:c r="J379" s="19"/>
      <x:c r="K379" s="20" t="n">
        <x:v>0.0058</x:v>
      </x:c>
      <x:c r="L379" s="19" t="str">
        <x:v>新出现</x:v>
      </x:c>
      <x:c r="M379" s="20"/>
      <x:c r="N379" s="21" t="n">
        <x:v>157018</x:v>
      </x:c>
      <x:c r="O379" s="21" t="n">
        <x:v>911</x:v>
      </x:c>
      <x:c r="P379" s="21" t="n">
        <x:f>ROUND(N379*K379,0)</x:f>
        <x:v>911</x:v>
      </x:c>
      <x:c r="Q379" s="19" t="str">
        <x:v>否</x:v>
      </x:c>
      <x:c r="R379" s="19" t="str"/>
      <x:c r="S379" s="19" t="n">
        <x:f>IF(Q379="是",0,MIN(10,2+IF(C379="高",2,1)+IF(K379&gt;=3%,3,IF(K379&gt;=1%,2,1))+IF(L379="新出现",2,IF(M379&gt;=100%,3,IF(M379&gt;0,2,0)))))</x:f>
        <x:v>6</x:v>
      </x:c>
      <x:c r="T379" s="21"/>
      <x:c r="U379" s="20"/>
      <x:c r="V379" s="19" t="str">
        <x:v>http://roverdrop.com/</x:v>
      </x:c>
      <x:c r="W379" s="19" t="str">
        <x:v>https://pro.similarweb.com/#/digitalsuite/websiteanalysis/referrals/*/999/1m?webSource=Total&amp;selectedTab=incomingTraffic&amp;key=polar.sh</x:v>
      </x:c>
      <x:c r="X379" s="20" t="n">
        <x:f>IF(Q379="是",0,IFERROR(P379/SUMIFS($P$2:$P$964,$A$2:$A$964,A379,$Q$2:$Q$964,"否"),0))</x:f>
        <x:v>0.009420304841478296</x:v>
      </x:c>
      <x:c r="Y379" s="22" t="str">
        <x:f>IF(OR(M379="",U379=""),"未交叉",IF(M379*U379&gt;0,"同向",IF(M379*U379&lt;0,"背离","一侧持平")))</x:f>
        <x:v>未交叉</x:v>
      </x:c>
    </x:row>
    <x:row r="380">
      <x:c r="A380" s="18" t="str">
        <x:v>polar.sh</x:v>
      </x:c>
      <x:c r="B380" s="19" t="str">
        <x:v>支付商主域（混合流量）</x:v>
      </x:c>
      <x:c r="C380" s="19" t="str">
        <x:v>中</x:v>
      </x:c>
      <x:c r="D380" s="19" t="str">
        <x:v>Jul 2026</x:v>
      </x:c>
      <x:c r="E380" s="19" t="n">
        <x:v>37</x:v>
      </x:c>
      <x:c r="F380" s="19" t="str">
        <x:v>rendercv.com</x:v>
      </x:c>
      <x:c r="G380" s="19" t="str">
        <x:v>Human Resources</x:v>
      </x:c>
      <x:c r="H380" s="19" t="str">
        <x:v>营销、生产力与商业服务</x:v>
      </x:c>
      <x:c r="I380" s="19" t="str">
        <x:v>Similarweb 行业映射</x:v>
      </x:c>
      <x:c r="J380" s="19" t="n">
        <x:v>517311</x:v>
      </x:c>
      <x:c r="K380" s="20" t="n">
        <x:v>0.0058</x:v>
      </x:c>
      <x:c r="L380" s="19" t="str">
        <x:v>上升</x:v>
      </x:c>
      <x:c r="M380" s="20" t="n">
        <x:v>33.2489</x:v>
      </x:c>
      <x:c r="N380" s="21" t="n">
        <x:v>157018</x:v>
      </x:c>
      <x:c r="O380" s="21" t="n">
        <x:v>911</x:v>
      </x:c>
      <x:c r="P380" s="21" t="n">
        <x:f>ROUND(N380*K380,0)</x:f>
        <x:v>911</x:v>
      </x:c>
      <x:c r="Q380" s="19" t="str">
        <x:v>否</x:v>
      </x:c>
      <x:c r="R380" s="19" t="str"/>
      <x:c r="S380" s="19" t="n">
        <x:f>IF(Q380="是",0,MIN(10,2+IF(C380="高",2,1)+IF(K380&gt;=3%,3,IF(K380&gt;=1%,2,1))+IF(L380="新出现",2,IF(M380&gt;=100%,3,IF(M380&gt;0,2,0)))))</x:f>
        <x:v>7</x:v>
      </x:c>
      <x:c r="T380" s="21"/>
      <x:c r="U380" s="20"/>
      <x:c r="V380" s="19" t="str">
        <x:v>http://rendercv.com/</x:v>
      </x:c>
      <x:c r="W380" s="19" t="str">
        <x:v>https://pro.similarweb.com/#/digitalsuite/websiteanalysis/referrals/*/999/1m?webSource=Total&amp;selectedTab=incomingTraffic&amp;key=polar.sh</x:v>
      </x:c>
      <x:c r="X380" s="20" t="n">
        <x:f>IF(Q380="是",0,IFERROR(P380/SUMIFS($P$2:$P$964,$A$2:$A$964,A380,$Q$2:$Q$964,"否"),0))</x:f>
        <x:v>0.009420304841478296</x:v>
      </x:c>
      <x:c r="Y380" s="22" t="str">
        <x:f>IF(OR(M380="",U380=""),"未交叉",IF(M380*U380&gt;0,"同向",IF(M380*U380&lt;0,"背离","一侧持平")))</x:f>
        <x:v>未交叉</x:v>
      </x:c>
    </x:row>
    <x:row r="381">
      <x:c r="A381" s="18" t="str">
        <x:v>polar.sh</x:v>
      </x:c>
      <x:c r="B381" s="19" t="str">
        <x:v>支付商主域（混合流量）</x:v>
      </x:c>
      <x:c r="C381" s="19" t="str">
        <x:v>中</x:v>
      </x:c>
      <x:c r="D381" s="19" t="str">
        <x:v>Jul 2026</x:v>
      </x:c>
      <x:c r="E381" s="19" t="n">
        <x:v>38</x:v>
      </x:c>
      <x:c r="F381" s="19" t="str">
        <x:v>interfaces.dev</x:v>
      </x:c>
      <x:c r="G381" s="19" t="str">
        <x:v>Unknown</x:v>
      </x:c>
      <x:c r="H381" s="19" t="str">
        <x:v>其他/待核查</x:v>
      </x:c>
      <x:c r="I381" s="19" t="str">
        <x:v>Similarweb 未分类</x:v>
      </x:c>
      <x:c r="J381" s="19" t="n">
        <x:v>962202</x:v>
      </x:c>
      <x:c r="K381" s="20" t="n">
        <x:v>0.005699999999999999</x:v>
      </x:c>
      <x:c r="L381" s="19" t="str">
        <x:v>上升</x:v>
      </x:c>
      <x:c r="M381" s="20" t="n">
        <x:v>0.23620000000000002</x:v>
      </x:c>
      <x:c r="N381" s="21" t="n">
        <x:v>157018</x:v>
      </x:c>
      <x:c r="O381" s="21" t="n">
        <x:v>895</x:v>
      </x:c>
      <x:c r="P381" s="21" t="n">
        <x:f>ROUND(N381*K381,0)</x:f>
        <x:v>895</x:v>
      </x:c>
      <x:c r="Q381" s="19" t="str">
        <x:v>否</x:v>
      </x:c>
      <x:c r="R381" s="19" t="str"/>
      <x:c r="S381" s="19" t="n">
        <x:f>IF(Q381="是",0,MIN(10,2+IF(C381="高",2,1)+IF(K381&gt;=3%,3,IF(K381&gt;=1%,2,1))+IF(L381="新出现",2,IF(M381&gt;=100%,3,IF(M381&gt;0,2,0)))))</x:f>
        <x:v>6</x:v>
      </x:c>
      <x:c r="T381" s="21"/>
      <x:c r="U381" s="20"/>
      <x:c r="V381" s="19" t="str">
        <x:v>http://interfaces.dev/</x:v>
      </x:c>
      <x:c r="W381" s="19" t="str">
        <x:v>https://pro.similarweb.com/#/digitalsuite/websiteanalysis/referrals/*/999/1m?webSource=Total&amp;selectedTab=incomingTraffic&amp;key=polar.sh</x:v>
      </x:c>
      <x:c r="X381" s="20" t="n">
        <x:f>IF(Q381="是",0,IFERROR(P381/SUMIFS($P$2:$P$964,$A$2:$A$964,A381,$Q$2:$Q$964,"否"),0))</x:f>
        <x:v>0.009254854921101069</x:v>
      </x:c>
      <x:c r="Y381" s="22" t="str">
        <x:f>IF(OR(M381="",U381=""),"未交叉",IF(M381*U381&gt;0,"同向",IF(M381*U381&lt;0,"背离","一侧持平")))</x:f>
        <x:v>未交叉</x:v>
      </x:c>
    </x:row>
    <x:row r="382">
      <x:c r="A382" s="18" t="str">
        <x:v>polar.sh</x:v>
      </x:c>
      <x:c r="B382" s="19" t="str">
        <x:v>支付商主域（混合流量）</x:v>
      </x:c>
      <x:c r="C382" s="19" t="str">
        <x:v>中</x:v>
      </x:c>
      <x:c r="D382" s="19" t="str">
        <x:v>Jul 2026</x:v>
      </x:c>
      <x:c r="E382" s="19" t="n">
        <x:v>39</x:v>
      </x:c>
      <x:c r="F382" s="19" t="str">
        <x:v>golfnexususa.com</x:v>
      </x:c>
      <x:c r="G382" s="19" t="str">
        <x:v>Unknown</x:v>
      </x:c>
      <x:c r="H382" s="19" t="str">
        <x:v>其他/待核查</x:v>
      </x:c>
      <x:c r="I382" s="19" t="str">
        <x:v>Similarweb 未分类</x:v>
      </x:c>
      <x:c r="J382" s="19" t="n">
        <x:v>5042612</x:v>
      </x:c>
      <x:c r="K382" s="20" t="n">
        <x:v>0.0048</x:v>
      </x:c>
      <x:c r="L382" s="19" t="str">
        <x:v>新出现</x:v>
      </x:c>
      <x:c r="M382" s="20"/>
      <x:c r="N382" s="21" t="n">
        <x:v>157018</x:v>
      </x:c>
      <x:c r="O382" s="21" t="n">
        <x:v>754</x:v>
      </x:c>
      <x:c r="P382" s="21" t="n">
        <x:f>ROUND(N382*K382,0)</x:f>
        <x:v>754</x:v>
      </x:c>
      <x:c r="Q382" s="19" t="str">
        <x:v>否</x:v>
      </x:c>
      <x:c r="R382" s="19" t="str"/>
      <x:c r="S382" s="19" t="n">
        <x:f>IF(Q382="是",0,MIN(10,2+IF(C382="高",2,1)+IF(K382&gt;=3%,3,IF(K382&gt;=1%,2,1))+IF(L382="新出现",2,IF(M382&gt;=100%,3,IF(M382&gt;0,2,0)))))</x:f>
        <x:v>6</x:v>
      </x:c>
      <x:c r="T382" s="21"/>
      <x:c r="U382" s="20"/>
      <x:c r="V382" s="19" t="str">
        <x:v>http://golfnexususa.com/</x:v>
      </x:c>
      <x:c r="W382" s="19" t="str">
        <x:v>https://pro.similarweb.com/#/digitalsuite/websiteanalysis/referrals/*/999/1m?webSource=Total&amp;selectedTab=incomingTraffic&amp;key=polar.sh</x:v>
      </x:c>
      <x:c r="X382" s="20" t="n">
        <x:f>IF(Q382="是",0,IFERROR(P382/SUMIFS($P$2:$P$964,$A$2:$A$964,A382,$Q$2:$Q$964,"否"),0))</x:f>
        <x:v>0.007796827497776767</x:v>
      </x:c>
      <x:c r="Y382" s="22" t="str">
        <x:f>IF(OR(M382="",U382=""),"未交叉",IF(M382*U382&gt;0,"同向",IF(M382*U382&lt;0,"背离","一侧持平")))</x:f>
        <x:v>未交叉</x:v>
      </x:c>
    </x:row>
    <x:row r="383">
      <x:c r="A383" s="18" t="str">
        <x:v>polar.sh</x:v>
      </x:c>
      <x:c r="B383" s="19" t="str">
        <x:v>支付商主域（混合流量）</x:v>
      </x:c>
      <x:c r="C383" s="19" t="str">
        <x:v>中</x:v>
      </x:c>
      <x:c r="D383" s="19" t="str">
        <x:v>Jul 2026</x:v>
      </x:c>
      <x:c r="E383" s="19" t="n">
        <x:v>40</x:v>
      </x:c>
      <x:c r="F383" s="19" t="str">
        <x:v>claritybubble.com</x:v>
      </x:c>
      <x:c r="G383" s="19" t="str">
        <x:v>Education</x:v>
      </x:c>
      <x:c r="H383" s="19" t="str">
        <x:v>教育、知识与考试服务</x:v>
      </x:c>
      <x:c r="I383" s="19" t="str">
        <x:v>Similarweb 行业映射</x:v>
      </x:c>
      <x:c r="J383" s="19" t="n">
        <x:v>817714</x:v>
      </x:c>
      <x:c r="K383" s="20" t="n">
        <x:v>0.0048</x:v>
      </x:c>
      <x:c r="L383" s="19" t="str">
        <x:v>上升</x:v>
      </x:c>
      <x:c r="M383" s="20" t="n">
        <x:v>18.3419</x:v>
      </x:c>
      <x:c r="N383" s="21" t="n">
        <x:v>157018</x:v>
      </x:c>
      <x:c r="O383" s="21" t="n">
        <x:v>754</x:v>
      </x:c>
      <x:c r="P383" s="21" t="n">
        <x:f>ROUND(N383*K383,0)</x:f>
        <x:v>754</x:v>
      </x:c>
      <x:c r="Q383" s="19" t="str">
        <x:v>否</x:v>
      </x:c>
      <x:c r="R383" s="19" t="str"/>
      <x:c r="S383" s="19" t="n">
        <x:f>IF(Q383="是",0,MIN(10,2+IF(C383="高",2,1)+IF(K383&gt;=3%,3,IF(K383&gt;=1%,2,1))+IF(L383="新出现",2,IF(M383&gt;=100%,3,IF(M383&gt;0,2,0)))))</x:f>
        <x:v>7</x:v>
      </x:c>
      <x:c r="T383" s="21"/>
      <x:c r="U383" s="20"/>
      <x:c r="V383" s="19" t="str">
        <x:v>http://claritybubble.com/</x:v>
      </x:c>
      <x:c r="W383" s="19" t="str">
        <x:v>https://pro.similarweb.com/#/digitalsuite/websiteanalysis/referrals/*/999/1m?webSource=Total&amp;selectedTab=incomingTraffic&amp;key=polar.sh</x:v>
      </x:c>
      <x:c r="X383" s="20" t="n">
        <x:f>IF(Q383="是",0,IFERROR(P383/SUMIFS($P$2:$P$964,$A$2:$A$964,A383,$Q$2:$Q$964,"否"),0))</x:f>
        <x:v>0.007796827497776767</x:v>
      </x:c>
      <x:c r="Y383" s="22" t="str">
        <x:f>IF(OR(M383="",U383=""),"未交叉",IF(M383*U383&gt;0,"同向",IF(M383*U383&lt;0,"背离","一侧持平")))</x:f>
        <x:v>未交叉</x:v>
      </x:c>
    </x:row>
    <x:row r="384">
      <x:c r="A384" s="18" t="str">
        <x:v>polar.sh</x:v>
      </x:c>
      <x:c r="B384" s="19" t="str">
        <x:v>支付商主域（混合流量）</x:v>
      </x:c>
      <x:c r="C384" s="19" t="str">
        <x:v>中</x:v>
      </x:c>
      <x:c r="D384" s="19" t="str">
        <x:v>Jul 2026</x:v>
      </x:c>
      <x:c r="E384" s="19" t="n">
        <x:v>41</x:v>
      </x:c>
      <x:c r="F384" s="19" t="str">
        <x:v>voxo.live</x:v>
      </x:c>
      <x:c r="G384" s="19" t="str">
        <x:v>Unknown</x:v>
      </x:c>
      <x:c r="H384" s="19" t="str">
        <x:v>其他/待核查</x:v>
      </x:c>
      <x:c r="I384" s="19" t="str">
        <x:v>Similarweb 未分类</x:v>
      </x:c>
      <x:c r="J384" s="19" t="n">
        <x:v>2498146</x:v>
      </x:c>
      <x:c r="K384" s="20" t="n">
        <x:v>0.004699999999999999</x:v>
      </x:c>
      <x:c r="L384" s="19" t="str">
        <x:v>上升</x:v>
      </x:c>
      <x:c r="M384" s="20" t="n">
        <x:v>2.9627</x:v>
      </x:c>
      <x:c r="N384" s="21" t="n">
        <x:v>157018</x:v>
      </x:c>
      <x:c r="O384" s="21" t="n">
        <x:v>738</x:v>
      </x:c>
      <x:c r="P384" s="21" t="n">
        <x:f>ROUND(N384*K384,0)</x:f>
        <x:v>738</x:v>
      </x:c>
      <x:c r="Q384" s="19" t="str">
        <x:v>否</x:v>
      </x:c>
      <x:c r="R384" s="19" t="str"/>
      <x:c r="S384" s="19" t="n">
        <x:f>IF(Q384="是",0,MIN(10,2+IF(C384="高",2,1)+IF(K384&gt;=3%,3,IF(K384&gt;=1%,2,1))+IF(L384="新出现",2,IF(M384&gt;=100%,3,IF(M384&gt;0,2,0)))))</x:f>
        <x:v>7</x:v>
      </x:c>
      <x:c r="T384" s="21"/>
      <x:c r="U384" s="20"/>
      <x:c r="V384" s="19" t="str">
        <x:v>http://voxo.live/</x:v>
      </x:c>
      <x:c r="W384" s="19" t="str">
        <x:v>https://pro.similarweb.com/#/digitalsuite/websiteanalysis/referrals/*/999/1m?webSource=Total&amp;selectedTab=incomingTraffic&amp;key=polar.sh</x:v>
      </x:c>
      <x:c r="X384" s="20" t="n">
        <x:f>IF(Q384="是",0,IFERROR(P384/SUMIFS($P$2:$P$964,$A$2:$A$964,A384,$Q$2:$Q$964,"否"),0))</x:f>
        <x:v>0.0076313775773995405</x:v>
      </x:c>
      <x:c r="Y384" s="22" t="str">
        <x:f>IF(OR(M384="",U384=""),"未交叉",IF(M384*U384&gt;0,"同向",IF(M384*U384&lt;0,"背离","一侧持平")))</x:f>
        <x:v>未交叉</x:v>
      </x:c>
    </x:row>
    <x:row r="385">
      <x:c r="A385" s="18" t="str">
        <x:v>polar.sh</x:v>
      </x:c>
      <x:c r="B385" s="19" t="str">
        <x:v>支付商主域（混合流量）</x:v>
      </x:c>
      <x:c r="C385" s="19" t="str">
        <x:v>中</x:v>
      </x:c>
      <x:c r="D385" s="19" t="str">
        <x:v>Jul 2026</x:v>
      </x:c>
      <x:c r="E385" s="19" t="n">
        <x:v>42</x:v>
      </x:c>
      <x:c r="F385" s="19" t="str">
        <x:v>vibeseo.dev</x:v>
      </x:c>
      <x:c r="G385" s="19" t="str">
        <x:v>Unknown</x:v>
      </x:c>
      <x:c r="H385" s="19" t="str">
        <x:v>其他/待核查</x:v>
      </x:c>
      <x:c r="I385" s="19" t="str">
        <x:v>Similarweb 未分类</x:v>
      </x:c>
      <x:c r="J385" s="19"/>
      <x:c r="K385" s="20" t="n">
        <x:v>0.004699999999999999</x:v>
      </x:c>
      <x:c r="L385" s="19" t="str">
        <x:v>新出现</x:v>
      </x:c>
      <x:c r="M385" s="20"/>
      <x:c r="N385" s="21" t="n">
        <x:v>157018</x:v>
      </x:c>
      <x:c r="O385" s="21" t="n">
        <x:v>738</x:v>
      </x:c>
      <x:c r="P385" s="21" t="n">
        <x:f>ROUND(N385*K385,0)</x:f>
        <x:v>738</x:v>
      </x:c>
      <x:c r="Q385" s="19" t="str">
        <x:v>否</x:v>
      </x:c>
      <x:c r="R385" s="19" t="str"/>
      <x:c r="S385" s="19" t="n">
        <x:f>IF(Q385="是",0,MIN(10,2+IF(C385="高",2,1)+IF(K385&gt;=3%,3,IF(K385&gt;=1%,2,1))+IF(L385="新出现",2,IF(M385&gt;=100%,3,IF(M385&gt;0,2,0)))))</x:f>
        <x:v>6</x:v>
      </x:c>
      <x:c r="T385" s="21"/>
      <x:c r="U385" s="20"/>
      <x:c r="V385" s="19" t="str">
        <x:v>http://vibeseo.dev/</x:v>
      </x:c>
      <x:c r="W385" s="19" t="str">
        <x:v>https://pro.similarweb.com/#/digitalsuite/websiteanalysis/referrals/*/999/1m?webSource=Total&amp;selectedTab=incomingTraffic&amp;key=polar.sh</x:v>
      </x:c>
      <x:c r="X385" s="20" t="n">
        <x:f>IF(Q385="是",0,IFERROR(P385/SUMIFS($P$2:$P$964,$A$2:$A$964,A385,$Q$2:$Q$964,"否"),0))</x:f>
        <x:v>0.0076313775773995405</x:v>
      </x:c>
      <x:c r="Y385" s="22" t="str">
        <x:f>IF(OR(M385="",U385=""),"未交叉",IF(M385*U385&gt;0,"同向",IF(M385*U385&lt;0,"背离","一侧持平")))</x:f>
        <x:v>未交叉</x:v>
      </x:c>
    </x:row>
    <x:row r="386">
      <x:c r="A386" s="18" t="str">
        <x:v>polar.sh</x:v>
      </x:c>
      <x:c r="B386" s="19" t="str">
        <x:v>支付商主域（混合流量）</x:v>
      </x:c>
      <x:c r="C386" s="19" t="str">
        <x:v>中</x:v>
      </x:c>
      <x:c r="D386" s="19" t="str">
        <x:v>Jul 2026</x:v>
      </x:c>
      <x:c r="E386" s="19" t="n">
        <x:v>43</x:v>
      </x:c>
      <x:c r="F386" s="19" t="str">
        <x:v>tailwindcss.com</x:v>
      </x:c>
      <x:c r="G386" s="19" t="str">
        <x:v>Graphics Multimedia and Web Design</x:v>
      </x:c>
      <x:c r="H386" s="19" t="str">
        <x:v>创作、设计与多媒体工具</x:v>
      </x:c>
      <x:c r="I386" s="19" t="str">
        <x:v>Similarweb 行业映射</x:v>
      </x:c>
      <x:c r="J386" s="19" t="n">
        <x:v>28495</x:v>
      </x:c>
      <x:c r="K386" s="20" t="n">
        <x:v>0.0045000000000000005</x:v>
      </x:c>
      <x:c r="L386" s="19" t="str">
        <x:v>上升</x:v>
      </x:c>
      <x:c r="M386" s="20" t="n">
        <x:v>1.9924000000000002</x:v>
      </x:c>
      <x:c r="N386" s="21" t="n">
        <x:v>157018</x:v>
      </x:c>
      <x:c r="O386" s="21" t="n">
        <x:v>707</x:v>
      </x:c>
      <x:c r="P386" s="21" t="n">
        <x:f>ROUND(N386*K386,0)</x:f>
        <x:v>707</x:v>
      </x:c>
      <x:c r="Q386" s="19" t="str">
        <x:v>否</x:v>
      </x:c>
      <x:c r="R386" s="19" t="str"/>
      <x:c r="S386" s="19" t="n">
        <x:f>IF(Q386="是",0,MIN(10,2+IF(C386="高",2,1)+IF(K386&gt;=3%,3,IF(K386&gt;=1%,2,1))+IF(L386="新出现",2,IF(M386&gt;=100%,3,IF(M386&gt;0,2,0)))))</x:f>
        <x:v>7</x:v>
      </x:c>
      <x:c r="T386" s="21"/>
      <x:c r="U386" s="20"/>
      <x:c r="V386" s="19" t="str">
        <x:v>http://tailwindcss.com/</x:v>
      </x:c>
      <x:c r="W386" s="19" t="str">
        <x:v>https://pro.similarweb.com/#/digitalsuite/websiteanalysis/referrals/*/999/1m?webSource=Total&amp;selectedTab=incomingTraffic&amp;key=polar.sh</x:v>
      </x:c>
      <x:c r="X386" s="20" t="n">
        <x:f>IF(Q386="是",0,IFERROR(P386/SUMIFS($P$2:$P$964,$A$2:$A$964,A386,$Q$2:$Q$964,"否"),0))</x:f>
        <x:v>0.007310818356668666</x:v>
      </x:c>
      <x:c r="Y386" s="22" t="str">
        <x:f>IF(OR(M386="",U386=""),"未交叉",IF(M386*U386&gt;0,"同向",IF(M386*U386&lt;0,"背离","一侧持平")))</x:f>
        <x:v>未交叉</x:v>
      </x:c>
    </x:row>
    <x:row r="387">
      <x:c r="A387" s="18" t="str">
        <x:v>polar.sh</x:v>
      </x:c>
      <x:c r="B387" s="19" t="str">
        <x:v>支付商主域（混合流量）</x:v>
      </x:c>
      <x:c r="C387" s="19" t="str">
        <x:v>中</x:v>
      </x:c>
      <x:c r="D387" s="19" t="str">
        <x:v>Jul 2026</x:v>
      </x:c>
      <x:c r="E387" s="19" t="n">
        <x:v>44</x:v>
      </x:c>
      <x:c r="F387" s="19" t="str">
        <x:v>clipy.online</x:v>
      </x:c>
      <x:c r="G387" s="19" t="str">
        <x:v>Unknown</x:v>
      </x:c>
      <x:c r="H387" s="19" t="str">
        <x:v>其他/待核查</x:v>
      </x:c>
      <x:c r="I387" s="19" t="str">
        <x:v>Similarweb 未分类</x:v>
      </x:c>
      <x:c r="J387" s="19" t="n">
        <x:v>294112</x:v>
      </x:c>
      <x:c r="K387" s="20" t="n">
        <x:v>0.0044</x:v>
      </x:c>
      <x:c r="L387" s="19" t="str">
        <x:v>上升</x:v>
      </x:c>
      <x:c r="M387" s="20" t="n">
        <x:v>26.421799999999998</x:v>
      </x:c>
      <x:c r="N387" s="21" t="n">
        <x:v>157018</x:v>
      </x:c>
      <x:c r="O387" s="21" t="n">
        <x:v>691</x:v>
      </x:c>
      <x:c r="P387" s="21" t="n">
        <x:f>ROUND(N387*K387,0)</x:f>
        <x:v>691</x:v>
      </x:c>
      <x:c r="Q387" s="19" t="str">
        <x:v>否</x:v>
      </x:c>
      <x:c r="R387" s="19" t="str"/>
      <x:c r="S387" s="19" t="n">
        <x:f>IF(Q387="是",0,MIN(10,2+IF(C387="高",2,1)+IF(K387&gt;=3%,3,IF(K387&gt;=1%,2,1))+IF(L387="新出现",2,IF(M387&gt;=100%,3,IF(M387&gt;0,2,0)))))</x:f>
        <x:v>7</x:v>
      </x:c>
      <x:c r="T387" s="21"/>
      <x:c r="U387" s="20"/>
      <x:c r="V387" s="19" t="str">
        <x:v>http://clipy.online/</x:v>
      </x:c>
      <x:c r="W387" s="19" t="str">
        <x:v>https://pro.similarweb.com/#/digitalsuite/websiteanalysis/referrals/*/999/1m?webSource=Total&amp;selectedTab=incomingTraffic&amp;key=polar.sh</x:v>
      </x:c>
      <x:c r="X387" s="20" t="n">
        <x:f>IF(Q387="是",0,IFERROR(P387/SUMIFS($P$2:$P$964,$A$2:$A$964,A387,$Q$2:$Q$964,"否"),0))</x:f>
        <x:v>0.00714536843629144</x:v>
      </x:c>
      <x:c r="Y387" s="22" t="str">
        <x:f>IF(OR(M387="",U387=""),"未交叉",IF(M387*U387&gt;0,"同向",IF(M387*U387&lt;0,"背离","一侧持平")))</x:f>
        <x:v>未交叉</x:v>
      </x:c>
    </x:row>
    <x:row r="388">
      <x:c r="A388" s="18" t="str">
        <x:v>polar.sh</x:v>
      </x:c>
      <x:c r="B388" s="19" t="str">
        <x:v>支付商主域（混合流量）</x:v>
      </x:c>
      <x:c r="C388" s="19" t="str">
        <x:v>中</x:v>
      </x:c>
      <x:c r="D388" s="19" t="str">
        <x:v>Jul 2026</x:v>
      </x:c>
      <x:c r="E388" s="19" t="n">
        <x:v>45</x:v>
      </x:c>
      <x:c r="F388" s="19" t="str">
        <x:v>app.rakun.ar</x:v>
      </x:c>
      <x:c r="G388" s="19" t="str">
        <x:v>Unknown</x:v>
      </x:c>
      <x:c r="H388" s="19" t="str">
        <x:v>其他/待核查</x:v>
      </x:c>
      <x:c r="I388" s="19" t="str">
        <x:v>Similarweb 未分类</x:v>
      </x:c>
      <x:c r="J388" s="19"/>
      <x:c r="K388" s="20" t="n">
        <x:v>0.0043</x:v>
      </x:c>
      <x:c r="L388" s="19" t="str">
        <x:v>新出现</x:v>
      </x:c>
      <x:c r="M388" s="20"/>
      <x:c r="N388" s="21" t="n">
        <x:v>157018</x:v>
      </x:c>
      <x:c r="O388" s="21" t="n">
        <x:v>675</x:v>
      </x:c>
      <x:c r="P388" s="21" t="n">
        <x:f>ROUND(N388*K388,0)</x:f>
        <x:v>675</x:v>
      </x:c>
      <x:c r="Q388" s="19" t="str">
        <x:v>否</x:v>
      </x:c>
      <x:c r="R388" s="19" t="str"/>
      <x:c r="S388" s="19" t="n">
        <x:f>IF(Q388="是",0,MIN(10,2+IF(C388="高",2,1)+IF(K388&gt;=3%,3,IF(K388&gt;=1%,2,1))+IF(L388="新出现",2,IF(M388&gt;=100%,3,IF(M388&gt;0,2,0)))))</x:f>
        <x:v>6</x:v>
      </x:c>
      <x:c r="T388" s="21"/>
      <x:c r="U388" s="20"/>
      <x:c r="V388" s="19" t="str">
        <x:v>http://app.rakun.ar/</x:v>
      </x:c>
      <x:c r="W388" s="19" t="str">
        <x:v>https://pro.similarweb.com/#/digitalsuite/websiteanalysis/referrals/*/999/1m?webSource=Total&amp;selectedTab=incomingTraffic&amp;key=polar.sh</x:v>
      </x:c>
      <x:c r="X388" s="20" t="n">
        <x:f>IF(Q388="是",0,IFERROR(P388/SUMIFS($P$2:$P$964,$A$2:$A$964,A388,$Q$2:$Q$964,"否"),0))</x:f>
        <x:v>0.006979918515914214</x:v>
      </x:c>
      <x:c r="Y388" s="22" t="str">
        <x:f>IF(OR(M388="",U388=""),"未交叉",IF(M388*U388&gt;0,"同向",IF(M388*U388&lt;0,"背离","一侧持平")))</x:f>
        <x:v>未交叉</x:v>
      </x:c>
    </x:row>
    <x:row r="389">
      <x:c r="A389" s="18" t="str">
        <x:v>polar.sh</x:v>
      </x:c>
      <x:c r="B389" s="19" t="str">
        <x:v>支付商主域（混合流量）</x:v>
      </x:c>
      <x:c r="C389" s="19" t="str">
        <x:v>中</x:v>
      </x:c>
      <x:c r="D389" s="19" t="str">
        <x:v>Jul 2026</x:v>
      </x:c>
      <x:c r="E389" s="19" t="n">
        <x:v>46</x:v>
      </x:c>
      <x:c r="F389" s="19" t="str">
        <x:v>auraplusplus.com</x:v>
      </x:c>
      <x:c r="G389" s="19" t="str">
        <x:v>Unknown</x:v>
      </x:c>
      <x:c r="H389" s="19" t="str">
        <x:v>其他/待核查</x:v>
      </x:c>
      <x:c r="I389" s="19" t="str">
        <x:v>Similarweb 未分类</x:v>
      </x:c>
      <x:c r="J389" s="19" t="n">
        <x:v>944994</x:v>
      </x:c>
      <x:c r="K389" s="20" t="n">
        <x:v>0.0043</x:v>
      </x:c>
      <x:c r="L389" s="19" t="str">
        <x:v>下降</x:v>
      </x:c>
      <x:c r="M389" s="20" t="n">
        <x:v>-0.3728</x:v>
      </x:c>
      <x:c r="N389" s="21" t="n">
        <x:v>157018</x:v>
      </x:c>
      <x:c r="O389" s="21" t="n">
        <x:v>675</x:v>
      </x:c>
      <x:c r="P389" s="21" t="n">
        <x:f>ROUND(N389*K389,0)</x:f>
        <x:v>675</x:v>
      </x:c>
      <x:c r="Q389" s="19" t="str">
        <x:v>否</x:v>
      </x:c>
      <x:c r="R389" s="19" t="str"/>
      <x:c r="S389" s="19" t="n">
        <x:f>IF(Q389="是",0,MIN(10,2+IF(C389="高",2,1)+IF(K389&gt;=3%,3,IF(K389&gt;=1%,2,1))+IF(L389="新出现",2,IF(M389&gt;=100%,3,IF(M389&gt;0,2,0)))))</x:f>
        <x:v>4</x:v>
      </x:c>
      <x:c r="T389" s="21"/>
      <x:c r="U389" s="20"/>
      <x:c r="V389" s="19" t="str">
        <x:v>http://auraplusplus.com/</x:v>
      </x:c>
      <x:c r="W389" s="19" t="str">
        <x:v>https://pro.similarweb.com/#/digitalsuite/websiteanalysis/referrals/*/999/1m?webSource=Total&amp;selectedTab=incomingTraffic&amp;key=polar.sh</x:v>
      </x:c>
      <x:c r="X389" s="20" t="n">
        <x:f>IF(Q389="是",0,IFERROR(P389/SUMIFS($P$2:$P$964,$A$2:$A$964,A389,$Q$2:$Q$964,"否"),0))</x:f>
        <x:v>0.006979918515914214</x:v>
      </x:c>
      <x:c r="Y389" s="22" t="str">
        <x:f>IF(OR(M389="",U389=""),"未交叉",IF(M389*U389&gt;0,"同向",IF(M389*U389&lt;0,"背离","一侧持平")))</x:f>
        <x:v>未交叉</x:v>
      </x:c>
    </x:row>
    <x:row r="390">
      <x:c r="A390" s="18" t="str">
        <x:v>polar.sh</x:v>
      </x:c>
      <x:c r="B390" s="19" t="str">
        <x:v>支付商主域（混合流量）</x:v>
      </x:c>
      <x:c r="C390" s="19" t="str">
        <x:v>中</x:v>
      </x:c>
      <x:c r="D390" s="19" t="str">
        <x:v>Jul 2026</x:v>
      </x:c>
      <x:c r="E390" s="19" t="n">
        <x:v>47</x:v>
      </x:c>
      <x:c r="F390" s="19" t="str">
        <x:v>freedub.io</x:v>
      </x:c>
      <x:c r="G390" s="19" t="str">
        <x:v>Unknown</x:v>
      </x:c>
      <x:c r="H390" s="19" t="str">
        <x:v>其他/待核查</x:v>
      </x:c>
      <x:c r="I390" s="19" t="str">
        <x:v>Similarweb 未分类</x:v>
      </x:c>
      <x:c r="J390" s="19"/>
      <x:c r="K390" s="20" t="n">
        <x:v>0.0042</x:v>
      </x:c>
      <x:c r="L390" s="19" t="str">
        <x:v>上升</x:v>
      </x:c>
      <x:c r="M390" s="20" t="n">
        <x:v>7.1275</x:v>
      </x:c>
      <x:c r="N390" s="21" t="n">
        <x:v>157018</x:v>
      </x:c>
      <x:c r="O390" s="21" t="n">
        <x:v>659</x:v>
      </x:c>
      <x:c r="P390" s="21" t="n">
        <x:f>ROUND(N390*K390,0)</x:f>
        <x:v>659</x:v>
      </x:c>
      <x:c r="Q390" s="19" t="str">
        <x:v>否</x:v>
      </x:c>
      <x:c r="R390" s="19" t="str"/>
      <x:c r="S390" s="19" t="n">
        <x:f>IF(Q390="是",0,MIN(10,2+IF(C390="高",2,1)+IF(K390&gt;=3%,3,IF(K390&gt;=1%,2,1))+IF(L390="新出现",2,IF(M390&gt;=100%,3,IF(M390&gt;0,2,0)))))</x:f>
        <x:v>7</x:v>
      </x:c>
      <x:c r="T390" s="21"/>
      <x:c r="U390" s="20"/>
      <x:c r="V390" s="19" t="str">
        <x:v>http://freedub.io/</x:v>
      </x:c>
      <x:c r="W390" s="19" t="str">
        <x:v>https://pro.similarweb.com/#/digitalsuite/websiteanalysis/referrals/*/999/1m?webSource=Total&amp;selectedTab=incomingTraffic&amp;key=polar.sh</x:v>
      </x:c>
      <x:c r="X390" s="20" t="n">
        <x:f>IF(Q390="是",0,IFERROR(P390/SUMIFS($P$2:$P$964,$A$2:$A$964,A390,$Q$2:$Q$964,"否"),0))</x:f>
        <x:v>0.006814468595536988</x:v>
      </x:c>
      <x:c r="Y390" s="22" t="str">
        <x:f>IF(OR(M390="",U390=""),"未交叉",IF(M390*U390&gt;0,"同向",IF(M390*U390&lt;0,"背离","一侧持平")))</x:f>
        <x:v>未交叉</x:v>
      </x:c>
    </x:row>
    <x:row r="391">
      <x:c r="A391" s="18" t="str">
        <x:v>polar.sh</x:v>
      </x:c>
      <x:c r="B391" s="19" t="str">
        <x:v>支付商主域（混合流量）</x:v>
      </x:c>
      <x:c r="C391" s="19" t="str">
        <x:v>中</x:v>
      </x:c>
      <x:c r="D391" s="19" t="str">
        <x:v>Jul 2026</x:v>
      </x:c>
      <x:c r="E391" s="19" t="n">
        <x:v>48</x:v>
      </x:c>
      <x:c r="F391" s="19" t="str">
        <x:v>aivall.netlify.app</x:v>
      </x:c>
      <x:c r="G391" s="19" t="str">
        <x:v>Unknown</x:v>
      </x:c>
      <x:c r="H391" s="19" t="str">
        <x:v>其他/待核查</x:v>
      </x:c>
      <x:c r="I391" s="19" t="str">
        <x:v>Similarweb 未分类</x:v>
      </x:c>
      <x:c r="J391" s="19"/>
      <x:c r="K391" s="20" t="n">
        <x:v>0.0040999999999999995</x:v>
      </x:c>
      <x:c r="L391" s="19" t="str">
        <x:v>上升</x:v>
      </x:c>
      <x:c r="M391" s="20" t="n">
        <x:v>6.7397</x:v>
      </x:c>
      <x:c r="N391" s="21" t="n">
        <x:v>157018</x:v>
      </x:c>
      <x:c r="O391" s="21" t="n">
        <x:v>644</x:v>
      </x:c>
      <x:c r="P391" s="21" t="n">
        <x:f>ROUND(N391*K391,0)</x:f>
        <x:v>644</x:v>
      </x:c>
      <x:c r="Q391" s="19" t="str">
        <x:v>否</x:v>
      </x:c>
      <x:c r="R391" s="19" t="str"/>
      <x:c r="S391" s="19" t="n">
        <x:f>IF(Q391="是",0,MIN(10,2+IF(C391="高",2,1)+IF(K391&gt;=3%,3,IF(K391&gt;=1%,2,1))+IF(L391="新出现",2,IF(M391&gt;=100%,3,IF(M391&gt;0,2,0)))))</x:f>
        <x:v>7</x:v>
      </x:c>
      <x:c r="T391" s="21"/>
      <x:c r="U391" s="20"/>
      <x:c r="V391" s="19" t="str">
        <x:v>http://aivall.netlify.app/</x:v>
      </x:c>
      <x:c r="W391" s="19" t="str">
        <x:v>https://pro.similarweb.com/#/digitalsuite/websiteanalysis/referrals/*/999/1m?webSource=Total&amp;selectedTab=incomingTraffic&amp;key=polar.sh</x:v>
      </x:c>
      <x:c r="X391" s="20" t="n">
        <x:f>IF(Q391="是",0,IFERROR(P391/SUMIFS($P$2:$P$964,$A$2:$A$964,A391,$Q$2:$Q$964,"否"),0))</x:f>
        <x:v>0.006659359295183339</x:v>
      </x:c>
      <x:c r="Y391" s="22" t="str">
        <x:f>IF(OR(M391="",U391=""),"未交叉",IF(M391*U391&gt;0,"同向",IF(M391*U391&lt;0,"背离","一侧持平")))</x:f>
        <x:v>未交叉</x:v>
      </x:c>
    </x:row>
    <x:row r="392">
      <x:c r="A392" s="18" t="str">
        <x:v>polar.sh</x:v>
      </x:c>
      <x:c r="B392" s="19" t="str">
        <x:v>支付商主域（混合流量）</x:v>
      </x:c>
      <x:c r="C392" s="19" t="str">
        <x:v>中</x:v>
      </x:c>
      <x:c r="D392" s="19" t="str">
        <x:v>Jul 2026</x:v>
      </x:c>
      <x:c r="E392" s="19" t="n">
        <x:v>49</x:v>
      </x:c>
      <x:c r="F392" s="19" t="str">
        <x:v>geminiwatermarkremove.net</x:v>
      </x:c>
      <x:c r="G392" s="19" t="str">
        <x:v>Unknown</x:v>
      </x:c>
      <x:c r="H392" s="19" t="str">
        <x:v>其他/待核查</x:v>
      </x:c>
      <x:c r="I392" s="19" t="str">
        <x:v>Similarweb 未分类</x:v>
      </x:c>
      <x:c r="J392" s="19" t="n">
        <x:v>426066</x:v>
      </x:c>
      <x:c r="K392" s="20" t="n">
        <x:v>0.0040999999999999995</x:v>
      </x:c>
      <x:c r="L392" s="19" t="str">
        <x:v>上升</x:v>
      </x:c>
      <x:c r="M392" s="20" t="n">
        <x:v>32.1441</x:v>
      </x:c>
      <x:c r="N392" s="21" t="n">
        <x:v>157018</x:v>
      </x:c>
      <x:c r="O392" s="21" t="n">
        <x:v>644</x:v>
      </x:c>
      <x:c r="P392" s="21" t="n">
        <x:f>ROUND(N392*K392,0)</x:f>
        <x:v>644</x:v>
      </x:c>
      <x:c r="Q392" s="19" t="str">
        <x:v>否</x:v>
      </x:c>
      <x:c r="R392" s="19" t="str"/>
      <x:c r="S392" s="19" t="n">
        <x:f>IF(Q392="是",0,MIN(10,2+IF(C392="高",2,1)+IF(K392&gt;=3%,3,IF(K392&gt;=1%,2,1))+IF(L392="新出现",2,IF(M392&gt;=100%,3,IF(M392&gt;0,2,0)))))</x:f>
        <x:v>7</x:v>
      </x:c>
      <x:c r="T392" s="21"/>
      <x:c r="U392" s="20"/>
      <x:c r="V392" s="19" t="str">
        <x:v>http://geminiwatermarkremove.net/</x:v>
      </x:c>
      <x:c r="W392" s="19" t="str">
        <x:v>https://pro.similarweb.com/#/digitalsuite/websiteanalysis/referrals/*/999/1m?webSource=Total&amp;selectedTab=incomingTraffic&amp;key=polar.sh</x:v>
      </x:c>
      <x:c r="X392" s="20" t="n">
        <x:f>IF(Q392="是",0,IFERROR(P392/SUMIFS($P$2:$P$964,$A$2:$A$964,A392,$Q$2:$Q$964,"否"),0))</x:f>
        <x:v>0.006659359295183339</x:v>
      </x:c>
      <x:c r="Y392" s="22" t="str">
        <x:f>IF(OR(M392="",U392=""),"未交叉",IF(M392*U392&gt;0,"同向",IF(M392*U392&lt;0,"背离","一侧持平")))</x:f>
        <x:v>未交叉</x:v>
      </x:c>
    </x:row>
    <x:row r="393">
      <x:c r="A393" s="18" t="str">
        <x:v>polar.sh</x:v>
      </x:c>
      <x:c r="B393" s="19" t="str">
        <x:v>支付商主域（混合流量）</x:v>
      </x:c>
      <x:c r="C393" s="19" t="str">
        <x:v>中</x:v>
      </x:c>
      <x:c r="D393" s="19" t="str">
        <x:v>Jul 2026</x:v>
      </x:c>
      <x:c r="E393" s="19" t="n">
        <x:v>50</x:v>
      </x:c>
      <x:c r="F393" s="19" t="str">
        <x:v>adsuploader.com</x:v>
      </x:c>
      <x:c r="G393" s="19" t="str">
        <x:v>Graphics Multimedia and Web Design</x:v>
      </x:c>
      <x:c r="H393" s="19" t="str">
        <x:v>创作、设计与多媒体工具</x:v>
      </x:c>
      <x:c r="I393" s="19" t="str">
        <x:v>Similarweb 行业映射</x:v>
      </x:c>
      <x:c r="J393" s="19" t="n">
        <x:v>306107</x:v>
      </x:c>
      <x:c r="K393" s="20" t="n">
        <x:v>0.0040999999999999995</x:v>
      </x:c>
      <x:c r="L393" s="19" t="str">
        <x:v>下降</x:v>
      </x:c>
      <x:c r="M393" s="20" t="n">
        <x:v>-0.6472</x:v>
      </x:c>
      <x:c r="N393" s="21" t="n">
        <x:v>157018</x:v>
      </x:c>
      <x:c r="O393" s="21" t="n">
        <x:v>644</x:v>
      </x:c>
      <x:c r="P393" s="21" t="n">
        <x:f>ROUND(N393*K393,0)</x:f>
        <x:v>644</x:v>
      </x:c>
      <x:c r="Q393" s="19" t="str">
        <x:v>否</x:v>
      </x:c>
      <x:c r="R393" s="19" t="str"/>
      <x:c r="S393" s="19" t="n">
        <x:f>IF(Q393="是",0,MIN(10,2+IF(C393="高",2,1)+IF(K393&gt;=3%,3,IF(K393&gt;=1%,2,1))+IF(L393="新出现",2,IF(M393&gt;=100%,3,IF(M393&gt;0,2,0)))))</x:f>
        <x:v>4</x:v>
      </x:c>
      <x:c r="T393" s="21"/>
      <x:c r="U393" s="20"/>
      <x:c r="V393" s="19" t="str">
        <x:v>http://adsuploader.com/</x:v>
      </x:c>
      <x:c r="W393" s="19" t="str">
        <x:v>https://pro.similarweb.com/#/digitalsuite/websiteanalysis/referrals/*/999/1m?webSource=Total&amp;selectedTab=incomingTraffic&amp;key=polar.sh</x:v>
      </x:c>
      <x:c r="X393" s="20" t="n">
        <x:f>IF(Q393="是",0,IFERROR(P393/SUMIFS($P$2:$P$964,$A$2:$A$964,A393,$Q$2:$Q$964,"否"),0))</x:f>
        <x:v>0.006659359295183339</x:v>
      </x:c>
      <x:c r="Y393" s="22" t="str">
        <x:f>IF(OR(M393="",U393=""),"未交叉",IF(M393*U393&gt;0,"同向",IF(M393*U393&lt;0,"背离","一侧持平")))</x:f>
        <x:v>未交叉</x:v>
      </x:c>
    </x:row>
    <x:row r="394">
      <x:c r="A394" s="18" t="str">
        <x:v>polar.sh</x:v>
      </x:c>
      <x:c r="B394" s="19" t="str">
        <x:v>支付商主域（混合流量）</x:v>
      </x:c>
      <x:c r="C394" s="19" t="str">
        <x:v>中</x:v>
      </x:c>
      <x:c r="D394" s="19" t="str">
        <x:v>Jul 2026</x:v>
      </x:c>
      <x:c r="E394" s="19" t="n">
        <x:v>51</x:v>
      </x:c>
      <x:c r="F394" s="19" t="str">
        <x:v>easymotion.io</x:v>
      </x:c>
      <x:c r="G394" s="19" t="str">
        <x:v>Unknown</x:v>
      </x:c>
      <x:c r="H394" s="19" t="str">
        <x:v>其他/待核查</x:v>
      </x:c>
      <x:c r="I394" s="19" t="str">
        <x:v>Similarweb 未分类</x:v>
      </x:c>
      <x:c r="J394" s="19" t="n">
        <x:v>457790</x:v>
      </x:c>
      <x:c r="K394" s="20" t="n">
        <x:v>0.004</x:v>
      </x:c>
      <x:c r="L394" s="19" t="str">
        <x:v>新出现</x:v>
      </x:c>
      <x:c r="M394" s="20"/>
      <x:c r="N394" s="21" t="n">
        <x:v>157018</x:v>
      </x:c>
      <x:c r="O394" s="21" t="n">
        <x:v>628</x:v>
      </x:c>
      <x:c r="P394" s="21" t="n">
        <x:f>ROUND(N394*K394,0)</x:f>
        <x:v>628</x:v>
      </x:c>
      <x:c r="Q394" s="19" t="str">
        <x:v>否</x:v>
      </x:c>
      <x:c r="R394" s="19" t="str"/>
      <x:c r="S394" s="19" t="n">
        <x:f>IF(Q394="是",0,MIN(10,2+IF(C394="高",2,1)+IF(K394&gt;=3%,3,IF(K394&gt;=1%,2,1))+IF(L394="新出现",2,IF(M394&gt;=100%,3,IF(M394&gt;0,2,0)))))</x:f>
        <x:v>6</x:v>
      </x:c>
      <x:c r="T394" s="21"/>
      <x:c r="U394" s="20"/>
      <x:c r="V394" s="19" t="str">
        <x:v>http://easymotion.io/</x:v>
      </x:c>
      <x:c r="W394" s="19" t="str">
        <x:v>https://pro.similarweb.com/#/digitalsuite/websiteanalysis/referrals/*/999/1m?webSource=Total&amp;selectedTab=incomingTraffic&amp;key=polar.sh</x:v>
      </x:c>
      <x:c r="X394" s="20" t="n">
        <x:f>IF(Q394="是",0,IFERROR(P394/SUMIFS($P$2:$P$964,$A$2:$A$964,A394,$Q$2:$Q$964,"否"),0))</x:f>
        <x:v>0.006493909374806113</x:v>
      </x:c>
      <x:c r="Y394" s="22" t="str">
        <x:f>IF(OR(M394="",U394=""),"未交叉",IF(M394*U394&gt;0,"同向",IF(M394*U394&lt;0,"背离","一侧持平")))</x:f>
        <x:v>未交叉</x:v>
      </x:c>
    </x:row>
    <x:row r="395">
      <x:c r="A395" s="18" t="str">
        <x:v>polar.sh</x:v>
      </x:c>
      <x:c r="B395" s="19" t="str">
        <x:v>支付商主域（混合流量）</x:v>
      </x:c>
      <x:c r="C395" s="19" t="str">
        <x:v>中</x:v>
      </x:c>
      <x:c r="D395" s="19" t="str">
        <x:v>Jul 2026</x:v>
      </x:c>
      <x:c r="E395" s="19" t="n">
        <x:v>52</x:v>
      </x:c>
      <x:c r="F395" s="19" t="str">
        <x:v>notecleaner.com</x:v>
      </x:c>
      <x:c r="G395" s="19" t="str">
        <x:v>Unknown</x:v>
      </x:c>
      <x:c r="H395" s="19" t="str">
        <x:v>其他/待核查</x:v>
      </x:c>
      <x:c r="I395" s="19" t="str">
        <x:v>Similarweb 未分类</x:v>
      </x:c>
      <x:c r="J395" s="19" t="n">
        <x:v>717806</x:v>
      </x:c>
      <x:c r="K395" s="20" t="n">
        <x:v>0.004</x:v>
      </x:c>
      <x:c r="L395" s="19" t="str">
        <x:v>上升</x:v>
      </x:c>
      <x:c r="M395" s="20" t="n">
        <x:v>12.589300000000001</x:v>
      </x:c>
      <x:c r="N395" s="21" t="n">
        <x:v>157018</x:v>
      </x:c>
      <x:c r="O395" s="21" t="n">
        <x:v>628</x:v>
      </x:c>
      <x:c r="P395" s="21" t="n">
        <x:f>ROUND(N395*K395,0)</x:f>
        <x:v>628</x:v>
      </x:c>
      <x:c r="Q395" s="19" t="str">
        <x:v>否</x:v>
      </x:c>
      <x:c r="R395" s="19" t="str"/>
      <x:c r="S395" s="19" t="n">
        <x:f>IF(Q395="是",0,MIN(10,2+IF(C395="高",2,1)+IF(K395&gt;=3%,3,IF(K395&gt;=1%,2,1))+IF(L395="新出现",2,IF(M395&gt;=100%,3,IF(M395&gt;0,2,0)))))</x:f>
        <x:v>7</x:v>
      </x:c>
      <x:c r="T395" s="21"/>
      <x:c r="U395" s="20"/>
      <x:c r="V395" s="19" t="str">
        <x:v>http://notecleaner.com/</x:v>
      </x:c>
      <x:c r="W395" s="19" t="str">
        <x:v>https://pro.similarweb.com/#/digitalsuite/websiteanalysis/referrals/*/999/1m?webSource=Total&amp;selectedTab=incomingTraffic&amp;key=polar.sh</x:v>
      </x:c>
      <x:c r="X395" s="20" t="n">
        <x:f>IF(Q395="是",0,IFERROR(P395/SUMIFS($P$2:$P$964,$A$2:$A$964,A395,$Q$2:$Q$964,"否"),0))</x:f>
        <x:v>0.006493909374806113</x:v>
      </x:c>
      <x:c r="Y395" s="22" t="str">
        <x:f>IF(OR(M395="",U395=""),"未交叉",IF(M395*U395&gt;0,"同向",IF(M395*U395&lt;0,"背离","一侧持平")))</x:f>
        <x:v>未交叉</x:v>
      </x:c>
    </x:row>
    <x:row r="396">
      <x:c r="A396" s="18" t="str">
        <x:v>polar.sh</x:v>
      </x:c>
      <x:c r="B396" s="19" t="str">
        <x:v>支付商主域（混合流量）</x:v>
      </x:c>
      <x:c r="C396" s="19" t="str">
        <x:v>中</x:v>
      </x:c>
      <x:c r="D396" s="19" t="str">
        <x:v>Jul 2026</x:v>
      </x:c>
      <x:c r="E396" s="19" t="n">
        <x:v>53</x:v>
      </x:c>
      <x:c r="F396" s="19" t="str">
        <x:v>app.imagenhub.ai</x:v>
      </x:c>
      <x:c r="G396" s="19" t="str">
        <x:v>Unknown</x:v>
      </x:c>
      <x:c r="H396" s="19" t="str">
        <x:v>AI 工具与应用（未细分）</x:v>
      </x:c>
      <x:c r="I396" s="19" t="str">
        <x:v>域名后缀启发式</x:v>
      </x:c>
      <x:c r="J396" s="19"/>
      <x:c r="K396" s="20" t="n">
        <x:v>0.0038</x:v>
      </x:c>
      <x:c r="L396" s="19" t="str">
        <x:v>上升</x:v>
      </x:c>
      <x:c r="M396" s="20" t="n">
        <x:v>2.4206</x:v>
      </x:c>
      <x:c r="N396" s="21" t="n">
        <x:v>157018</x:v>
      </x:c>
      <x:c r="O396" s="21" t="n">
        <x:v>597</x:v>
      </x:c>
      <x:c r="P396" s="21" t="n">
        <x:f>ROUND(N396*K396,0)</x:f>
        <x:v>597</x:v>
      </x:c>
      <x:c r="Q396" s="19" t="str">
        <x:v>否</x:v>
      </x:c>
      <x:c r="R396" s="19" t="str"/>
      <x:c r="S396" s="19" t="n">
        <x:f>IF(Q396="是",0,MIN(10,2+IF(C396="高",2,1)+IF(K396&gt;=3%,3,IF(K396&gt;=1%,2,1))+IF(L396="新出现",2,IF(M396&gt;=100%,3,IF(M396&gt;0,2,0)))))</x:f>
        <x:v>7</x:v>
      </x:c>
      <x:c r="T396" s="21"/>
      <x:c r="U396" s="20"/>
      <x:c r="V396" s="19" t="str">
        <x:v>http://app.imagenhub.ai/</x:v>
      </x:c>
      <x:c r="W396" s="19" t="str">
        <x:v>https://pro.similarweb.com/#/digitalsuite/websiteanalysis/referrals/*/999/1m?webSource=Total&amp;selectedTab=incomingTraffic&amp;key=polar.sh</x:v>
      </x:c>
      <x:c r="X396" s="20" t="n">
        <x:f>IF(Q396="是",0,IFERROR(P396/SUMIFS($P$2:$P$964,$A$2:$A$964,A396,$Q$2:$Q$964,"否"),0))</x:f>
        <x:v>0.006173350154075238</x:v>
      </x:c>
      <x:c r="Y396" s="22" t="str">
        <x:f>IF(OR(M396="",U396=""),"未交叉",IF(M396*U396&gt;0,"同向",IF(M396*U396&lt;0,"背离","一侧持平")))</x:f>
        <x:v>未交叉</x:v>
      </x:c>
    </x:row>
    <x:row r="397">
      <x:c r="A397" s="18" t="str">
        <x:v>polar.sh</x:v>
      </x:c>
      <x:c r="B397" s="19" t="str">
        <x:v>支付商主域（混合流量）</x:v>
      </x:c>
      <x:c r="C397" s="19" t="str">
        <x:v>中</x:v>
      </x:c>
      <x:c r="D397" s="19" t="str">
        <x:v>Jul 2026</x:v>
      </x:c>
      <x:c r="E397" s="19" t="n">
        <x:v>54</x:v>
      </x:c>
      <x:c r="F397" s="19" t="str">
        <x:v>hyya.ai</x:v>
      </x:c>
      <x:c r="G397" s="19" t="str">
        <x:v>Unknown</x:v>
      </x:c>
      <x:c r="H397" s="19" t="str">
        <x:v>AI 工具与应用（未细分）</x:v>
      </x:c>
      <x:c r="I397" s="19" t="str">
        <x:v>域名后缀启发式</x:v>
      </x:c>
      <x:c r="J397" s="19"/>
      <x:c r="K397" s="20" t="n">
        <x:v>0.0037</x:v>
      </x:c>
      <x:c r="L397" s="19" t="str">
        <x:v>新出现</x:v>
      </x:c>
      <x:c r="M397" s="20"/>
      <x:c r="N397" s="21" t="n">
        <x:v>157018</x:v>
      </x:c>
      <x:c r="O397" s="21" t="n">
        <x:v>581</x:v>
      </x:c>
      <x:c r="P397" s="21" t="n">
        <x:f>ROUND(N397*K397,0)</x:f>
        <x:v>581</x:v>
      </x:c>
      <x:c r="Q397" s="19" t="str">
        <x:v>否</x:v>
      </x:c>
      <x:c r="R397" s="19" t="str"/>
      <x:c r="S397" s="19" t="n">
        <x:f>IF(Q397="是",0,MIN(10,2+IF(C397="高",2,1)+IF(K397&gt;=3%,3,IF(K397&gt;=1%,2,1))+IF(L397="新出现",2,IF(M397&gt;=100%,3,IF(M397&gt;0,2,0)))))</x:f>
        <x:v>6</x:v>
      </x:c>
      <x:c r="T397" s="21"/>
      <x:c r="U397" s="20"/>
      <x:c r="V397" s="19" t="str">
        <x:v>http://hyya.ai/</x:v>
      </x:c>
      <x:c r="W397" s="19" t="str">
        <x:v>https://pro.similarweb.com/#/digitalsuite/websiteanalysis/referrals/*/999/1m?webSource=Total&amp;selectedTab=incomingTraffic&amp;key=polar.sh</x:v>
      </x:c>
      <x:c r="X397" s="20" t="n">
        <x:f>IF(Q397="是",0,IFERROR(P397/SUMIFS($P$2:$P$964,$A$2:$A$964,A397,$Q$2:$Q$964,"否"),0))</x:f>
        <x:v>0.006007900233698012</x:v>
      </x:c>
      <x:c r="Y397" s="22" t="str">
        <x:f>IF(OR(M397="",U397=""),"未交叉",IF(M397*U397&gt;0,"同向",IF(M397*U397&lt;0,"背离","一侧持平")))</x:f>
        <x:v>未交叉</x:v>
      </x:c>
    </x:row>
    <x:row r="398">
      <x:c r="A398" s="18" t="str">
        <x:v>polar.sh</x:v>
      </x:c>
      <x:c r="B398" s="19" t="str">
        <x:v>支付商主域（混合流量）</x:v>
      </x:c>
      <x:c r="C398" s="19" t="str">
        <x:v>中</x:v>
      </x:c>
      <x:c r="D398" s="19" t="str">
        <x:v>Jul 2026</x:v>
      </x:c>
      <x:c r="E398" s="19" t="n">
        <x:v>55</x:v>
      </x:c>
      <x:c r="F398" s="19" t="str">
        <x:v>app.studs.gg</x:v>
      </x:c>
      <x:c r="G398" s="19" t="str">
        <x:v>Video Games Consoles and Accessories</x:v>
      </x:c>
      <x:c r="H398" s="19" t="str">
        <x:v>游戏、数字商品与虚拟内容</x:v>
      </x:c>
      <x:c r="I398" s="19" t="str">
        <x:v>Similarweb 行业映射</x:v>
      </x:c>
      <x:c r="J398" s="19"/>
      <x:c r="K398" s="20" t="n">
        <x:v>0.0037</x:v>
      </x:c>
      <x:c r="L398" s="19" t="str">
        <x:v>下降</x:v>
      </x:c>
      <x:c r="M398" s="20" t="n">
        <x:v>-0.9399</x:v>
      </x:c>
      <x:c r="N398" s="21" t="n">
        <x:v>157018</x:v>
      </x:c>
      <x:c r="O398" s="21" t="n">
        <x:v>581</x:v>
      </x:c>
      <x:c r="P398" s="21" t="n">
        <x:f>ROUND(N398*K398,0)</x:f>
        <x:v>581</x:v>
      </x:c>
      <x:c r="Q398" s="19" t="str">
        <x:v>否</x:v>
      </x:c>
      <x:c r="R398" s="19" t="str"/>
      <x:c r="S398" s="19" t="n">
        <x:f>IF(Q398="是",0,MIN(10,2+IF(C398="高",2,1)+IF(K398&gt;=3%,3,IF(K398&gt;=1%,2,1))+IF(L398="新出现",2,IF(M398&gt;=100%,3,IF(M398&gt;0,2,0)))))</x:f>
        <x:v>4</x:v>
      </x:c>
      <x:c r="T398" s="21"/>
      <x:c r="U398" s="20"/>
      <x:c r="V398" s="19" t="str">
        <x:v>http://app.studs.gg/</x:v>
      </x:c>
      <x:c r="W398" s="19" t="str">
        <x:v>https://pro.similarweb.com/#/digitalsuite/websiteanalysis/referrals/*/999/1m?webSource=Total&amp;selectedTab=incomingTraffic&amp;key=polar.sh</x:v>
      </x:c>
      <x:c r="X398" s="20" t="n">
        <x:f>IF(Q398="是",0,IFERROR(P398/SUMIFS($P$2:$P$964,$A$2:$A$964,A398,$Q$2:$Q$964,"否"),0))</x:f>
        <x:v>0.006007900233698012</x:v>
      </x:c>
      <x:c r="Y398" s="22" t="str">
        <x:f>IF(OR(M398="",U398=""),"未交叉",IF(M398*U398&gt;0,"同向",IF(M398*U398&lt;0,"背离","一侧持平")))</x:f>
        <x:v>未交叉</x:v>
      </x:c>
    </x:row>
    <x:row r="399">
      <x:c r="A399" s="18" t="str">
        <x:v>polar.sh</x:v>
      </x:c>
      <x:c r="B399" s="19" t="str">
        <x:v>支付商主域（混合流量）</x:v>
      </x:c>
      <x:c r="C399" s="19" t="str">
        <x:v>中</x:v>
      </x:c>
      <x:c r="D399" s="19" t="str">
        <x:v>Jul 2026</x:v>
      </x:c>
      <x:c r="E399" s="19" t="n">
        <x:v>56</x:v>
      </x:c>
      <x:c r="F399" s="19" t="str">
        <x:v>tabtify.com</x:v>
      </x:c>
      <x:c r="G399" s="19" t="str">
        <x:v>Music</x:v>
      </x:c>
      <x:c r="H399" s="19" t="str">
        <x:v>创作、设计与多媒体工具</x:v>
      </x:c>
      <x:c r="I399" s="19" t="str">
        <x:v>Similarweb 行业映射</x:v>
      </x:c>
      <x:c r="J399" s="19" t="n">
        <x:v>513999</x:v>
      </x:c>
      <x:c r="K399" s="20" t="n">
        <x:v>0.0037</x:v>
      </x:c>
      <x:c r="L399" s="19" t="str">
        <x:v>上升</x:v>
      </x:c>
      <x:c r="M399" s="20" t="n">
        <x:v>0.7631</x:v>
      </x:c>
      <x:c r="N399" s="21" t="n">
        <x:v>157018</x:v>
      </x:c>
      <x:c r="O399" s="21" t="n">
        <x:v>581</x:v>
      </x:c>
      <x:c r="P399" s="21" t="n">
        <x:f>ROUND(N399*K399,0)</x:f>
        <x:v>581</x:v>
      </x:c>
      <x:c r="Q399" s="19" t="str">
        <x:v>否</x:v>
      </x:c>
      <x:c r="R399" s="19" t="str"/>
      <x:c r="S399" s="19" t="n">
        <x:f>IF(Q399="是",0,MIN(10,2+IF(C399="高",2,1)+IF(K399&gt;=3%,3,IF(K399&gt;=1%,2,1))+IF(L399="新出现",2,IF(M399&gt;=100%,3,IF(M399&gt;0,2,0)))))</x:f>
        <x:v>6</x:v>
      </x:c>
      <x:c r="T399" s="21"/>
      <x:c r="U399" s="20"/>
      <x:c r="V399" s="19" t="str">
        <x:v>http://tabtify.com/</x:v>
      </x:c>
      <x:c r="W399" s="19" t="str">
        <x:v>https://pro.similarweb.com/#/digitalsuite/websiteanalysis/referrals/*/999/1m?webSource=Total&amp;selectedTab=incomingTraffic&amp;key=polar.sh</x:v>
      </x:c>
      <x:c r="X399" s="20" t="n">
        <x:f>IF(Q399="是",0,IFERROR(P399/SUMIFS($P$2:$P$964,$A$2:$A$964,A399,$Q$2:$Q$964,"否"),0))</x:f>
        <x:v>0.006007900233698012</x:v>
      </x:c>
      <x:c r="Y399" s="22" t="str">
        <x:f>IF(OR(M399="",U399=""),"未交叉",IF(M399*U399&gt;0,"同向",IF(M399*U399&lt;0,"背离","一侧持平")))</x:f>
        <x:v>未交叉</x:v>
      </x:c>
    </x:row>
    <x:row r="400">
      <x:c r="A400" s="18" t="str">
        <x:v>polar.sh</x:v>
      </x:c>
      <x:c r="B400" s="19" t="str">
        <x:v>支付商主域（混合流量）</x:v>
      </x:c>
      <x:c r="C400" s="19" t="str">
        <x:v>中</x:v>
      </x:c>
      <x:c r="D400" s="19" t="str">
        <x:v>Jul 2026</x:v>
      </x:c>
      <x:c r="E400" s="19" t="n">
        <x:v>57</x:v>
      </x:c>
      <x:c r="F400" s="19" t="str">
        <x:v>viettienganh.com</x:v>
      </x:c>
      <x:c r="G400" s="19" t="str">
        <x:v>Unknown</x:v>
      </x:c>
      <x:c r="H400" s="19" t="str">
        <x:v>其他/待核查</x:v>
      </x:c>
      <x:c r="I400" s="19" t="str">
        <x:v>Similarweb 未分类</x:v>
      </x:c>
      <x:c r="J400" s="19" t="n">
        <x:v>2717082</x:v>
      </x:c>
      <x:c r="K400" s="20" t="n">
        <x:v>0.0036</x:v>
      </x:c>
      <x:c r="L400" s="19" t="str">
        <x:v>新出现</x:v>
      </x:c>
      <x:c r="M400" s="20"/>
      <x:c r="N400" s="21" t="n">
        <x:v>157018</x:v>
      </x:c>
      <x:c r="O400" s="21" t="n">
        <x:v>565</x:v>
      </x:c>
      <x:c r="P400" s="21" t="n">
        <x:f>ROUND(N400*K400,0)</x:f>
        <x:v>565</x:v>
      </x:c>
      <x:c r="Q400" s="19" t="str">
        <x:v>否</x:v>
      </x:c>
      <x:c r="R400" s="19" t="str"/>
      <x:c r="S400" s="19" t="n">
        <x:f>IF(Q400="是",0,MIN(10,2+IF(C400="高",2,1)+IF(K400&gt;=3%,3,IF(K400&gt;=1%,2,1))+IF(L400="新出现",2,IF(M400&gt;=100%,3,IF(M400&gt;0,2,0)))))</x:f>
        <x:v>6</x:v>
      </x:c>
      <x:c r="T400" s="21"/>
      <x:c r="U400" s="20"/>
      <x:c r="V400" s="19" t="str">
        <x:v>http://viettienganh.com/</x:v>
      </x:c>
      <x:c r="W400" s="19" t="str">
        <x:v>https://pro.similarweb.com/#/digitalsuite/websiteanalysis/referrals/*/999/1m?webSource=Total&amp;selectedTab=incomingTraffic&amp;key=polar.sh</x:v>
      </x:c>
      <x:c r="X400" s="20" t="n">
        <x:f>IF(Q400="是",0,IFERROR(P400/SUMIFS($P$2:$P$964,$A$2:$A$964,A400,$Q$2:$Q$964,"否"),0))</x:f>
        <x:v>0.005842450313320787</x:v>
      </x:c>
      <x:c r="Y400" s="22" t="str">
        <x:f>IF(OR(M400="",U400=""),"未交叉",IF(M400*U400&gt;0,"同向",IF(M400*U400&lt;0,"背离","一侧持平")))</x:f>
        <x:v>未交叉</x:v>
      </x:c>
    </x:row>
    <x:row r="401">
      <x:c r="A401" s="18" t="str">
        <x:v>polar.sh</x:v>
      </x:c>
      <x:c r="B401" s="19" t="str">
        <x:v>支付商主域（混合流量）</x:v>
      </x:c>
      <x:c r="C401" s="19" t="str">
        <x:v>中</x:v>
      </x:c>
      <x:c r="D401" s="19" t="str">
        <x:v>Jul 2026</x:v>
      </x:c>
      <x:c r="E401" s="19" t="n">
        <x:v>58</x:v>
      </x:c>
      <x:c r="F401" s="19" t="str">
        <x:v>details.so</x:v>
      </x:c>
      <x:c r="G401" s="19" t="str">
        <x:v>Unknown</x:v>
      </x:c>
      <x:c r="H401" s="19" t="str">
        <x:v>其他/待核查</x:v>
      </x:c>
      <x:c r="I401" s="19" t="str">
        <x:v>Similarweb 未分类</x:v>
      </x:c>
      <x:c r="J401" s="19" t="n">
        <x:v>1011500</x:v>
      </x:c>
      <x:c r="K401" s="20" t="n">
        <x:v>0.0036</x:v>
      </x:c>
      <x:c r="L401" s="19" t="str">
        <x:v>上升</x:v>
      </x:c>
      <x:c r="M401" s="20" t="n">
        <x:v>1.3276</x:v>
      </x:c>
      <x:c r="N401" s="21" t="n">
        <x:v>157018</x:v>
      </x:c>
      <x:c r="O401" s="21" t="n">
        <x:v>565</x:v>
      </x:c>
      <x:c r="P401" s="21" t="n">
        <x:f>ROUND(N401*K401,0)</x:f>
        <x:v>565</x:v>
      </x:c>
      <x:c r="Q401" s="19" t="str">
        <x:v>否</x:v>
      </x:c>
      <x:c r="R401" s="19" t="str"/>
      <x:c r="S401" s="19" t="n">
        <x:f>IF(Q401="是",0,MIN(10,2+IF(C401="高",2,1)+IF(K401&gt;=3%,3,IF(K401&gt;=1%,2,1))+IF(L401="新出现",2,IF(M401&gt;=100%,3,IF(M401&gt;0,2,0)))))</x:f>
        <x:v>7</x:v>
      </x:c>
      <x:c r="T401" s="21"/>
      <x:c r="U401" s="20"/>
      <x:c r="V401" s="19" t="str">
        <x:v>http://details.so/</x:v>
      </x:c>
      <x:c r="W401" s="19" t="str">
        <x:v>https://pro.similarweb.com/#/digitalsuite/websiteanalysis/referrals/*/999/1m?webSource=Total&amp;selectedTab=incomingTraffic&amp;key=polar.sh</x:v>
      </x:c>
      <x:c r="X401" s="20" t="n">
        <x:f>IF(Q401="是",0,IFERROR(P401/SUMIFS($P$2:$P$964,$A$2:$A$964,A401,$Q$2:$Q$964,"否"),0))</x:f>
        <x:v>0.005842450313320787</x:v>
      </x:c>
      <x:c r="Y401" s="22" t="str">
        <x:f>IF(OR(M401="",U401=""),"未交叉",IF(M401*U401&gt;0,"同向",IF(M401*U401&lt;0,"背离","一侧持平")))</x:f>
        <x:v>未交叉</x:v>
      </x:c>
    </x:row>
    <x:row r="402">
      <x:c r="A402" s="18" t="str">
        <x:v>polar.sh</x:v>
      </x:c>
      <x:c r="B402" s="19" t="str">
        <x:v>支付商主域（混合流量）</x:v>
      </x:c>
      <x:c r="C402" s="19" t="str">
        <x:v>中</x:v>
      </x:c>
      <x:c r="D402" s="19" t="str">
        <x:v>Jul 2026</x:v>
      </x:c>
      <x:c r="E402" s="19" t="n">
        <x:v>59</x:v>
      </x:c>
      <x:c r="F402" s="19" t="str">
        <x:v>study.flashsat.net</x:v>
      </x:c>
      <x:c r="G402" s="19" t="str">
        <x:v>Unknown</x:v>
      </x:c>
      <x:c r="H402" s="19" t="str">
        <x:v>其他/待核查</x:v>
      </x:c>
      <x:c r="I402" s="19" t="str">
        <x:v>Similarweb 未分类</x:v>
      </x:c>
      <x:c r="J402" s="19"/>
      <x:c r="K402" s="20" t="n">
        <x:v>0.0034999999999999996</x:v>
      </x:c>
      <x:c r="L402" s="19" t="str">
        <x:v>新出现</x:v>
      </x:c>
      <x:c r="M402" s="20"/>
      <x:c r="N402" s="21" t="n">
        <x:v>157018</x:v>
      </x:c>
      <x:c r="O402" s="21" t="n">
        <x:v>550</x:v>
      </x:c>
      <x:c r="P402" s="21" t="n">
        <x:f>ROUND(N402*K402,0)</x:f>
        <x:v>550</x:v>
      </x:c>
      <x:c r="Q402" s="19" t="str">
        <x:v>否</x:v>
      </x:c>
      <x:c r="R402" s="19" t="str"/>
      <x:c r="S402" s="19" t="n">
        <x:f>IF(Q402="是",0,MIN(10,2+IF(C402="高",2,1)+IF(K402&gt;=3%,3,IF(K402&gt;=1%,2,1))+IF(L402="新出现",2,IF(M402&gt;=100%,3,IF(M402&gt;0,2,0)))))</x:f>
        <x:v>6</x:v>
      </x:c>
      <x:c r="T402" s="21"/>
      <x:c r="U402" s="20"/>
      <x:c r="V402" s="19" t="str">
        <x:v>http://study.flashsat.net/</x:v>
      </x:c>
      <x:c r="W402" s="19" t="str">
        <x:v>https://pro.similarweb.com/#/digitalsuite/websiteanalysis/referrals/*/999/1m?webSource=Total&amp;selectedTab=incomingTraffic&amp;key=polar.sh</x:v>
      </x:c>
      <x:c r="X402" s="20" t="n">
        <x:f>IF(Q402="是",0,IFERROR(P402/SUMIFS($P$2:$P$964,$A$2:$A$964,A402,$Q$2:$Q$964,"否"),0))</x:f>
        <x:v>0.005687341012967137</x:v>
      </x:c>
      <x:c r="Y402" s="22" t="str">
        <x:f>IF(OR(M402="",U402=""),"未交叉",IF(M402*U402&gt;0,"同向",IF(M402*U402&lt;0,"背离","一侧持平")))</x:f>
        <x:v>未交叉</x:v>
      </x:c>
    </x:row>
    <x:row r="403">
      <x:c r="A403" s="18" t="str">
        <x:v>polar.sh</x:v>
      </x:c>
      <x:c r="B403" s="19" t="str">
        <x:v>支付商主域（混合流量）</x:v>
      </x:c>
      <x:c r="C403" s="19" t="str">
        <x:v>中</x:v>
      </x:c>
      <x:c r="D403" s="19" t="str">
        <x:v>Jul 2026</x:v>
      </x:c>
      <x:c r="E403" s="19" t="n">
        <x:v>60</x:v>
      </x:c>
      <x:c r="F403" s="19" t="str">
        <x:v>krumzi.com</x:v>
      </x:c>
      <x:c r="G403" s="19" t="str">
        <x:v>Graphics Multimedia and Web Design</x:v>
      </x:c>
      <x:c r="H403" s="19" t="str">
        <x:v>创作、设计与多媒体工具</x:v>
      </x:c>
      <x:c r="I403" s="19" t="str">
        <x:v>Similarweb 行业映射</x:v>
      </x:c>
      <x:c r="J403" s="19" t="n">
        <x:v>634910</x:v>
      </x:c>
      <x:c r="K403" s="20" t="n">
        <x:v>0.0034000000000000002</x:v>
      </x:c>
      <x:c r="L403" s="19" t="str">
        <x:v>上升</x:v>
      </x:c>
      <x:c r="M403" s="20" t="n">
        <x:v>3.3722000000000003</x:v>
      </x:c>
      <x:c r="N403" s="21" t="n">
        <x:v>157018</x:v>
      </x:c>
      <x:c r="O403" s="21" t="n">
        <x:v>534</x:v>
      </x:c>
      <x:c r="P403" s="21" t="n">
        <x:f>ROUND(N403*K403,0)</x:f>
        <x:v>534</x:v>
      </x:c>
      <x:c r="Q403" s="19" t="str">
        <x:v>否</x:v>
      </x:c>
      <x:c r="R403" s="19" t="str"/>
      <x:c r="S403" s="19" t="n">
        <x:f>IF(Q403="是",0,MIN(10,2+IF(C403="高",2,1)+IF(K403&gt;=3%,3,IF(K403&gt;=1%,2,1))+IF(L403="新出现",2,IF(M403&gt;=100%,3,IF(M403&gt;0,2,0)))))</x:f>
        <x:v>7</x:v>
      </x:c>
      <x:c r="T403" s="21"/>
      <x:c r="U403" s="20"/>
      <x:c r="V403" s="19" t="str">
        <x:v>http://krumzi.com/</x:v>
      </x:c>
      <x:c r="W403" s="19" t="str">
        <x:v>https://pro.similarweb.com/#/digitalsuite/websiteanalysis/referrals/*/999/1m?webSource=Total&amp;selectedTab=incomingTraffic&amp;key=polar.sh</x:v>
      </x:c>
      <x:c r="X403" s="20" t="n">
        <x:f>IF(Q403="是",0,IFERROR(P403/SUMIFS($P$2:$P$964,$A$2:$A$964,A403,$Q$2:$Q$964,"否"),0))</x:f>
        <x:v>0.0055218910925899116</x:v>
      </x:c>
      <x:c r="Y403" s="22" t="str">
        <x:f>IF(OR(M403="",U403=""),"未交叉",IF(M403*U403&gt;0,"同向",IF(M403*U403&lt;0,"背离","一侧持平")))</x:f>
        <x:v>未交叉</x:v>
      </x:c>
    </x:row>
    <x:row r="404">
      <x:c r="A404" s="18" t="str">
        <x:v>polar.sh</x:v>
      </x:c>
      <x:c r="B404" s="19" t="str">
        <x:v>支付商主域（混合流量）</x:v>
      </x:c>
      <x:c r="C404" s="19" t="str">
        <x:v>中</x:v>
      </x:c>
      <x:c r="D404" s="19" t="str">
        <x:v>Jul 2026</x:v>
      </x:c>
      <x:c r="E404" s="19" t="n">
        <x:v>61</x:v>
      </x:c>
      <x:c r="F404" s="19" t="str">
        <x:v>astrsa.com</x:v>
      </x:c>
      <x:c r="G404" s="19" t="str">
        <x:v>Jobs and Employment</x:v>
      </x:c>
      <x:c r="H404" s="19" t="str">
        <x:v>营销、生产力与商业服务</x:v>
      </x:c>
      <x:c r="I404" s="19" t="str">
        <x:v>Similarweb 行业映射</x:v>
      </x:c>
      <x:c r="J404" s="19" t="n">
        <x:v>440825</x:v>
      </x:c>
      <x:c r="K404" s="20" t="n">
        <x:v>0.0033</x:v>
      </x:c>
      <x:c r="L404" s="19" t="str">
        <x:v>上升</x:v>
      </x:c>
      <x:c r="M404" s="20" t="n">
        <x:v>5.1103</x:v>
      </x:c>
      <x:c r="N404" s="21" t="n">
        <x:v>157018</x:v>
      </x:c>
      <x:c r="O404" s="21" t="n">
        <x:v>518</x:v>
      </x:c>
      <x:c r="P404" s="21" t="n">
        <x:f>ROUND(N404*K404,0)</x:f>
        <x:v>518</x:v>
      </x:c>
      <x:c r="Q404" s="19" t="str">
        <x:v>否</x:v>
      </x:c>
      <x:c r="R404" s="19" t="str"/>
      <x:c r="S404" s="19" t="n">
        <x:f>IF(Q404="是",0,MIN(10,2+IF(C404="高",2,1)+IF(K404&gt;=3%,3,IF(K404&gt;=1%,2,1))+IF(L404="新出现",2,IF(M404&gt;=100%,3,IF(M404&gt;0,2,0)))))</x:f>
        <x:v>7</x:v>
      </x:c>
      <x:c r="T404" s="21"/>
      <x:c r="U404" s="20"/>
      <x:c r="V404" s="19" t="str">
        <x:v>http://astrsa.com/</x:v>
      </x:c>
      <x:c r="W404" s="19" t="str">
        <x:v>https://pro.similarweb.com/#/digitalsuite/websiteanalysis/referrals/*/999/1m?webSource=Total&amp;selectedTab=incomingTraffic&amp;key=polar.sh</x:v>
      </x:c>
      <x:c r="X404" s="20" t="n">
        <x:f>IF(Q404="是",0,IFERROR(P404/SUMIFS($P$2:$P$964,$A$2:$A$964,A404,$Q$2:$Q$964,"否"),0))</x:f>
        <x:v>0.005356441172212686</x:v>
      </x:c>
      <x:c r="Y404" s="22" t="str">
        <x:f>IF(OR(M404="",U404=""),"未交叉",IF(M404*U404&gt;0,"同向",IF(M404*U404&lt;0,"背离","一侧持平")))</x:f>
        <x:v>未交叉</x:v>
      </x:c>
    </x:row>
    <x:row r="405">
      <x:c r="A405" s="18" t="str">
        <x:v>polar.sh</x:v>
      </x:c>
      <x:c r="B405" s="19" t="str">
        <x:v>支付商主域（混合流量）</x:v>
      </x:c>
      <x:c r="C405" s="19" t="str">
        <x:v>中</x:v>
      </x:c>
      <x:c r="D405" s="19" t="str">
        <x:v>Jul 2026</x:v>
      </x:c>
      <x:c r="E405" s="19" t="n">
        <x:v>62</x:v>
      </x:c>
      <x:c r="F405" s="19" t="str">
        <x:v>tonecaliper.com</x:v>
      </x:c>
      <x:c r="G405" s="19" t="str">
        <x:v>Unknown</x:v>
      </x:c>
      <x:c r="H405" s="19" t="str">
        <x:v>其他/待核查</x:v>
      </x:c>
      <x:c r="I405" s="19" t="str">
        <x:v>Similarweb 未分类</x:v>
      </x:c>
      <x:c r="J405" s="19" t="n">
        <x:v>1638683</x:v>
      </x:c>
      <x:c r="K405" s="20" t="n">
        <x:v>0.0033</x:v>
      </x:c>
      <x:c r="L405" s="19" t="str">
        <x:v>新出现</x:v>
      </x:c>
      <x:c r="M405" s="20"/>
      <x:c r="N405" s="21" t="n">
        <x:v>157018</x:v>
      </x:c>
      <x:c r="O405" s="21" t="n">
        <x:v>518</x:v>
      </x:c>
      <x:c r="P405" s="21" t="n">
        <x:f>ROUND(N405*K405,0)</x:f>
        <x:v>518</x:v>
      </x:c>
      <x:c r="Q405" s="19" t="str">
        <x:v>否</x:v>
      </x:c>
      <x:c r="R405" s="19" t="str"/>
      <x:c r="S405" s="19" t="n">
        <x:f>IF(Q405="是",0,MIN(10,2+IF(C405="高",2,1)+IF(K405&gt;=3%,3,IF(K405&gt;=1%,2,1))+IF(L405="新出现",2,IF(M405&gt;=100%,3,IF(M405&gt;0,2,0)))))</x:f>
        <x:v>6</x:v>
      </x:c>
      <x:c r="T405" s="21"/>
      <x:c r="U405" s="20"/>
      <x:c r="V405" s="19" t="str">
        <x:v>http://tonecaliper.com/</x:v>
      </x:c>
      <x:c r="W405" s="19" t="str">
        <x:v>https://pro.similarweb.com/#/digitalsuite/websiteanalysis/referrals/*/999/1m?webSource=Total&amp;selectedTab=incomingTraffic&amp;key=polar.sh</x:v>
      </x:c>
      <x:c r="X405" s="20" t="n">
        <x:f>IF(Q405="是",0,IFERROR(P405/SUMIFS($P$2:$P$964,$A$2:$A$964,A405,$Q$2:$Q$964,"否"),0))</x:f>
        <x:v>0.005356441172212686</x:v>
      </x:c>
      <x:c r="Y405" s="22" t="str">
        <x:f>IF(OR(M405="",U405=""),"未交叉",IF(M405*U405&gt;0,"同向",IF(M405*U405&lt;0,"背离","一侧持平")))</x:f>
        <x:v>未交叉</x:v>
      </x:c>
    </x:row>
    <x:row r="406">
      <x:c r="A406" s="18" t="str">
        <x:v>polar.sh</x:v>
      </x:c>
      <x:c r="B406" s="19" t="str">
        <x:v>支付商主域（混合流量）</x:v>
      </x:c>
      <x:c r="C406" s="19" t="str">
        <x:v>中</x:v>
      </x:c>
      <x:c r="D406" s="19" t="str">
        <x:v>Jul 2026</x:v>
      </x:c>
      <x:c r="E406" s="19" t="n">
        <x:v>63</x:v>
      </x:c>
      <x:c r="F406" s="19" t="str">
        <x:v>claudekit.cc</x:v>
      </x:c>
      <x:c r="G406" s="19" t="str">
        <x:v>Programming and Developer Software</x:v>
      </x:c>
      <x:c r="H406" s="19" t="str">
        <x:v>开发者工具与互联网基础设施</x:v>
      </x:c>
      <x:c r="I406" s="19" t="str">
        <x:v>Similarweb 行业映射</x:v>
      </x:c>
      <x:c r="J406" s="19" t="n">
        <x:v>461533</x:v>
      </x:c>
      <x:c r="K406" s="20" t="n">
        <x:v>0.0032</x:v>
      </x:c>
      <x:c r="L406" s="19" t="str">
        <x:v>下降</x:v>
      </x:c>
      <x:c r="M406" s="20" t="n">
        <x:v>-0.925</x:v>
      </x:c>
      <x:c r="N406" s="21" t="n">
        <x:v>157018</x:v>
      </x:c>
      <x:c r="O406" s="21" t="n">
        <x:v>502</x:v>
      </x:c>
      <x:c r="P406" s="21" t="n">
        <x:f>ROUND(N406*K406,0)</x:f>
        <x:v>502</x:v>
      </x:c>
      <x:c r="Q406" s="19" t="str">
        <x:v>否</x:v>
      </x:c>
      <x:c r="R406" s="19" t="str"/>
      <x:c r="S406" s="19" t="n">
        <x:f>IF(Q406="是",0,MIN(10,2+IF(C406="高",2,1)+IF(K406&gt;=3%,3,IF(K406&gt;=1%,2,1))+IF(L406="新出现",2,IF(M406&gt;=100%,3,IF(M406&gt;0,2,0)))))</x:f>
        <x:v>4</x:v>
      </x:c>
      <x:c r="T406" s="21"/>
      <x:c r="U406" s="20"/>
      <x:c r="V406" s="19" t="str">
        <x:v>http://claudekit.cc/</x:v>
      </x:c>
      <x:c r="W406" s="19" t="str">
        <x:v>https://pro.similarweb.com/#/digitalsuite/websiteanalysis/referrals/*/999/1m?webSource=Total&amp;selectedTab=incomingTraffic&amp;key=polar.sh</x:v>
      </x:c>
      <x:c r="X406" s="20" t="n">
        <x:f>IF(Q406="是",0,IFERROR(P406/SUMIFS($P$2:$P$964,$A$2:$A$964,A406,$Q$2:$Q$964,"否"),0))</x:f>
        <x:v>0.00519099125183546</x:v>
      </x:c>
      <x:c r="Y406" s="22" t="str">
        <x:f>IF(OR(M406="",U406=""),"未交叉",IF(M406*U406&gt;0,"同向",IF(M406*U406&lt;0,"背离","一侧持平")))</x:f>
        <x:v>未交叉</x:v>
      </x:c>
    </x:row>
    <x:row r="407">
      <x:c r="A407" s="18" t="str">
        <x:v>polar.sh</x:v>
      </x:c>
      <x:c r="B407" s="19" t="str">
        <x:v>支付商主域（混合流量）</x:v>
      </x:c>
      <x:c r="C407" s="19" t="str">
        <x:v>中</x:v>
      </x:c>
      <x:c r="D407" s="19" t="str">
        <x:v>Jul 2026</x:v>
      </x:c>
      <x:c r="E407" s="19" t="n">
        <x:v>64</x:v>
      </x:c>
      <x:c r="F407" s="19" t="str">
        <x:v>feeny.ai</x:v>
      </x:c>
      <x:c r="G407" s="19" t="str">
        <x:v>Unknown</x:v>
      </x:c>
      <x:c r="H407" s="19" t="str">
        <x:v>AI 工具与应用（未细分）</x:v>
      </x:c>
      <x:c r="I407" s="19" t="str">
        <x:v>域名后缀启发式</x:v>
      </x:c>
      <x:c r="J407" s="19"/>
      <x:c r="K407" s="20" t="n">
        <x:v>0.0032</x:v>
      </x:c>
      <x:c r="L407" s="19" t="str">
        <x:v>新出现</x:v>
      </x:c>
      <x:c r="M407" s="20"/>
      <x:c r="N407" s="21" t="n">
        <x:v>157018</x:v>
      </x:c>
      <x:c r="O407" s="21" t="n">
        <x:v>502</x:v>
      </x:c>
      <x:c r="P407" s="21" t="n">
        <x:f>ROUND(N407*K407,0)</x:f>
        <x:v>502</x:v>
      </x:c>
      <x:c r="Q407" s="19" t="str">
        <x:v>否</x:v>
      </x:c>
      <x:c r="R407" s="19" t="str"/>
      <x:c r="S407" s="19" t="n">
        <x:f>IF(Q407="是",0,MIN(10,2+IF(C407="高",2,1)+IF(K407&gt;=3%,3,IF(K407&gt;=1%,2,1))+IF(L407="新出现",2,IF(M407&gt;=100%,3,IF(M407&gt;0,2,0)))))</x:f>
        <x:v>6</x:v>
      </x:c>
      <x:c r="T407" s="21"/>
      <x:c r="U407" s="20"/>
      <x:c r="V407" s="19" t="str">
        <x:v>http://feeny.ai/</x:v>
      </x:c>
      <x:c r="W407" s="19" t="str">
        <x:v>https://pro.similarweb.com/#/digitalsuite/websiteanalysis/referrals/*/999/1m?webSource=Total&amp;selectedTab=incomingTraffic&amp;key=polar.sh</x:v>
      </x:c>
      <x:c r="X407" s="20" t="n">
        <x:f>IF(Q407="是",0,IFERROR(P407/SUMIFS($P$2:$P$964,$A$2:$A$964,A407,$Q$2:$Q$964,"否"),0))</x:f>
        <x:v>0.00519099125183546</x:v>
      </x:c>
      <x:c r="Y407" s="22" t="str">
        <x:f>IF(OR(M407="",U407=""),"未交叉",IF(M407*U407&gt;0,"同向",IF(M407*U407&lt;0,"背离","一侧持平")))</x:f>
        <x:v>未交叉</x:v>
      </x:c>
    </x:row>
    <x:row r="408">
      <x:c r="A408" s="18" t="str">
        <x:v>polar.sh</x:v>
      </x:c>
      <x:c r="B408" s="19" t="str">
        <x:v>支付商主域（混合流量）</x:v>
      </x:c>
      <x:c r="C408" s="19" t="str">
        <x:v>中</x:v>
      </x:c>
      <x:c r="D408" s="19" t="str">
        <x:v>Jul 2026</x:v>
      </x:c>
      <x:c r="E408" s="19" t="n">
        <x:v>65</x:v>
      </x:c>
      <x:c r="F408" s="19" t="str">
        <x:v>108.supply</x:v>
      </x:c>
      <x:c r="G408" s="19" t="str">
        <x:v>Unknown</x:v>
      </x:c>
      <x:c r="H408" s="19" t="str">
        <x:v>其他/待核查</x:v>
      </x:c>
      <x:c r="I408" s="19" t="str">
        <x:v>Similarweb 未分类</x:v>
      </x:c>
      <x:c r="J408" s="19"/>
      <x:c r="K408" s="20" t="n">
        <x:v>0.0032</x:v>
      </x:c>
      <x:c r="L408" s="19" t="str">
        <x:v>新出现</x:v>
      </x:c>
      <x:c r="M408" s="20"/>
      <x:c r="N408" s="21" t="n">
        <x:v>157018</x:v>
      </x:c>
      <x:c r="O408" s="21" t="n">
        <x:v>502</x:v>
      </x:c>
      <x:c r="P408" s="21" t="n">
        <x:f>ROUND(N408*K408,0)</x:f>
        <x:v>502</x:v>
      </x:c>
      <x:c r="Q408" s="19" t="str">
        <x:v>否</x:v>
      </x:c>
      <x:c r="R408" s="19" t="str"/>
      <x:c r="S408" s="19" t="n">
        <x:f>IF(Q408="是",0,MIN(10,2+IF(C408="高",2,1)+IF(K408&gt;=3%,3,IF(K408&gt;=1%,2,1))+IF(L408="新出现",2,IF(M408&gt;=100%,3,IF(M408&gt;0,2,0)))))</x:f>
        <x:v>6</x:v>
      </x:c>
      <x:c r="T408" s="21"/>
      <x:c r="U408" s="20"/>
      <x:c r="V408" s="19" t="str">
        <x:v>http://108.supply/</x:v>
      </x:c>
      <x:c r="W408" s="19" t="str">
        <x:v>https://pro.similarweb.com/#/digitalsuite/websiteanalysis/referrals/*/999/1m?webSource=Total&amp;selectedTab=incomingTraffic&amp;key=polar.sh</x:v>
      </x:c>
      <x:c r="X408" s="20" t="n">
        <x:f>IF(Q408="是",0,IFERROR(P408/SUMIFS($P$2:$P$964,$A$2:$A$964,A408,$Q$2:$Q$964,"否"),0))</x:f>
        <x:v>0.00519099125183546</x:v>
      </x:c>
      <x:c r="Y408" s="22" t="str">
        <x:f>IF(OR(M408="",U408=""),"未交叉",IF(M408*U408&gt;0,"同向",IF(M408*U408&lt;0,"背离","一侧持平")))</x:f>
        <x:v>未交叉</x:v>
      </x:c>
    </x:row>
    <x:row r="409">
      <x:c r="A409" s="18" t="str">
        <x:v>polar.sh</x:v>
      </x:c>
      <x:c r="B409" s="19" t="str">
        <x:v>支付商主域（混合流量）</x:v>
      </x:c>
      <x:c r="C409" s="19" t="str">
        <x:v>中</x:v>
      </x:c>
      <x:c r="D409" s="19" t="str">
        <x:v>Jul 2026</x:v>
      </x:c>
      <x:c r="E409" s="19" t="n">
        <x:v>66</x:v>
      </x:c>
      <x:c r="F409" s="19" t="str">
        <x:v>app.pixelplusapp.com</x:v>
      </x:c>
      <x:c r="G409" s="19" t="str">
        <x:v>Unknown</x:v>
      </x:c>
      <x:c r="H409" s="19" t="str">
        <x:v>其他/待核查</x:v>
      </x:c>
      <x:c r="I409" s="19" t="str">
        <x:v>Similarweb 未分类</x:v>
      </x:c>
      <x:c r="J409" s="19"/>
      <x:c r="K409" s="20" t="n">
        <x:v>0.0031</x:v>
      </x:c>
      <x:c r="L409" s="19" t="str">
        <x:v>新出现</x:v>
      </x:c>
      <x:c r="M409" s="20"/>
      <x:c r="N409" s="21" t="n">
        <x:v>157018</x:v>
      </x:c>
      <x:c r="O409" s="21" t="n">
        <x:v>487</x:v>
      </x:c>
      <x:c r="P409" s="21" t="n">
        <x:f>ROUND(N409*K409,0)</x:f>
        <x:v>487</x:v>
      </x:c>
      <x:c r="Q409" s="19" t="str">
        <x:v>否</x:v>
      </x:c>
      <x:c r="R409" s="19" t="str"/>
      <x:c r="S409" s="19" t="n">
        <x:f>IF(Q409="是",0,MIN(10,2+IF(C409="高",2,1)+IF(K409&gt;=3%,3,IF(K409&gt;=1%,2,1))+IF(L409="新出现",2,IF(M409&gt;=100%,3,IF(M409&gt;0,2,0)))))</x:f>
        <x:v>6</x:v>
      </x:c>
      <x:c r="T409" s="21"/>
      <x:c r="U409" s="20"/>
      <x:c r="V409" s="19" t="str">
        <x:v>http://app.pixelplusapp.com/</x:v>
      </x:c>
      <x:c r="W409" s="19" t="str">
        <x:v>https://pro.similarweb.com/#/digitalsuite/websiteanalysis/referrals/*/999/1m?webSource=Total&amp;selectedTab=incomingTraffic&amp;key=polar.sh</x:v>
      </x:c>
      <x:c r="X409" s="20" t="n">
        <x:f>IF(Q409="是",0,IFERROR(P409/SUMIFS($P$2:$P$964,$A$2:$A$964,A409,$Q$2:$Q$964,"否"),0))</x:f>
        <x:v>0.005035881951481811</x:v>
      </x:c>
      <x:c r="Y409" s="22" t="str">
        <x:f>IF(OR(M409="",U409=""),"未交叉",IF(M409*U409&gt;0,"同向",IF(M409*U409&lt;0,"背离","一侧持平")))</x:f>
        <x:v>未交叉</x:v>
      </x:c>
    </x:row>
    <x:row r="410">
      <x:c r="A410" s="18" t="str">
        <x:v>polar.sh</x:v>
      </x:c>
      <x:c r="B410" s="19" t="str">
        <x:v>支付商主域（混合流量）</x:v>
      </x:c>
      <x:c r="C410" s="19" t="str">
        <x:v>中</x:v>
      </x:c>
      <x:c r="D410" s="19" t="str">
        <x:v>Jul 2026</x:v>
      </x:c>
      <x:c r="E410" s="19" t="n">
        <x:v>67</x:v>
      </x:c>
      <x:c r="F410" s="19" t="str">
        <x:v>filternote.com</x:v>
      </x:c>
      <x:c r="G410" s="19" t="str">
        <x:v>Education</x:v>
      </x:c>
      <x:c r="H410" s="19" t="str">
        <x:v>教育、知识与考试服务</x:v>
      </x:c>
      <x:c r="I410" s="19" t="str">
        <x:v>Similarweb 行业映射</x:v>
      </x:c>
      <x:c r="J410" s="19" t="n">
        <x:v>723037</x:v>
      </x:c>
      <x:c r="K410" s="20" t="n">
        <x:v>0.0029</x:v>
      </x:c>
      <x:c r="L410" s="19" t="str">
        <x:v>上升</x:v>
      </x:c>
      <x:c r="M410" s="20" t="n">
        <x:v>1.6802000000000001</x:v>
      </x:c>
      <x:c r="N410" s="21" t="n">
        <x:v>157018</x:v>
      </x:c>
      <x:c r="O410" s="21" t="n">
        <x:v>455</x:v>
      </x:c>
      <x:c r="P410" s="21" t="n">
        <x:f>ROUND(N410*K410,0)</x:f>
        <x:v>455</x:v>
      </x:c>
      <x:c r="Q410" s="19" t="str">
        <x:v>否</x:v>
      </x:c>
      <x:c r="R410" s="19" t="str"/>
      <x:c r="S410" s="19" t="n">
        <x:f>IF(Q410="是",0,MIN(10,2+IF(C410="高",2,1)+IF(K410&gt;=3%,3,IF(K410&gt;=1%,2,1))+IF(L410="新出现",2,IF(M410&gt;=100%,3,IF(M410&gt;0,2,0)))))</x:f>
        <x:v>7</x:v>
      </x:c>
      <x:c r="T410" s="21"/>
      <x:c r="U410" s="20"/>
      <x:c r="V410" s="19" t="str">
        <x:v>http://filternote.com/</x:v>
      </x:c>
      <x:c r="W410" s="19" t="str">
        <x:v>https://pro.similarweb.com/#/digitalsuite/websiteanalysis/referrals/*/999/1m?webSource=Total&amp;selectedTab=incomingTraffic&amp;key=polar.sh</x:v>
      </x:c>
      <x:c r="X410" s="20" t="n">
        <x:f>IF(Q410="是",0,IFERROR(P410/SUMIFS($P$2:$P$964,$A$2:$A$964,A410,$Q$2:$Q$964,"否"),0))</x:f>
        <x:v>0.0047049821107273595</x:v>
      </x:c>
      <x:c r="Y410" s="22" t="str">
        <x:f>IF(OR(M410="",U410=""),"未交叉",IF(M410*U410&gt;0,"同向",IF(M410*U410&lt;0,"背离","一侧持平")))</x:f>
        <x:v>未交叉</x:v>
      </x:c>
    </x:row>
    <x:row r="411">
      <x:c r="A411" s="18" t="str">
        <x:v>polar.sh</x:v>
      </x:c>
      <x:c r="B411" s="19" t="str">
        <x:v>支付商主域（混合流量）</x:v>
      </x:c>
      <x:c r="C411" s="19" t="str">
        <x:v>中</x:v>
      </x:c>
      <x:c r="D411" s="19" t="str">
        <x:v>Jul 2026</x:v>
      </x:c>
      <x:c r="E411" s="19" t="n">
        <x:v>68</x:v>
      </x:c>
      <x:c r="F411" s="19" t="str">
        <x:v>unfake.pro</x:v>
      </x:c>
      <x:c r="G411" s="19" t="str">
        <x:v>Unknown</x:v>
      </x:c>
      <x:c r="H411" s="19" t="str">
        <x:v>其他/待核查</x:v>
      </x:c>
      <x:c r="I411" s="19" t="str">
        <x:v>Similarweb 未分类</x:v>
      </x:c>
      <x:c r="J411" s="19" t="n">
        <x:v>13935272</x:v>
      </x:c>
      <x:c r="K411" s="20" t="n">
        <x:v>0.0029</x:v>
      </x:c>
      <x:c r="L411" s="19" t="str">
        <x:v>上升</x:v>
      </x:c>
      <x:c r="M411" s="20" t="n">
        <x:v>2.7769</x:v>
      </x:c>
      <x:c r="N411" s="21" t="n">
        <x:v>157018</x:v>
      </x:c>
      <x:c r="O411" s="21" t="n">
        <x:v>455</x:v>
      </x:c>
      <x:c r="P411" s="21" t="n">
        <x:f>ROUND(N411*K411,0)</x:f>
        <x:v>455</x:v>
      </x:c>
      <x:c r="Q411" s="19" t="str">
        <x:v>否</x:v>
      </x:c>
      <x:c r="R411" s="19" t="str"/>
      <x:c r="S411" s="19" t="n">
        <x:f>IF(Q411="是",0,MIN(10,2+IF(C411="高",2,1)+IF(K411&gt;=3%,3,IF(K411&gt;=1%,2,1))+IF(L411="新出现",2,IF(M411&gt;=100%,3,IF(M411&gt;0,2,0)))))</x:f>
        <x:v>7</x:v>
      </x:c>
      <x:c r="T411" s="21"/>
      <x:c r="U411" s="20"/>
      <x:c r="V411" s="19" t="str">
        <x:v>http://unfake.pro/</x:v>
      </x:c>
      <x:c r="W411" s="19" t="str">
        <x:v>https://pro.similarweb.com/#/digitalsuite/websiteanalysis/referrals/*/999/1m?webSource=Total&amp;selectedTab=incomingTraffic&amp;key=polar.sh</x:v>
      </x:c>
      <x:c r="X411" s="20" t="n">
        <x:f>IF(Q411="是",0,IFERROR(P411/SUMIFS($P$2:$P$964,$A$2:$A$964,A411,$Q$2:$Q$964,"否"),0))</x:f>
        <x:v>0.0047049821107273595</x:v>
      </x:c>
      <x:c r="Y411" s="22" t="str">
        <x:f>IF(OR(M411="",U411=""),"未交叉",IF(M411*U411&gt;0,"同向",IF(M411*U411&lt;0,"背离","一侧持平")))</x:f>
        <x:v>未交叉</x:v>
      </x:c>
    </x:row>
    <x:row r="412">
      <x:c r="A412" s="18" t="str">
        <x:v>polar.sh</x:v>
      </x:c>
      <x:c r="B412" s="19" t="str">
        <x:v>支付商主域（混合流量）</x:v>
      </x:c>
      <x:c r="C412" s="19" t="str">
        <x:v>中</x:v>
      </x:c>
      <x:c r="D412" s="19" t="str">
        <x:v>Jul 2026</x:v>
      </x:c>
      <x:c r="E412" s="19" t="n">
        <x:v>69</x:v>
      </x:c>
      <x:c r="F412" s="19" t="str">
        <x:v>oakgen.ai</x:v>
      </x:c>
      <x:c r="G412" s="19" t="str">
        <x:v>Unknown</x:v>
      </x:c>
      <x:c r="H412" s="19" t="str">
        <x:v>AI 工具与应用（未细分）</x:v>
      </x:c>
      <x:c r="I412" s="19" t="str">
        <x:v>域名后缀启发式</x:v>
      </x:c>
      <x:c r="J412" s="19" t="n">
        <x:v>1562144</x:v>
      </x:c>
      <x:c r="K412" s="20" t="n">
        <x:v>0.0028000000000000004</x:v>
      </x:c>
      <x:c r="L412" s="19" t="str">
        <x:v>新出现</x:v>
      </x:c>
      <x:c r="M412" s="20"/>
      <x:c r="N412" s="21" t="n">
        <x:v>157018</x:v>
      </x:c>
      <x:c r="O412" s="21" t="n">
        <x:v>440</x:v>
      </x:c>
      <x:c r="P412" s="21" t="n">
        <x:f>ROUND(N412*K412,0)</x:f>
        <x:v>440</x:v>
      </x:c>
      <x:c r="Q412" s="19" t="str">
        <x:v>否</x:v>
      </x:c>
      <x:c r="R412" s="19" t="str"/>
      <x:c r="S412" s="19" t="n">
        <x:f>IF(Q412="是",0,MIN(10,2+IF(C412="高",2,1)+IF(K412&gt;=3%,3,IF(K412&gt;=1%,2,1))+IF(L412="新出现",2,IF(M412&gt;=100%,3,IF(M412&gt;0,2,0)))))</x:f>
        <x:v>6</x:v>
      </x:c>
      <x:c r="T412" s="21"/>
      <x:c r="U412" s="20"/>
      <x:c r="V412" s="19" t="str">
        <x:v>http://oakgen.ai/</x:v>
      </x:c>
      <x:c r="W412" s="19" t="str">
        <x:v>https://pro.similarweb.com/#/digitalsuite/websiteanalysis/referrals/*/999/1m?webSource=Total&amp;selectedTab=incomingTraffic&amp;key=polar.sh</x:v>
      </x:c>
      <x:c r="X412" s="20" t="n">
        <x:f>IF(Q412="是",0,IFERROR(P412/SUMIFS($P$2:$P$964,$A$2:$A$964,A412,$Q$2:$Q$964,"否"),0))</x:f>
        <x:v>0.00454987281037371</x:v>
      </x:c>
      <x:c r="Y412" s="22" t="str">
        <x:f>IF(OR(M412="",U412=""),"未交叉",IF(M412*U412&gt;0,"同向",IF(M412*U412&lt;0,"背离","一侧持平")))</x:f>
        <x:v>未交叉</x:v>
      </x:c>
    </x:row>
    <x:row r="413">
      <x:c r="A413" s="18" t="str">
        <x:v>polar.sh</x:v>
      </x:c>
      <x:c r="B413" s="19" t="str">
        <x:v>支付商主域（混合流量）</x:v>
      </x:c>
      <x:c r="C413" s="19" t="str">
        <x:v>中</x:v>
      </x:c>
      <x:c r="D413" s="19" t="str">
        <x:v>Jul 2026</x:v>
      </x:c>
      <x:c r="E413" s="19" t="n">
        <x:v>70</x:v>
      </x:c>
      <x:c r="F413" s="19" t="str">
        <x:v>web.app</x:v>
      </x:c>
      <x:c r="G413" s="19" t="str">
        <x:v>Programming and Developer Software</x:v>
      </x:c>
      <x:c r="H413" s="19" t="str">
        <x:v>开发者工具与互联网基础设施</x:v>
      </x:c>
      <x:c r="I413" s="19" t="str">
        <x:v>Similarweb 行业映射</x:v>
      </x:c>
      <x:c r="J413" s="19" t="n">
        <x:v>1506</x:v>
      </x:c>
      <x:c r="K413" s="20" t="n">
        <x:v>0.0028000000000000004</x:v>
      </x:c>
      <x:c r="L413" s="19" t="str">
        <x:v>上升</x:v>
      </x:c>
      <x:c r="M413" s="20" t="n">
        <x:v>2.9610000000000003</x:v>
      </x:c>
      <x:c r="N413" s="21" t="n">
        <x:v>157018</x:v>
      </x:c>
      <x:c r="O413" s="21" t="n">
        <x:v>440</x:v>
      </x:c>
      <x:c r="P413" s="21" t="n">
        <x:f>ROUND(N413*K413,0)</x:f>
        <x:v>440</x:v>
      </x:c>
      <x:c r="Q413" s="19" t="str">
        <x:v>否</x:v>
      </x:c>
      <x:c r="R413" s="19" t="str"/>
      <x:c r="S413" s="19" t="n">
        <x:f>IF(Q413="是",0,MIN(10,2+IF(C413="高",2,1)+IF(K413&gt;=3%,3,IF(K413&gt;=1%,2,1))+IF(L413="新出现",2,IF(M413&gt;=100%,3,IF(M413&gt;0,2,0)))))</x:f>
        <x:v>7</x:v>
      </x:c>
      <x:c r="T413" s="21"/>
      <x:c r="U413" s="20"/>
      <x:c r="V413" s="19" t="str">
        <x:v>http://web.app/</x:v>
      </x:c>
      <x:c r="W413" s="19" t="str">
        <x:v>https://pro.similarweb.com/#/digitalsuite/websiteanalysis/referrals/*/999/1m?webSource=Total&amp;selectedTab=incomingTraffic&amp;key=polar.sh</x:v>
      </x:c>
      <x:c r="X413" s="20" t="n">
        <x:f>IF(Q413="是",0,IFERROR(P413/SUMIFS($P$2:$P$964,$A$2:$A$964,A413,$Q$2:$Q$964,"否"),0))</x:f>
        <x:v>0.00454987281037371</x:v>
      </x:c>
      <x:c r="Y413" s="22" t="str">
        <x:f>IF(OR(M413="",U413=""),"未交叉",IF(M413*U413&gt;0,"同向",IF(M413*U413&lt;0,"背离","一侧持平")))</x:f>
        <x:v>未交叉</x:v>
      </x:c>
    </x:row>
    <x:row r="414">
      <x:c r="A414" s="18" t="str">
        <x:v>polar.sh</x:v>
      </x:c>
      <x:c r="B414" s="19" t="str">
        <x:v>支付商主域（混合流量）</x:v>
      </x:c>
      <x:c r="C414" s="19" t="str">
        <x:v>中</x:v>
      </x:c>
      <x:c r="D414" s="19" t="str">
        <x:v>Jul 2026</x:v>
      </x:c>
      <x:c r="E414" s="19" t="n">
        <x:v>71</x:v>
      </x:c>
      <x:c r="F414" s="19" t="str">
        <x:v>draftpile.com</x:v>
      </x:c>
      <x:c r="G414" s="19" t="str">
        <x:v>Unknown</x:v>
      </x:c>
      <x:c r="H414" s="19" t="str">
        <x:v>其他/待核查</x:v>
      </x:c>
      <x:c r="I414" s="19" t="str">
        <x:v>Similarweb 未分类</x:v>
      </x:c>
      <x:c r="J414" s="19"/>
      <x:c r="K414" s="20" t="n">
        <x:v>0.0027</x:v>
      </x:c>
      <x:c r="L414" s="19" t="str">
        <x:v>上升</x:v>
      </x:c>
      <x:c r="M414" s="20" t="n">
        <x:v>0.08410000000000001</x:v>
      </x:c>
      <x:c r="N414" s="21" t="n">
        <x:v>157018</x:v>
      </x:c>
      <x:c r="O414" s="21" t="n">
        <x:v>424</x:v>
      </x:c>
      <x:c r="P414" s="21" t="n">
        <x:f>ROUND(N414*K414,0)</x:f>
        <x:v>424</x:v>
      </x:c>
      <x:c r="Q414" s="19" t="str">
        <x:v>否</x:v>
      </x:c>
      <x:c r="R414" s="19" t="str"/>
      <x:c r="S414" s="19" t="n">
        <x:f>IF(Q414="是",0,MIN(10,2+IF(C414="高",2,1)+IF(K414&gt;=3%,3,IF(K414&gt;=1%,2,1))+IF(L414="新出现",2,IF(M414&gt;=100%,3,IF(M414&gt;0,2,0)))))</x:f>
        <x:v>6</x:v>
      </x:c>
      <x:c r="T414" s="21"/>
      <x:c r="U414" s="20"/>
      <x:c r="V414" s="19" t="str">
        <x:v>http://draftpile.com/</x:v>
      </x:c>
      <x:c r="W414" s="19" t="str">
        <x:v>https://pro.similarweb.com/#/digitalsuite/websiteanalysis/referrals/*/999/1m?webSource=Total&amp;selectedTab=incomingTraffic&amp;key=polar.sh</x:v>
      </x:c>
      <x:c r="X414" s="20" t="n">
        <x:f>IF(Q414="是",0,IFERROR(P414/SUMIFS($P$2:$P$964,$A$2:$A$964,A414,$Q$2:$Q$964,"否"),0))</x:f>
        <x:v>0.004384422889996484</x:v>
      </x:c>
      <x:c r="Y414" s="22" t="str">
        <x:f>IF(OR(M414="",U414=""),"未交叉",IF(M414*U414&gt;0,"同向",IF(M414*U414&lt;0,"背离","一侧持平")))</x:f>
        <x:v>未交叉</x:v>
      </x:c>
    </x:row>
    <x:row r="415">
      <x:c r="A415" s="18" t="str">
        <x:v>polar.sh</x:v>
      </x:c>
      <x:c r="B415" s="19" t="str">
        <x:v>支付商主域（混合流量）</x:v>
      </x:c>
      <x:c r="C415" s="19" t="str">
        <x:v>中</x:v>
      </x:c>
      <x:c r="D415" s="19" t="str">
        <x:v>Jul 2026</x:v>
      </x:c>
      <x:c r="E415" s="19" t="n">
        <x:v>72</x:v>
      </x:c>
      <x:c r="F415" s="19" t="str">
        <x:v>llc.lightning.force.com</x:v>
      </x:c>
      <x:c r="G415" s="19" t="str">
        <x:v>Unknown</x:v>
      </x:c>
      <x:c r="H415" s="19" t="str">
        <x:v>其他/待核查</x:v>
      </x:c>
      <x:c r="I415" s="19" t="str">
        <x:v>Similarweb 未分类</x:v>
      </x:c>
      <x:c r="J415" s="19"/>
      <x:c r="K415" s="20" t="n">
        <x:v>0.0027</x:v>
      </x:c>
      <x:c r="L415" s="19" t="str">
        <x:v>新出现</x:v>
      </x:c>
      <x:c r="M415" s="20"/>
      <x:c r="N415" s="21" t="n">
        <x:v>157018</x:v>
      </x:c>
      <x:c r="O415" s="21" t="n">
        <x:v>424</x:v>
      </x:c>
      <x:c r="P415" s="21" t="n">
        <x:f>ROUND(N415*K415,0)</x:f>
        <x:v>424</x:v>
      </x:c>
      <x:c r="Q415" s="19" t="str">
        <x:v>否</x:v>
      </x:c>
      <x:c r="R415" s="19" t="str"/>
      <x:c r="S415" s="19" t="n">
        <x:f>IF(Q415="是",0,MIN(10,2+IF(C415="高",2,1)+IF(K415&gt;=3%,3,IF(K415&gt;=1%,2,1))+IF(L415="新出现",2,IF(M415&gt;=100%,3,IF(M415&gt;0,2,0)))))</x:f>
        <x:v>6</x:v>
      </x:c>
      <x:c r="T415" s="21"/>
      <x:c r="U415" s="20"/>
      <x:c r="V415" s="19" t="str">
        <x:v>http://llc.lightning.force.com/</x:v>
      </x:c>
      <x:c r="W415" s="19" t="str">
        <x:v>https://pro.similarweb.com/#/digitalsuite/websiteanalysis/referrals/*/999/1m?webSource=Total&amp;selectedTab=incomingTraffic&amp;key=polar.sh</x:v>
      </x:c>
      <x:c r="X415" s="20" t="n">
        <x:f>IF(Q415="是",0,IFERROR(P415/SUMIFS($P$2:$P$964,$A$2:$A$964,A415,$Q$2:$Q$964,"否"),0))</x:f>
        <x:v>0.004384422889996484</x:v>
      </x:c>
      <x:c r="Y415" s="22" t="str">
        <x:f>IF(OR(M415="",U415=""),"未交叉",IF(M415*U415&gt;0,"同向",IF(M415*U415&lt;0,"背离","一侧持平")))</x:f>
        <x:v>未交叉</x:v>
      </x:c>
    </x:row>
    <x:row r="416">
      <x:c r="A416" s="18" t="str">
        <x:v>polar.sh</x:v>
      </x:c>
      <x:c r="B416" s="19" t="str">
        <x:v>支付商主域（混合流量）</x:v>
      </x:c>
      <x:c r="C416" s="19" t="str">
        <x:v>中</x:v>
      </x:c>
      <x:c r="D416" s="19" t="str">
        <x:v>Jul 2026</x:v>
      </x:c>
      <x:c r="E416" s="19" t="n">
        <x:v>73</x:v>
      </x:c>
      <x:c r="F416" s="19" t="str">
        <x:v>openresearch.sh</x:v>
      </x:c>
      <x:c r="G416" s="19" t="str">
        <x:v>Unknown</x:v>
      </x:c>
      <x:c r="H416" s="19" t="str">
        <x:v>其他/待核查</x:v>
      </x:c>
      <x:c r="I416" s="19" t="str">
        <x:v>Similarweb 未分类</x:v>
      </x:c>
      <x:c r="J416" s="19" t="n">
        <x:v>667031</x:v>
      </x:c>
      <x:c r="K416" s="20" t="n">
        <x:v>0.0026</x:v>
      </x:c>
      <x:c r="L416" s="19" t="str">
        <x:v>下降</x:v>
      </x:c>
      <x:c r="M416" s="20" t="n">
        <x:v>-0.6906</x:v>
      </x:c>
      <x:c r="N416" s="21" t="n">
        <x:v>157018</x:v>
      </x:c>
      <x:c r="O416" s="21" t="n">
        <x:v>408</x:v>
      </x:c>
      <x:c r="P416" s="21" t="n">
        <x:f>ROUND(N416*K416,0)</x:f>
        <x:v>408</x:v>
      </x:c>
      <x:c r="Q416" s="19" t="str">
        <x:v>否</x:v>
      </x:c>
      <x:c r="R416" s="19" t="str"/>
      <x:c r="S416" s="19" t="n">
        <x:f>IF(Q416="是",0,MIN(10,2+IF(C416="高",2,1)+IF(K416&gt;=3%,3,IF(K416&gt;=1%,2,1))+IF(L416="新出现",2,IF(M416&gt;=100%,3,IF(M416&gt;0,2,0)))))</x:f>
        <x:v>4</x:v>
      </x:c>
      <x:c r="T416" s="21"/>
      <x:c r="U416" s="20"/>
      <x:c r="V416" s="19" t="str">
        <x:v>http://openresearch.sh/</x:v>
      </x:c>
      <x:c r="W416" s="19" t="str">
        <x:v>https://pro.similarweb.com/#/digitalsuite/websiteanalysis/referrals/*/999/1m?webSource=Total&amp;selectedTab=incomingTraffic&amp;key=polar.sh</x:v>
      </x:c>
      <x:c r="X416" s="20" t="n">
        <x:f>IF(Q416="是",0,IFERROR(P416/SUMIFS($P$2:$P$964,$A$2:$A$964,A416,$Q$2:$Q$964,"否"),0))</x:f>
        <x:v>0.004218972969619259</x:v>
      </x:c>
      <x:c r="Y416" s="22" t="str">
        <x:f>IF(OR(M416="",U416=""),"未交叉",IF(M416*U416&gt;0,"同向",IF(M416*U416&lt;0,"背离","一侧持平")))</x:f>
        <x:v>未交叉</x:v>
      </x:c>
    </x:row>
    <x:row r="417">
      <x:c r="A417" s="18" t="str">
        <x:v>polar.sh</x:v>
      </x:c>
      <x:c r="B417" s="19" t="str">
        <x:v>支付商主域（混合流量）</x:v>
      </x:c>
      <x:c r="C417" s="19" t="str">
        <x:v>中</x:v>
      </x:c>
      <x:c r="D417" s="19" t="str">
        <x:v>Jul 2026</x:v>
      </x:c>
      <x:c r="E417" s="19" t="n">
        <x:v>74</x:v>
      </x:c>
      <x:c r="F417" s="19" t="str">
        <x:v>gentletext.com</x:v>
      </x:c>
      <x:c r="G417" s="19" t="str">
        <x:v>Unknown</x:v>
      </x:c>
      <x:c r="H417" s="19" t="str">
        <x:v>其他/待核查</x:v>
      </x:c>
      <x:c r="I417" s="19" t="str">
        <x:v>Similarweb 未分类</x:v>
      </x:c>
      <x:c r="J417" s="19" t="n">
        <x:v>799175</x:v>
      </x:c>
      <x:c r="K417" s="20" t="n">
        <x:v>0.0026</x:v>
      </x:c>
      <x:c r="L417" s="19" t="str">
        <x:v>下降</x:v>
      </x:c>
      <x:c r="M417" s="20" t="n">
        <x:v>-0.1812</x:v>
      </x:c>
      <x:c r="N417" s="21" t="n">
        <x:v>157018</x:v>
      </x:c>
      <x:c r="O417" s="21" t="n">
        <x:v>408</x:v>
      </x:c>
      <x:c r="P417" s="21" t="n">
        <x:f>ROUND(N417*K417,0)</x:f>
        <x:v>408</x:v>
      </x:c>
      <x:c r="Q417" s="19" t="str">
        <x:v>否</x:v>
      </x:c>
      <x:c r="R417" s="19" t="str"/>
      <x:c r="S417" s="19" t="n">
        <x:f>IF(Q417="是",0,MIN(10,2+IF(C417="高",2,1)+IF(K417&gt;=3%,3,IF(K417&gt;=1%,2,1))+IF(L417="新出现",2,IF(M417&gt;=100%,3,IF(M417&gt;0,2,0)))))</x:f>
        <x:v>4</x:v>
      </x:c>
      <x:c r="T417" s="21"/>
      <x:c r="U417" s="20"/>
      <x:c r="V417" s="19" t="str">
        <x:v>http://gentletext.com/</x:v>
      </x:c>
      <x:c r="W417" s="19" t="str">
        <x:v>https://pro.similarweb.com/#/digitalsuite/websiteanalysis/referrals/*/999/1m?webSource=Total&amp;selectedTab=incomingTraffic&amp;key=polar.sh</x:v>
      </x:c>
      <x:c r="X417" s="20" t="n">
        <x:f>IF(Q417="是",0,IFERROR(P417/SUMIFS($P$2:$P$964,$A$2:$A$964,A417,$Q$2:$Q$964,"否"),0))</x:f>
        <x:v>0.004218972969619259</x:v>
      </x:c>
      <x:c r="Y417" s="22" t="str">
        <x:f>IF(OR(M417="",U417=""),"未交叉",IF(M417*U417&gt;0,"同向",IF(M417*U417&lt;0,"背离","一侧持平")))</x:f>
        <x:v>未交叉</x:v>
      </x:c>
    </x:row>
    <x:row r="418">
      <x:c r="A418" s="18" t="str">
        <x:v>polar.sh</x:v>
      </x:c>
      <x:c r="B418" s="19" t="str">
        <x:v>支付商主域（混合流量）</x:v>
      </x:c>
      <x:c r="C418" s="19" t="str">
        <x:v>中</x:v>
      </x:c>
      <x:c r="D418" s="19" t="str">
        <x:v>Jul 2026</x:v>
      </x:c>
      <x:c r="E418" s="19" t="n">
        <x:v>75</x:v>
      </x:c>
      <x:c r="F418" s="19" t="str">
        <x:v>web.instaspace.ai</x:v>
      </x:c>
      <x:c r="G418" s="19" t="str">
        <x:v>Unknown</x:v>
      </x:c>
      <x:c r="H418" s="19" t="str">
        <x:v>AI 工具与应用（未细分）</x:v>
      </x:c>
      <x:c r="I418" s="19" t="str">
        <x:v>域名后缀启发式</x:v>
      </x:c>
      <x:c r="J418" s="19"/>
      <x:c r="K418" s="20" t="n">
        <x:v>0.0026</x:v>
      </x:c>
      <x:c r="L418" s="19" t="str">
        <x:v>新出现</x:v>
      </x:c>
      <x:c r="M418" s="20"/>
      <x:c r="N418" s="21" t="n">
        <x:v>157018</x:v>
      </x:c>
      <x:c r="O418" s="21" t="n">
        <x:v>408</x:v>
      </x:c>
      <x:c r="P418" s="21" t="n">
        <x:f>ROUND(N418*K418,0)</x:f>
        <x:v>408</x:v>
      </x:c>
      <x:c r="Q418" s="19" t="str">
        <x:v>否</x:v>
      </x:c>
      <x:c r="R418" s="19" t="str"/>
      <x:c r="S418" s="19" t="n">
        <x:f>IF(Q418="是",0,MIN(10,2+IF(C418="高",2,1)+IF(K418&gt;=3%,3,IF(K418&gt;=1%,2,1))+IF(L418="新出现",2,IF(M418&gt;=100%,3,IF(M418&gt;0,2,0)))))</x:f>
        <x:v>6</x:v>
      </x:c>
      <x:c r="T418" s="21"/>
      <x:c r="U418" s="20"/>
      <x:c r="V418" s="19" t="str">
        <x:v>http://web.instaspace.ai/</x:v>
      </x:c>
      <x:c r="W418" s="19" t="str">
        <x:v>https://pro.similarweb.com/#/digitalsuite/websiteanalysis/referrals/*/999/1m?webSource=Total&amp;selectedTab=incomingTraffic&amp;key=polar.sh</x:v>
      </x:c>
      <x:c r="X418" s="20" t="n">
        <x:f>IF(Q418="是",0,IFERROR(P418/SUMIFS($P$2:$P$964,$A$2:$A$964,A418,$Q$2:$Q$964,"否"),0))</x:f>
        <x:v>0.004218972969619259</x:v>
      </x:c>
      <x:c r="Y418" s="22" t="str">
        <x:f>IF(OR(M418="",U418=""),"未交叉",IF(M418*U418&gt;0,"同向",IF(M418*U418&lt;0,"背离","一侧持平")))</x:f>
        <x:v>未交叉</x:v>
      </x:c>
    </x:row>
    <x:row r="419">
      <x:c r="A419" s="18" t="str">
        <x:v>polar.sh</x:v>
      </x:c>
      <x:c r="B419" s="19" t="str">
        <x:v>支付商主域（混合流量）</x:v>
      </x:c>
      <x:c r="C419" s="19" t="str">
        <x:v>中</x:v>
      </x:c>
      <x:c r="D419" s="19" t="str">
        <x:v>Jul 2026</x:v>
      </x:c>
      <x:c r="E419" s="19" t="n">
        <x:v>76</x:v>
      </x:c>
      <x:c r="F419" s="19" t="str">
        <x:v>arabyvoice.com</x:v>
      </x:c>
      <x:c r="G419" s="19" t="str">
        <x:v>Unknown</x:v>
      </x:c>
      <x:c r="H419" s="19" t="str">
        <x:v>其他/待核查</x:v>
      </x:c>
      <x:c r="I419" s="19" t="str">
        <x:v>Similarweb 未分类</x:v>
      </x:c>
      <x:c r="J419" s="19" t="n">
        <x:v>5645273</x:v>
      </x:c>
      <x:c r="K419" s="20" t="n">
        <x:v>0.0025</x:v>
      </x:c>
      <x:c r="L419" s="19" t="str">
        <x:v>上升</x:v>
      </x:c>
      <x:c r="M419" s="20" t="n">
        <x:v>6.049600000000001</x:v>
      </x:c>
      <x:c r="N419" s="21" t="n">
        <x:v>157018</x:v>
      </x:c>
      <x:c r="O419" s="21" t="n">
        <x:v>393</x:v>
      </x:c>
      <x:c r="P419" s="21" t="n">
        <x:f>ROUND(N419*K419,0)</x:f>
        <x:v>393</x:v>
      </x:c>
      <x:c r="Q419" s="19" t="str">
        <x:v>否</x:v>
      </x:c>
      <x:c r="R419" s="19" t="str"/>
      <x:c r="S419" s="19" t="n">
        <x:f>IF(Q419="是",0,MIN(10,2+IF(C419="高",2,1)+IF(K419&gt;=3%,3,IF(K419&gt;=1%,2,1))+IF(L419="新出现",2,IF(M419&gt;=100%,3,IF(M419&gt;0,2,0)))))</x:f>
        <x:v>7</x:v>
      </x:c>
      <x:c r="T419" s="21"/>
      <x:c r="U419" s="20"/>
      <x:c r="V419" s="19" t="str">
        <x:v>http://arabyvoice.com/</x:v>
      </x:c>
      <x:c r="W419" s="19" t="str">
        <x:v>https://pro.similarweb.com/#/digitalsuite/websiteanalysis/referrals/*/999/1m?webSource=Total&amp;selectedTab=incomingTraffic&amp;key=polar.sh</x:v>
      </x:c>
      <x:c r="X419" s="20" t="n">
        <x:f>IF(Q419="是",0,IFERROR(P419/SUMIFS($P$2:$P$964,$A$2:$A$964,A419,$Q$2:$Q$964,"否"),0))</x:f>
        <x:v>0.004063863669265609</x:v>
      </x:c>
      <x:c r="Y419" s="22" t="str">
        <x:f>IF(OR(M419="",U419=""),"未交叉",IF(M419*U419&gt;0,"同向",IF(M419*U419&lt;0,"背离","一侧持平")))</x:f>
        <x:v>未交叉</x:v>
      </x:c>
    </x:row>
    <x:row r="420">
      <x:c r="A420" s="18" t="str">
        <x:v>polar.sh</x:v>
      </x:c>
      <x:c r="B420" s="19" t="str">
        <x:v>支付商主域（混合流量）</x:v>
      </x:c>
      <x:c r="C420" s="19" t="str">
        <x:v>中</x:v>
      </x:c>
      <x:c r="D420" s="19" t="str">
        <x:v>Jul 2026</x:v>
      </x:c>
      <x:c r="E420" s="19" t="n">
        <x:v>77</x:v>
      </x:c>
      <x:c r="F420" s="19" t="str">
        <x:v>uizze.com</x:v>
      </x:c>
      <x:c r="G420" s="19" t="str">
        <x:v>Unknown</x:v>
      </x:c>
      <x:c r="H420" s="19" t="str">
        <x:v>其他/待核查</x:v>
      </x:c>
      <x:c r="I420" s="19" t="str">
        <x:v>Similarweb 未分类</x:v>
      </x:c>
      <x:c r="J420" s="19"/>
      <x:c r="K420" s="20" t="n">
        <x:v>0.0025</x:v>
      </x:c>
      <x:c r="L420" s="19" t="str">
        <x:v>新出现</x:v>
      </x:c>
      <x:c r="M420" s="20"/>
      <x:c r="N420" s="21" t="n">
        <x:v>157018</x:v>
      </x:c>
      <x:c r="O420" s="21" t="n">
        <x:v>393</x:v>
      </x:c>
      <x:c r="P420" s="21" t="n">
        <x:f>ROUND(N420*K420,0)</x:f>
        <x:v>393</x:v>
      </x:c>
      <x:c r="Q420" s="19" t="str">
        <x:v>否</x:v>
      </x:c>
      <x:c r="R420" s="19" t="str"/>
      <x:c r="S420" s="19" t="n">
        <x:f>IF(Q420="是",0,MIN(10,2+IF(C420="高",2,1)+IF(K420&gt;=3%,3,IF(K420&gt;=1%,2,1))+IF(L420="新出现",2,IF(M420&gt;=100%,3,IF(M420&gt;0,2,0)))))</x:f>
        <x:v>6</x:v>
      </x:c>
      <x:c r="T420" s="21"/>
      <x:c r="U420" s="20"/>
      <x:c r="V420" s="19" t="str">
        <x:v>http://uizze.com/</x:v>
      </x:c>
      <x:c r="W420" s="19" t="str">
        <x:v>https://pro.similarweb.com/#/digitalsuite/websiteanalysis/referrals/*/999/1m?webSource=Total&amp;selectedTab=incomingTraffic&amp;key=polar.sh</x:v>
      </x:c>
      <x:c r="X420" s="20" t="n">
        <x:f>IF(Q420="是",0,IFERROR(P420/SUMIFS($P$2:$P$964,$A$2:$A$964,A420,$Q$2:$Q$964,"否"),0))</x:f>
        <x:v>0.004063863669265609</x:v>
      </x:c>
      <x:c r="Y420" s="22" t="str">
        <x:f>IF(OR(M420="",U420=""),"未交叉",IF(M420*U420&gt;0,"同向",IF(M420*U420&lt;0,"背离","一侧持平")))</x:f>
        <x:v>未交叉</x:v>
      </x:c>
    </x:row>
    <x:row r="421">
      <x:c r="A421" s="18" t="str">
        <x:v>polar.sh</x:v>
      </x:c>
      <x:c r="B421" s="19" t="str">
        <x:v>支付商主域（混合流量）</x:v>
      </x:c>
      <x:c r="C421" s="19" t="str">
        <x:v>中</x:v>
      </x:c>
      <x:c r="D421" s="19" t="str">
        <x:v>Jul 2026</x:v>
      </x:c>
      <x:c r="E421" s="19" t="n">
        <x:v>78</x:v>
      </x:c>
      <x:c r="F421" s="19" t="str">
        <x:v>versaiq.xyz</x:v>
      </x:c>
      <x:c r="G421" s="19" t="str">
        <x:v>Unknown</x:v>
      </x:c>
      <x:c r="H421" s="19" t="str">
        <x:v>其他/待核查</x:v>
      </x:c>
      <x:c r="I421" s="19" t="str">
        <x:v>Similarweb 未分类</x:v>
      </x:c>
      <x:c r="J421" s="19" t="n">
        <x:v>1953316</x:v>
      </x:c>
      <x:c r="K421" s="20" t="n">
        <x:v>0.0024</x:v>
      </x:c>
      <x:c r="L421" s="19" t="str">
        <x:v>新出现</x:v>
      </x:c>
      <x:c r="M421" s="20"/>
      <x:c r="N421" s="21" t="n">
        <x:v>157018</x:v>
      </x:c>
      <x:c r="O421" s="21" t="n">
        <x:v>377</x:v>
      </x:c>
      <x:c r="P421" s="21" t="n">
        <x:f>ROUND(N421*K421,0)</x:f>
        <x:v>377</x:v>
      </x:c>
      <x:c r="Q421" s="19" t="str">
        <x:v>否</x:v>
      </x:c>
      <x:c r="R421" s="19" t="str"/>
      <x:c r="S421" s="19" t="n">
        <x:f>IF(Q421="是",0,MIN(10,2+IF(C421="高",2,1)+IF(K421&gt;=3%,3,IF(K421&gt;=1%,2,1))+IF(L421="新出现",2,IF(M421&gt;=100%,3,IF(M421&gt;0,2,0)))))</x:f>
        <x:v>6</x:v>
      </x:c>
      <x:c r="T421" s="21"/>
      <x:c r="U421" s="20"/>
      <x:c r="V421" s="19" t="str">
        <x:v>http://versaiq.xyz/</x:v>
      </x:c>
      <x:c r="W421" s="19" t="str">
        <x:v>https://pro.similarweb.com/#/digitalsuite/websiteanalysis/referrals/*/999/1m?webSource=Total&amp;selectedTab=incomingTraffic&amp;key=polar.sh</x:v>
      </x:c>
      <x:c r="X421" s="20" t="n">
        <x:f>IF(Q421="是",0,IFERROR(P421/SUMIFS($P$2:$P$964,$A$2:$A$964,A421,$Q$2:$Q$964,"否"),0))</x:f>
        <x:v>0.0038984137488883835</x:v>
      </x:c>
      <x:c r="Y421" s="22" t="str">
        <x:f>IF(OR(M421="",U421=""),"未交叉",IF(M421*U421&gt;0,"同向",IF(M421*U421&lt;0,"背离","一侧持平")))</x:f>
        <x:v>未交叉</x:v>
      </x:c>
    </x:row>
    <x:row r="422">
      <x:c r="A422" s="18" t="str">
        <x:v>polar.sh</x:v>
      </x:c>
      <x:c r="B422" s="19" t="str">
        <x:v>支付商主域（混合流量）</x:v>
      </x:c>
      <x:c r="C422" s="19" t="str">
        <x:v>中</x:v>
      </x:c>
      <x:c r="D422" s="19" t="str">
        <x:v>Jul 2026</x:v>
      </x:c>
      <x:c r="E422" s="19" t="n">
        <x:v>79</x:v>
      </x:c>
      <x:c r="F422" s="19" t="str">
        <x:v>greatwooden.com</x:v>
      </x:c>
      <x:c r="G422" s="19" t="str">
        <x:v>Unknown</x:v>
      </x:c>
      <x:c r="H422" s="19" t="str">
        <x:v>其他/待核查</x:v>
      </x:c>
      <x:c r="I422" s="19" t="str">
        <x:v>Similarweb 未分类</x:v>
      </x:c>
      <x:c r="J422" s="19"/>
      <x:c r="K422" s="20" t="n">
        <x:v>0.0024</x:v>
      </x:c>
      <x:c r="L422" s="19" t="str">
        <x:v>新出现</x:v>
      </x:c>
      <x:c r="M422" s="20"/>
      <x:c r="N422" s="21" t="n">
        <x:v>157018</x:v>
      </x:c>
      <x:c r="O422" s="21" t="n">
        <x:v>377</x:v>
      </x:c>
      <x:c r="P422" s="21" t="n">
        <x:f>ROUND(N422*K422,0)</x:f>
        <x:v>377</x:v>
      </x:c>
      <x:c r="Q422" s="19" t="str">
        <x:v>否</x:v>
      </x:c>
      <x:c r="R422" s="19" t="str"/>
      <x:c r="S422" s="19" t="n">
        <x:f>IF(Q422="是",0,MIN(10,2+IF(C422="高",2,1)+IF(K422&gt;=3%,3,IF(K422&gt;=1%,2,1))+IF(L422="新出现",2,IF(M422&gt;=100%,3,IF(M422&gt;0,2,0)))))</x:f>
        <x:v>6</x:v>
      </x:c>
      <x:c r="T422" s="21"/>
      <x:c r="U422" s="20"/>
      <x:c r="V422" s="19" t="str">
        <x:v>http://greatwooden.com/</x:v>
      </x:c>
      <x:c r="W422" s="19" t="str">
        <x:v>https://pro.similarweb.com/#/digitalsuite/websiteanalysis/referrals/*/999/1m?webSource=Total&amp;selectedTab=incomingTraffic&amp;key=polar.sh</x:v>
      </x:c>
      <x:c r="X422" s="20" t="n">
        <x:f>IF(Q422="是",0,IFERROR(P422/SUMIFS($P$2:$P$964,$A$2:$A$964,A422,$Q$2:$Q$964,"否"),0))</x:f>
        <x:v>0.0038984137488883835</x:v>
      </x:c>
      <x:c r="Y422" s="22" t="str">
        <x:f>IF(OR(M422="",U422=""),"未交叉",IF(M422*U422&gt;0,"同向",IF(M422*U422&lt;0,"背离","一侧持平")))</x:f>
        <x:v>未交叉</x:v>
      </x:c>
    </x:row>
    <x:row r="423">
      <x:c r="A423" s="18" t="str">
        <x:v>polar.sh</x:v>
      </x:c>
      <x:c r="B423" s="19" t="str">
        <x:v>支付商主域（混合流量）</x:v>
      </x:c>
      <x:c r="C423" s="19" t="str">
        <x:v>中</x:v>
      </x:c>
      <x:c r="D423" s="19" t="str">
        <x:v>Jul 2026</x:v>
      </x:c>
      <x:c r="E423" s="19" t="n">
        <x:v>80</x:v>
      </x:c>
      <x:c r="F423" s="19" t="str">
        <x:v>app.creativeclaw.co</x:v>
      </x:c>
      <x:c r="G423" s="19" t="str">
        <x:v>Unknown</x:v>
      </x:c>
      <x:c r="H423" s="19" t="str">
        <x:v>其他/待核查</x:v>
      </x:c>
      <x:c r="I423" s="19" t="str">
        <x:v>Similarweb 未分类</x:v>
      </x:c>
      <x:c r="J423" s="19"/>
      <x:c r="K423" s="20" t="n">
        <x:v>0.0024</x:v>
      </x:c>
      <x:c r="L423" s="19" t="str">
        <x:v>新出现</x:v>
      </x:c>
      <x:c r="M423" s="20"/>
      <x:c r="N423" s="21" t="n">
        <x:v>157018</x:v>
      </x:c>
      <x:c r="O423" s="21" t="n">
        <x:v>377</x:v>
      </x:c>
      <x:c r="P423" s="21" t="n">
        <x:f>ROUND(N423*K423,0)</x:f>
        <x:v>377</x:v>
      </x:c>
      <x:c r="Q423" s="19" t="str">
        <x:v>否</x:v>
      </x:c>
      <x:c r="R423" s="19" t="str"/>
      <x:c r="S423" s="19" t="n">
        <x:f>IF(Q423="是",0,MIN(10,2+IF(C423="高",2,1)+IF(K423&gt;=3%,3,IF(K423&gt;=1%,2,1))+IF(L423="新出现",2,IF(M423&gt;=100%,3,IF(M423&gt;0,2,0)))))</x:f>
        <x:v>6</x:v>
      </x:c>
      <x:c r="T423" s="21"/>
      <x:c r="U423" s="20"/>
      <x:c r="V423" s="19" t="str">
        <x:v>http://app.creativeclaw.co/</x:v>
      </x:c>
      <x:c r="W423" s="19" t="str">
        <x:v>https://pro.similarweb.com/#/digitalsuite/websiteanalysis/referrals/*/999/1m?webSource=Total&amp;selectedTab=incomingTraffic&amp;key=polar.sh</x:v>
      </x:c>
      <x:c r="X423" s="20" t="n">
        <x:f>IF(Q423="是",0,IFERROR(P423/SUMIFS($P$2:$P$964,$A$2:$A$964,A423,$Q$2:$Q$964,"否"),0))</x:f>
        <x:v>0.0038984137488883835</x:v>
      </x:c>
      <x:c r="Y423" s="22" t="str">
        <x:f>IF(OR(M423="",U423=""),"未交叉",IF(M423*U423&gt;0,"同向",IF(M423*U423&lt;0,"背离","一侧持平")))</x:f>
        <x:v>未交叉</x:v>
      </x:c>
    </x:row>
    <x:row r="424">
      <x:c r="A424" s="18" t="str">
        <x:v>polar.sh</x:v>
      </x:c>
      <x:c r="B424" s="19" t="str">
        <x:v>支付商主域（混合流量）</x:v>
      </x:c>
      <x:c r="C424" s="19" t="str">
        <x:v>中</x:v>
      </x:c>
      <x:c r="D424" s="19" t="str">
        <x:v>Jul 2026</x:v>
      </x:c>
      <x:c r="E424" s="19" t="n">
        <x:v>81</x:v>
      </x:c>
      <x:c r="F424" s="19" t="str">
        <x:v>tallerio.app</x:v>
      </x:c>
      <x:c r="G424" s="19" t="str">
        <x:v>Unknown</x:v>
      </x:c>
      <x:c r="H424" s="19" t="str">
        <x:v>其他/待核查</x:v>
      </x:c>
      <x:c r="I424" s="19" t="str">
        <x:v>Similarweb 未分类</x:v>
      </x:c>
      <x:c r="J424" s="19"/>
      <x:c r="K424" s="20" t="n">
        <x:v>0.0024</x:v>
      </x:c>
      <x:c r="L424" s="19" t="str">
        <x:v>新出现</x:v>
      </x:c>
      <x:c r="M424" s="20"/>
      <x:c r="N424" s="21" t="n">
        <x:v>157018</x:v>
      </x:c>
      <x:c r="O424" s="21" t="n">
        <x:v>377</x:v>
      </x:c>
      <x:c r="P424" s="21" t="n">
        <x:f>ROUND(N424*K424,0)</x:f>
        <x:v>377</x:v>
      </x:c>
      <x:c r="Q424" s="19" t="str">
        <x:v>否</x:v>
      </x:c>
      <x:c r="R424" s="19" t="str"/>
      <x:c r="S424" s="19" t="n">
        <x:f>IF(Q424="是",0,MIN(10,2+IF(C424="高",2,1)+IF(K424&gt;=3%,3,IF(K424&gt;=1%,2,1))+IF(L424="新出现",2,IF(M424&gt;=100%,3,IF(M424&gt;0,2,0)))))</x:f>
        <x:v>6</x:v>
      </x:c>
      <x:c r="T424" s="21"/>
      <x:c r="U424" s="20"/>
      <x:c r="V424" s="19" t="str">
        <x:v>http://tallerio.app/</x:v>
      </x:c>
      <x:c r="W424" s="19" t="str">
        <x:v>https://pro.similarweb.com/#/digitalsuite/websiteanalysis/referrals/*/999/1m?webSource=Total&amp;selectedTab=incomingTraffic&amp;key=polar.sh</x:v>
      </x:c>
      <x:c r="X424" s="20" t="n">
        <x:f>IF(Q424="是",0,IFERROR(P424/SUMIFS($P$2:$P$964,$A$2:$A$964,A424,$Q$2:$Q$964,"否"),0))</x:f>
        <x:v>0.0038984137488883835</x:v>
      </x:c>
      <x:c r="Y424" s="22" t="str">
        <x:f>IF(OR(M424="",U424=""),"未交叉",IF(M424*U424&gt;0,"同向",IF(M424*U424&lt;0,"背离","一侧持平")))</x:f>
        <x:v>未交叉</x:v>
      </x:c>
    </x:row>
    <x:row r="425">
      <x:c r="A425" s="18" t="str">
        <x:v>polar.sh</x:v>
      </x:c>
      <x:c r="B425" s="19" t="str">
        <x:v>支付商主域（混合流量）</x:v>
      </x:c>
      <x:c r="C425" s="19" t="str">
        <x:v>中</x:v>
      </x:c>
      <x:c r="D425" s="19" t="str">
        <x:v>Jul 2026</x:v>
      </x:c>
      <x:c r="E425" s="19" t="n">
        <x:v>82</x:v>
      </x:c>
      <x:c r="F425" s="19" t="str">
        <x:v>writereal.online</x:v>
      </x:c>
      <x:c r="G425" s="19" t="str">
        <x:v>Unknown</x:v>
      </x:c>
      <x:c r="H425" s="19" t="str">
        <x:v>其他/待核查</x:v>
      </x:c>
      <x:c r="I425" s="19" t="str">
        <x:v>Similarweb 未分类</x:v>
      </x:c>
      <x:c r="J425" s="19"/>
      <x:c r="K425" s="20" t="n">
        <x:v>0.0022</x:v>
      </x:c>
      <x:c r="L425" s="19" t="str">
        <x:v>下降</x:v>
      </x:c>
      <x:c r="M425" s="20" t="n">
        <x:v>-0.4964</x:v>
      </x:c>
      <x:c r="N425" s="21" t="n">
        <x:v>157018</x:v>
      </x:c>
      <x:c r="O425" s="21" t="n">
        <x:v>345</x:v>
      </x:c>
      <x:c r="P425" s="21" t="n">
        <x:f>ROUND(N425*K425,0)</x:f>
        <x:v>345</x:v>
      </x:c>
      <x:c r="Q425" s="19" t="str">
        <x:v>否</x:v>
      </x:c>
      <x:c r="R425" s="19" t="str"/>
      <x:c r="S425" s="19" t="n">
        <x:f>IF(Q425="是",0,MIN(10,2+IF(C425="高",2,1)+IF(K425&gt;=3%,3,IF(K425&gt;=1%,2,1))+IF(L425="新出现",2,IF(M425&gt;=100%,3,IF(M425&gt;0,2,0)))))</x:f>
        <x:v>4</x:v>
      </x:c>
      <x:c r="T425" s="21"/>
      <x:c r="U425" s="20"/>
      <x:c r="V425" s="19" t="str">
        <x:v>http://writereal.online/</x:v>
      </x:c>
      <x:c r="W425" s="19" t="str">
        <x:v>https://pro.similarweb.com/#/digitalsuite/websiteanalysis/referrals/*/999/1m?webSource=Total&amp;selectedTab=incomingTraffic&amp;key=polar.sh</x:v>
      </x:c>
      <x:c r="X425" s="20" t="n">
        <x:f>IF(Q425="是",0,IFERROR(P425/SUMIFS($P$2:$P$964,$A$2:$A$964,A425,$Q$2:$Q$964,"否"),0))</x:f>
        <x:v>0.003567513908133932</x:v>
      </x:c>
      <x:c r="Y425" s="22" t="str">
        <x:f>IF(OR(M425="",U425=""),"未交叉",IF(M425*U425&gt;0,"同向",IF(M425*U425&lt;0,"背离","一侧持平")))</x:f>
        <x:v>未交叉</x:v>
      </x:c>
    </x:row>
    <x:row r="426">
      <x:c r="A426" s="18" t="str">
        <x:v>polar.sh</x:v>
      </x:c>
      <x:c r="B426" s="19" t="str">
        <x:v>支付商主域（混合流量）</x:v>
      </x:c>
      <x:c r="C426" s="19" t="str">
        <x:v>中</x:v>
      </x:c>
      <x:c r="D426" s="19" t="str">
        <x:v>Jul 2026</x:v>
      </x:c>
      <x:c r="E426" s="19" t="n">
        <x:v>83</x:v>
      </x:c>
      <x:c r="F426" s="19" t="str">
        <x:v>universecover.com</x:v>
      </x:c>
      <x:c r="G426" s="19" t="str">
        <x:v>Unknown</x:v>
      </x:c>
      <x:c r="H426" s="19" t="str">
        <x:v>其他/待核查</x:v>
      </x:c>
      <x:c r="I426" s="19" t="str">
        <x:v>Similarweb 未分类</x:v>
      </x:c>
      <x:c r="J426" s="19" t="n">
        <x:v>12076948</x:v>
      </x:c>
      <x:c r="K426" s="20" t="n">
        <x:v>0.0022</x:v>
      </x:c>
      <x:c r="L426" s="19" t="str">
        <x:v>新出现</x:v>
      </x:c>
      <x:c r="M426" s="20"/>
      <x:c r="N426" s="21" t="n">
        <x:v>157018</x:v>
      </x:c>
      <x:c r="O426" s="21" t="n">
        <x:v>345</x:v>
      </x:c>
      <x:c r="P426" s="21" t="n">
        <x:f>ROUND(N426*K426,0)</x:f>
        <x:v>345</x:v>
      </x:c>
      <x:c r="Q426" s="19" t="str">
        <x:v>否</x:v>
      </x:c>
      <x:c r="R426" s="19" t="str"/>
      <x:c r="S426" s="19" t="n">
        <x:f>IF(Q426="是",0,MIN(10,2+IF(C426="高",2,1)+IF(K426&gt;=3%,3,IF(K426&gt;=1%,2,1))+IF(L426="新出现",2,IF(M426&gt;=100%,3,IF(M426&gt;0,2,0)))))</x:f>
        <x:v>6</x:v>
      </x:c>
      <x:c r="T426" s="21"/>
      <x:c r="U426" s="20"/>
      <x:c r="V426" s="19" t="str">
        <x:v>http://universecover.com/</x:v>
      </x:c>
      <x:c r="W426" s="19" t="str">
        <x:v>https://pro.similarweb.com/#/digitalsuite/websiteanalysis/referrals/*/999/1m?webSource=Total&amp;selectedTab=incomingTraffic&amp;key=polar.sh</x:v>
      </x:c>
      <x:c r="X426" s="20" t="n">
        <x:f>IF(Q426="是",0,IFERROR(P426/SUMIFS($P$2:$P$964,$A$2:$A$964,A426,$Q$2:$Q$964,"否"),0))</x:f>
        <x:v>0.003567513908133932</x:v>
      </x:c>
      <x:c r="Y426" s="22" t="str">
        <x:f>IF(OR(M426="",U426=""),"未交叉",IF(M426*U426&gt;0,"同向",IF(M426*U426&lt;0,"背离","一侧持平")))</x:f>
        <x:v>未交叉</x:v>
      </x:c>
    </x:row>
    <x:row r="427">
      <x:c r="A427" s="18" t="str">
        <x:v>polar.sh</x:v>
      </x:c>
      <x:c r="B427" s="19" t="str">
        <x:v>支付商主域（混合流量）</x:v>
      </x:c>
      <x:c r="C427" s="19" t="str">
        <x:v>中</x:v>
      </x:c>
      <x:c r="D427" s="19" t="str">
        <x:v>Jul 2026</x:v>
      </x:c>
      <x:c r="E427" s="19" t="n">
        <x:v>84</x:v>
      </x:c>
      <x:c r="F427" s="19" t="str">
        <x:v>listyouridea.com</x:v>
      </x:c>
      <x:c r="G427" s="19" t="str">
        <x:v>Unknown</x:v>
      </x:c>
      <x:c r="H427" s="19" t="str">
        <x:v>其他/待核查</x:v>
      </x:c>
      <x:c r="I427" s="19" t="str">
        <x:v>Similarweb 未分类</x:v>
      </x:c>
      <x:c r="J427" s="19"/>
      <x:c r="K427" s="20" t="n">
        <x:v>0.0022</x:v>
      </x:c>
      <x:c r="L427" s="19" t="str">
        <x:v>上升</x:v>
      </x:c>
      <x:c r="M427" s="20" t="n">
        <x:v>2.1144</x:v>
      </x:c>
      <x:c r="N427" s="21" t="n">
        <x:v>157018</x:v>
      </x:c>
      <x:c r="O427" s="21" t="n">
        <x:v>345</x:v>
      </x:c>
      <x:c r="P427" s="21" t="n">
        <x:f>ROUND(N427*K427,0)</x:f>
        <x:v>345</x:v>
      </x:c>
      <x:c r="Q427" s="19" t="str">
        <x:v>否</x:v>
      </x:c>
      <x:c r="R427" s="19" t="str"/>
      <x:c r="S427" s="19" t="n">
        <x:f>IF(Q427="是",0,MIN(10,2+IF(C427="高",2,1)+IF(K427&gt;=3%,3,IF(K427&gt;=1%,2,1))+IF(L427="新出现",2,IF(M427&gt;=100%,3,IF(M427&gt;0,2,0)))))</x:f>
        <x:v>7</x:v>
      </x:c>
      <x:c r="T427" s="21"/>
      <x:c r="U427" s="20"/>
      <x:c r="V427" s="19" t="str">
        <x:v>http://listyouridea.com/</x:v>
      </x:c>
      <x:c r="W427" s="19" t="str">
        <x:v>https://pro.similarweb.com/#/digitalsuite/websiteanalysis/referrals/*/999/1m?webSource=Total&amp;selectedTab=incomingTraffic&amp;key=polar.sh</x:v>
      </x:c>
      <x:c r="X427" s="20" t="n">
        <x:f>IF(Q427="是",0,IFERROR(P427/SUMIFS($P$2:$P$964,$A$2:$A$964,A427,$Q$2:$Q$964,"否"),0))</x:f>
        <x:v>0.003567513908133932</x:v>
      </x:c>
      <x:c r="Y427" s="22" t="str">
        <x:f>IF(OR(M427="",U427=""),"未交叉",IF(M427*U427&gt;0,"同向",IF(M427*U427&lt;0,"背离","一侧持平")))</x:f>
        <x:v>未交叉</x:v>
      </x:c>
    </x:row>
    <x:row r="428">
      <x:c r="A428" s="18" t="str">
        <x:v>polar.sh</x:v>
      </x:c>
      <x:c r="B428" s="19" t="str">
        <x:v>支付商主域（混合流量）</x:v>
      </x:c>
      <x:c r="C428" s="19" t="str">
        <x:v>中</x:v>
      </x:c>
      <x:c r="D428" s="19" t="str">
        <x:v>Jul 2026</x:v>
      </x:c>
      <x:c r="E428" s="19" t="n">
        <x:v>85</x:v>
      </x:c>
      <x:c r="F428" s="19" t="str">
        <x:v>shoplit.io</x:v>
      </x:c>
      <x:c r="G428" s="19" t="str">
        <x:v>Unknown</x:v>
      </x:c>
      <x:c r="H428" s="19" t="str">
        <x:v>其他/待核查</x:v>
      </x:c>
      <x:c r="I428" s="19" t="str">
        <x:v>Similarweb 未分类</x:v>
      </x:c>
      <x:c r="J428" s="19" t="n">
        <x:v>2529779</x:v>
      </x:c>
      <x:c r="K428" s="20" t="n">
        <x:v>0.0021</x:v>
      </x:c>
      <x:c r="L428" s="19" t="str">
        <x:v>下降</x:v>
      </x:c>
      <x:c r="M428" s="20" t="n">
        <x:v>-0.5036999999999999</x:v>
      </x:c>
      <x:c r="N428" s="21" t="n">
        <x:v>157018</x:v>
      </x:c>
      <x:c r="O428" s="21" t="n">
        <x:v>330</x:v>
      </x:c>
      <x:c r="P428" s="21" t="n">
        <x:f>ROUND(N428*K428,0)</x:f>
        <x:v>330</x:v>
      </x:c>
      <x:c r="Q428" s="19" t="str">
        <x:v>否</x:v>
      </x:c>
      <x:c r="R428" s="19" t="str"/>
      <x:c r="S428" s="19" t="n">
        <x:f>IF(Q428="是",0,MIN(10,2+IF(C428="高",2,1)+IF(K428&gt;=3%,3,IF(K428&gt;=1%,2,1))+IF(L428="新出现",2,IF(M428&gt;=100%,3,IF(M428&gt;0,2,0)))))</x:f>
        <x:v>4</x:v>
      </x:c>
      <x:c r="T428" s="21"/>
      <x:c r="U428" s="20"/>
      <x:c r="V428" s="19" t="str">
        <x:v>http://shoplit.io/</x:v>
      </x:c>
      <x:c r="W428" s="19" t="str">
        <x:v>https://pro.similarweb.com/#/digitalsuite/websiteanalysis/referrals/*/999/1m?webSource=Total&amp;selectedTab=incomingTraffic&amp;key=polar.sh</x:v>
      </x:c>
      <x:c r="X428" s="20" t="n">
        <x:f>IF(Q428="是",0,IFERROR(P428/SUMIFS($P$2:$P$964,$A$2:$A$964,A428,$Q$2:$Q$964,"否"),0))</x:f>
        <x:v>0.0034124046077802827</x:v>
      </x:c>
      <x:c r="Y428" s="22" t="str">
        <x:f>IF(OR(M428="",U428=""),"未交叉",IF(M428*U428&gt;0,"同向",IF(M428*U428&lt;0,"背离","一侧持平")))</x:f>
        <x:v>未交叉</x:v>
      </x:c>
    </x:row>
    <x:row r="429">
      <x:c r="A429" s="18" t="str">
        <x:v>polar.sh</x:v>
      </x:c>
      <x:c r="B429" s="19" t="str">
        <x:v>支付商主域（混合流量）</x:v>
      </x:c>
      <x:c r="C429" s="19" t="str">
        <x:v>中</x:v>
      </x:c>
      <x:c r="D429" s="19" t="str">
        <x:v>Jul 2026</x:v>
      </x:c>
      <x:c r="E429" s="19" t="n">
        <x:v>86</x:v>
      </x:c>
      <x:c r="F429" s="19" t="str">
        <x:v>vidmost.com</x:v>
      </x:c>
      <x:c r="G429" s="19" t="str">
        <x:v>Unknown</x:v>
      </x:c>
      <x:c r="H429" s="19" t="str">
        <x:v>其他/待核查</x:v>
      </x:c>
      <x:c r="I429" s="19" t="str">
        <x:v>Similarweb 未分类</x:v>
      </x:c>
      <x:c r="J429" s="19" t="n">
        <x:v>4775465</x:v>
      </x:c>
      <x:c r="K429" s="20" t="n">
        <x:v>0.0021</x:v>
      </x:c>
      <x:c r="L429" s="19" t="str">
        <x:v>新出现</x:v>
      </x:c>
      <x:c r="M429" s="20"/>
      <x:c r="N429" s="21" t="n">
        <x:v>157018</x:v>
      </x:c>
      <x:c r="O429" s="21" t="n">
        <x:v>330</x:v>
      </x:c>
      <x:c r="P429" s="21" t="n">
        <x:f>ROUND(N429*K429,0)</x:f>
        <x:v>330</x:v>
      </x:c>
      <x:c r="Q429" s="19" t="str">
        <x:v>否</x:v>
      </x:c>
      <x:c r="R429" s="19" t="str"/>
      <x:c r="S429" s="19" t="n">
        <x:f>IF(Q429="是",0,MIN(10,2+IF(C429="高",2,1)+IF(K429&gt;=3%,3,IF(K429&gt;=1%,2,1))+IF(L429="新出现",2,IF(M429&gt;=100%,3,IF(M429&gt;0,2,0)))))</x:f>
        <x:v>6</x:v>
      </x:c>
      <x:c r="T429" s="21"/>
      <x:c r="U429" s="20"/>
      <x:c r="V429" s="19" t="str">
        <x:v>http://vidmost.com/</x:v>
      </x:c>
      <x:c r="W429" s="19" t="str">
        <x:v>https://pro.similarweb.com/#/digitalsuite/websiteanalysis/referrals/*/999/1m?webSource=Total&amp;selectedTab=incomingTraffic&amp;key=polar.sh</x:v>
      </x:c>
      <x:c r="X429" s="20" t="n">
        <x:f>IF(Q429="是",0,IFERROR(P429/SUMIFS($P$2:$P$964,$A$2:$A$964,A429,$Q$2:$Q$964,"否"),0))</x:f>
        <x:v>0.0034124046077802827</x:v>
      </x:c>
      <x:c r="Y429" s="22" t="str">
        <x:f>IF(OR(M429="",U429=""),"未交叉",IF(M429*U429&gt;0,"同向",IF(M429*U429&lt;0,"背离","一侧持平")))</x:f>
        <x:v>未交叉</x:v>
      </x:c>
    </x:row>
    <x:row r="430">
      <x:c r="A430" s="18" t="str">
        <x:v>polar.sh</x:v>
      </x:c>
      <x:c r="B430" s="19" t="str">
        <x:v>支付商主域（混合流量）</x:v>
      </x:c>
      <x:c r="C430" s="19" t="str">
        <x:v>中</x:v>
      </x:c>
      <x:c r="D430" s="19" t="str">
        <x:v>Jul 2026</x:v>
      </x:c>
      <x:c r="E430" s="19" t="n">
        <x:v>87</x:v>
      </x:c>
      <x:c r="F430" s="19" t="str">
        <x:v>framer.website</x:v>
      </x:c>
      <x:c r="G430" s="19" t="str">
        <x:v>Graphics Multimedia and Web Design</x:v>
      </x:c>
      <x:c r="H430" s="19" t="str">
        <x:v>创作、设计与多媒体工具</x:v>
      </x:c>
      <x:c r="I430" s="19" t="str">
        <x:v>Similarweb 行业映射</x:v>
      </x:c>
      <x:c r="J430" s="19" t="n">
        <x:v>12432</x:v>
      </x:c>
      <x:c r="K430" s="20" t="n">
        <x:v>0.0021</x:v>
      </x:c>
      <x:c r="L430" s="19" t="str">
        <x:v>新出现</x:v>
      </x:c>
      <x:c r="M430" s="20"/>
      <x:c r="N430" s="21" t="n">
        <x:v>157018</x:v>
      </x:c>
      <x:c r="O430" s="21" t="n">
        <x:v>330</x:v>
      </x:c>
      <x:c r="P430" s="21" t="n">
        <x:f>ROUND(N430*K430,0)</x:f>
        <x:v>330</x:v>
      </x:c>
      <x:c r="Q430" s="19" t="str">
        <x:v>否</x:v>
      </x:c>
      <x:c r="R430" s="19" t="str"/>
      <x:c r="S430" s="19" t="n">
        <x:f>IF(Q430="是",0,MIN(10,2+IF(C430="高",2,1)+IF(K430&gt;=3%,3,IF(K430&gt;=1%,2,1))+IF(L430="新出现",2,IF(M430&gt;=100%,3,IF(M430&gt;0,2,0)))))</x:f>
        <x:v>6</x:v>
      </x:c>
      <x:c r="T430" s="21"/>
      <x:c r="U430" s="20"/>
      <x:c r="V430" s="19" t="str">
        <x:v>http://framer.website/</x:v>
      </x:c>
      <x:c r="W430" s="19" t="str">
        <x:v>https://pro.similarweb.com/#/digitalsuite/websiteanalysis/referrals/*/999/1m?webSource=Total&amp;selectedTab=incomingTraffic&amp;key=polar.sh</x:v>
      </x:c>
      <x:c r="X430" s="20" t="n">
        <x:f>IF(Q430="是",0,IFERROR(P430/SUMIFS($P$2:$P$964,$A$2:$A$964,A430,$Q$2:$Q$964,"否"),0))</x:f>
        <x:v>0.0034124046077802827</x:v>
      </x:c>
      <x:c r="Y430" s="22" t="str">
        <x:f>IF(OR(M430="",U430=""),"未交叉",IF(M430*U430&gt;0,"同向",IF(M430*U430&lt;0,"背离","一侧持平")))</x:f>
        <x:v>未交叉</x:v>
      </x:c>
    </x:row>
    <x:row r="431">
      <x:c r="A431" s="18" t="str">
        <x:v>polar.sh</x:v>
      </x:c>
      <x:c r="B431" s="19" t="str">
        <x:v>支付商主域（混合流量）</x:v>
      </x:c>
      <x:c r="C431" s="19" t="str">
        <x:v>中</x:v>
      </x:c>
      <x:c r="D431" s="19" t="str">
        <x:v>Jul 2026</x:v>
      </x:c>
      <x:c r="E431" s="19" t="n">
        <x:v>88</x:v>
      </x:c>
      <x:c r="F431" s="19" t="str">
        <x:v>speckit.tech</x:v>
      </x:c>
      <x:c r="G431" s="19" t="str">
        <x:v>Unknown</x:v>
      </x:c>
      <x:c r="H431" s="19" t="str">
        <x:v>其他/待核查</x:v>
      </x:c>
      <x:c r="I431" s="19" t="str">
        <x:v>Similarweb 未分类</x:v>
      </x:c>
      <x:c r="J431" s="19"/>
      <x:c r="K431" s="20" t="n">
        <x:v>0.0021</x:v>
      </x:c>
      <x:c r="L431" s="19" t="str">
        <x:v>新出现</x:v>
      </x:c>
      <x:c r="M431" s="20"/>
      <x:c r="N431" s="21" t="n">
        <x:v>157018</x:v>
      </x:c>
      <x:c r="O431" s="21" t="n">
        <x:v>330</x:v>
      </x:c>
      <x:c r="P431" s="21" t="n">
        <x:f>ROUND(N431*K431,0)</x:f>
        <x:v>330</x:v>
      </x:c>
      <x:c r="Q431" s="19" t="str">
        <x:v>否</x:v>
      </x:c>
      <x:c r="R431" s="19" t="str"/>
      <x:c r="S431" s="19" t="n">
        <x:f>IF(Q431="是",0,MIN(10,2+IF(C431="高",2,1)+IF(K431&gt;=3%,3,IF(K431&gt;=1%,2,1))+IF(L431="新出现",2,IF(M431&gt;=100%,3,IF(M431&gt;0,2,0)))))</x:f>
        <x:v>6</x:v>
      </x:c>
      <x:c r="T431" s="21"/>
      <x:c r="U431" s="20"/>
      <x:c r="V431" s="19" t="str">
        <x:v>http://speckit.tech/</x:v>
      </x:c>
      <x:c r="W431" s="19" t="str">
        <x:v>https://pro.similarweb.com/#/digitalsuite/websiteanalysis/referrals/*/999/1m?webSource=Total&amp;selectedTab=incomingTraffic&amp;key=polar.sh</x:v>
      </x:c>
      <x:c r="X431" s="20" t="n">
        <x:f>IF(Q431="是",0,IFERROR(P431/SUMIFS($P$2:$P$964,$A$2:$A$964,A431,$Q$2:$Q$964,"否"),0))</x:f>
        <x:v>0.0034124046077802827</x:v>
      </x:c>
      <x:c r="Y431" s="22" t="str">
        <x:f>IF(OR(M431="",U431=""),"未交叉",IF(M431*U431&gt;0,"同向",IF(M431*U431&lt;0,"背离","一侧持平")))</x:f>
        <x:v>未交叉</x:v>
      </x:c>
    </x:row>
    <x:row r="432">
      <x:c r="A432" s="18" t="str">
        <x:v>polar.sh</x:v>
      </x:c>
      <x:c r="B432" s="19" t="str">
        <x:v>支付商主域（混合流量）</x:v>
      </x:c>
      <x:c r="C432" s="19" t="str">
        <x:v>中</x:v>
      </x:c>
      <x:c r="D432" s="19" t="str">
        <x:v>Jul 2026</x:v>
      </x:c>
      <x:c r="E432" s="19" t="n">
        <x:v>89</x:v>
      </x:c>
      <x:c r="F432" s="19" t="str">
        <x:v>muum.ai</x:v>
      </x:c>
      <x:c r="G432" s="19" t="str">
        <x:v>Unknown</x:v>
      </x:c>
      <x:c r="H432" s="19" t="str">
        <x:v>AI 工具与应用（未细分）</x:v>
      </x:c>
      <x:c r="I432" s="19" t="str">
        <x:v>域名后缀启发式</x:v>
      </x:c>
      <x:c r="J432" s="19"/>
      <x:c r="K432" s="20" t="n">
        <x:v>0.002</x:v>
      </x:c>
      <x:c r="L432" s="19" t="str">
        <x:v>新出现</x:v>
      </x:c>
      <x:c r="M432" s="20"/>
      <x:c r="N432" s="21" t="n">
        <x:v>157018</x:v>
      </x:c>
      <x:c r="O432" s="21" t="n">
        <x:v>314</x:v>
      </x:c>
      <x:c r="P432" s="21" t="n">
        <x:f>ROUND(N432*K432,0)</x:f>
        <x:v>314</x:v>
      </x:c>
      <x:c r="Q432" s="19" t="str">
        <x:v>否</x:v>
      </x:c>
      <x:c r="R432" s="19" t="str"/>
      <x:c r="S432" s="19" t="n">
        <x:f>IF(Q432="是",0,MIN(10,2+IF(C432="高",2,1)+IF(K432&gt;=3%,3,IF(K432&gt;=1%,2,1))+IF(L432="新出现",2,IF(M432&gt;=100%,3,IF(M432&gt;0,2,0)))))</x:f>
        <x:v>6</x:v>
      </x:c>
      <x:c r="T432" s="21"/>
      <x:c r="U432" s="20"/>
      <x:c r="V432" s="19" t="str">
        <x:v>http://muum.ai/</x:v>
      </x:c>
      <x:c r="W432" s="19" t="str">
        <x:v>https://pro.similarweb.com/#/digitalsuite/websiteanalysis/referrals/*/999/1m?webSource=Total&amp;selectedTab=incomingTraffic&amp;key=polar.sh</x:v>
      </x:c>
      <x:c r="X432" s="20" t="n">
        <x:f>IF(Q432="是",0,IFERROR(P432/SUMIFS($P$2:$P$964,$A$2:$A$964,A432,$Q$2:$Q$964,"否"),0))</x:f>
        <x:v>0.0032469546874030566</x:v>
      </x:c>
      <x:c r="Y432" s="22" t="str">
        <x:f>IF(OR(M432="",U432=""),"未交叉",IF(M432*U432&gt;0,"同向",IF(M432*U432&lt;0,"背离","一侧持平")))</x:f>
        <x:v>未交叉</x:v>
      </x:c>
    </x:row>
    <x:row r="433">
      <x:c r="A433" s="18" t="str">
        <x:v>polar.sh</x:v>
      </x:c>
      <x:c r="B433" s="19" t="str">
        <x:v>支付商主域（混合流量）</x:v>
      </x:c>
      <x:c r="C433" s="19" t="str">
        <x:v>中</x:v>
      </x:c>
      <x:c r="D433" s="19" t="str">
        <x:v>Jul 2026</x:v>
      </x:c>
      <x:c r="E433" s="19" t="n">
        <x:v>90</x:v>
      </x:c>
      <x:c r="F433" s="19" t="str">
        <x:v>growingupvideo.com</x:v>
      </x:c>
      <x:c r="G433" s="19" t="str">
        <x:v>Unknown</x:v>
      </x:c>
      <x:c r="H433" s="19" t="str">
        <x:v>其他/待核查</x:v>
      </x:c>
      <x:c r="I433" s="19" t="str">
        <x:v>Similarweb 未分类</x:v>
      </x:c>
      <x:c r="J433" s="19" t="n">
        <x:v>5753635</x:v>
      </x:c>
      <x:c r="K433" s="20" t="n">
        <x:v>0.002</x:v>
      </x:c>
      <x:c r="L433" s="19" t="str">
        <x:v>新出现</x:v>
      </x:c>
      <x:c r="M433" s="20"/>
      <x:c r="N433" s="21" t="n">
        <x:v>157018</x:v>
      </x:c>
      <x:c r="O433" s="21" t="n">
        <x:v>314</x:v>
      </x:c>
      <x:c r="P433" s="21" t="n">
        <x:f>ROUND(N433*K433,0)</x:f>
        <x:v>314</x:v>
      </x:c>
      <x:c r="Q433" s="19" t="str">
        <x:v>否</x:v>
      </x:c>
      <x:c r="R433" s="19" t="str"/>
      <x:c r="S433" s="19" t="n">
        <x:f>IF(Q433="是",0,MIN(10,2+IF(C433="高",2,1)+IF(K433&gt;=3%,3,IF(K433&gt;=1%,2,1))+IF(L433="新出现",2,IF(M433&gt;=100%,3,IF(M433&gt;0,2,0)))))</x:f>
        <x:v>6</x:v>
      </x:c>
      <x:c r="T433" s="21"/>
      <x:c r="U433" s="20"/>
      <x:c r="V433" s="19" t="str">
        <x:v>http://growingupvideo.com/</x:v>
      </x:c>
      <x:c r="W433" s="19" t="str">
        <x:v>https://pro.similarweb.com/#/digitalsuite/websiteanalysis/referrals/*/999/1m?webSource=Total&amp;selectedTab=incomingTraffic&amp;key=polar.sh</x:v>
      </x:c>
      <x:c r="X433" s="20" t="n">
        <x:f>IF(Q433="是",0,IFERROR(P433/SUMIFS($P$2:$P$964,$A$2:$A$964,A433,$Q$2:$Q$964,"否"),0))</x:f>
        <x:v>0.0032469546874030566</x:v>
      </x:c>
      <x:c r="Y433" s="22" t="str">
        <x:f>IF(OR(M433="",U433=""),"未交叉",IF(M433*U433&gt;0,"同向",IF(M433*U433&lt;0,"背离","一侧持平")))</x:f>
        <x:v>未交叉</x:v>
      </x:c>
    </x:row>
    <x:row r="434">
      <x:c r="A434" s="18" t="str">
        <x:v>polar.sh</x:v>
      </x:c>
      <x:c r="B434" s="19" t="str">
        <x:v>支付商主域（混合流量）</x:v>
      </x:c>
      <x:c r="C434" s="19" t="str">
        <x:v>中</x:v>
      </x:c>
      <x:c r="D434" s="19" t="str">
        <x:v>Jul 2026</x:v>
      </x:c>
      <x:c r="E434" s="19" t="n">
        <x:v>91</x:v>
      </x:c>
      <x:c r="F434" s="19" t="str">
        <x:v>framebite.com</x:v>
      </x:c>
      <x:c r="G434" s="19" t="str">
        <x:v>Unknown</x:v>
      </x:c>
      <x:c r="H434" s="19" t="str">
        <x:v>其他/待核查</x:v>
      </x:c>
      <x:c r="I434" s="19" t="str">
        <x:v>Similarweb 未分类</x:v>
      </x:c>
      <x:c r="J434" s="19" t="n">
        <x:v>3165207</x:v>
      </x:c>
      <x:c r="K434" s="20" t="n">
        <x:v>0.002</x:v>
      </x:c>
      <x:c r="L434" s="19" t="str">
        <x:v>新出现</x:v>
      </x:c>
      <x:c r="M434" s="20"/>
      <x:c r="N434" s="21" t="n">
        <x:v>157018</x:v>
      </x:c>
      <x:c r="O434" s="21" t="n">
        <x:v>314</x:v>
      </x:c>
      <x:c r="P434" s="21" t="n">
        <x:f>ROUND(N434*K434,0)</x:f>
        <x:v>314</x:v>
      </x:c>
      <x:c r="Q434" s="19" t="str">
        <x:v>否</x:v>
      </x:c>
      <x:c r="R434" s="19" t="str"/>
      <x:c r="S434" s="19" t="n">
        <x:f>IF(Q434="是",0,MIN(10,2+IF(C434="高",2,1)+IF(K434&gt;=3%,3,IF(K434&gt;=1%,2,1))+IF(L434="新出现",2,IF(M434&gt;=100%,3,IF(M434&gt;0,2,0)))))</x:f>
        <x:v>6</x:v>
      </x:c>
      <x:c r="T434" s="21"/>
      <x:c r="U434" s="20"/>
      <x:c r="V434" s="19" t="str">
        <x:v>http://framebite.com/</x:v>
      </x:c>
      <x:c r="W434" s="19" t="str">
        <x:v>https://pro.similarweb.com/#/digitalsuite/websiteanalysis/referrals/*/999/1m?webSource=Total&amp;selectedTab=incomingTraffic&amp;key=polar.sh</x:v>
      </x:c>
      <x:c r="X434" s="20" t="n">
        <x:f>IF(Q434="是",0,IFERROR(P434/SUMIFS($P$2:$P$964,$A$2:$A$964,A434,$Q$2:$Q$964,"否"),0))</x:f>
        <x:v>0.0032469546874030566</x:v>
      </x:c>
      <x:c r="Y434" s="22" t="str">
        <x:f>IF(OR(M434="",U434=""),"未交叉",IF(M434*U434&gt;0,"同向",IF(M434*U434&lt;0,"背离","一侧持平")))</x:f>
        <x:v>未交叉</x:v>
      </x:c>
    </x:row>
    <x:row r="435">
      <x:c r="A435" s="18" t="str">
        <x:v>polar.sh</x:v>
      </x:c>
      <x:c r="B435" s="19" t="str">
        <x:v>支付商主域（混合流量）</x:v>
      </x:c>
      <x:c r="C435" s="19" t="str">
        <x:v>中</x:v>
      </x:c>
      <x:c r="D435" s="19" t="str">
        <x:v>Jul 2026</x:v>
      </x:c>
      <x:c r="E435" s="19" t="n">
        <x:v>92</x:v>
      </x:c>
      <x:c r="F435" s="19" t="str">
        <x:v>app.tailoredcv.ai</x:v>
      </x:c>
      <x:c r="G435" s="19" t="str">
        <x:v>Unknown</x:v>
      </x:c>
      <x:c r="H435" s="19" t="str">
        <x:v>AI 工具与应用（未细分）</x:v>
      </x:c>
      <x:c r="I435" s="19" t="str">
        <x:v>域名后缀启发式</x:v>
      </x:c>
      <x:c r="J435" s="19"/>
      <x:c r="K435" s="20" t="n">
        <x:v>0.0019</x:v>
      </x:c>
      <x:c r="L435" s="19" t="str">
        <x:v>上升</x:v>
      </x:c>
      <x:c r="M435" s="20" t="n">
        <x:v>0.4796</x:v>
      </x:c>
      <x:c r="N435" s="21" t="n">
        <x:v>157018</x:v>
      </x:c>
      <x:c r="O435" s="21" t="n">
        <x:v>298</x:v>
      </x:c>
      <x:c r="P435" s="21" t="n">
        <x:f>ROUND(N435*K435,0)</x:f>
        <x:v>298</x:v>
      </x:c>
      <x:c r="Q435" s="19" t="str">
        <x:v>否</x:v>
      </x:c>
      <x:c r="R435" s="19" t="str"/>
      <x:c r="S435" s="19" t="n">
        <x:f>IF(Q435="是",0,MIN(10,2+IF(C435="高",2,1)+IF(K435&gt;=3%,3,IF(K435&gt;=1%,2,1))+IF(L435="新出现",2,IF(M435&gt;=100%,3,IF(M435&gt;0,2,0)))))</x:f>
        <x:v>6</x:v>
      </x:c>
      <x:c r="T435" s="21"/>
      <x:c r="U435" s="20"/>
      <x:c r="V435" s="19" t="str">
        <x:v>http://app.tailoredcv.ai/</x:v>
      </x:c>
      <x:c r="W435" s="19" t="str">
        <x:v>https://pro.similarweb.com/#/digitalsuite/websiteanalysis/referrals/*/999/1m?webSource=Total&amp;selectedTab=incomingTraffic&amp;key=polar.sh</x:v>
      </x:c>
      <x:c r="X435" s="20" t="n">
        <x:f>IF(Q435="是",0,IFERROR(P435/SUMIFS($P$2:$P$964,$A$2:$A$964,A435,$Q$2:$Q$964,"否"),0))</x:f>
        <x:v>0.003081504767025831</x:v>
      </x:c>
      <x:c r="Y435" s="22" t="str">
        <x:f>IF(OR(M435="",U435=""),"未交叉",IF(M435*U435&gt;0,"同向",IF(M435*U435&lt;0,"背离","一侧持平")))</x:f>
        <x:v>未交叉</x:v>
      </x:c>
    </x:row>
    <x:row r="436">
      <x:c r="A436" s="18" t="str">
        <x:v>polar.sh</x:v>
      </x:c>
      <x:c r="B436" s="19" t="str">
        <x:v>支付商主域（混合流量）</x:v>
      </x:c>
      <x:c r="C436" s="19" t="str">
        <x:v>中</x:v>
      </x:c>
      <x:c r="D436" s="19" t="str">
        <x:v>Jul 2026</x:v>
      </x:c>
      <x:c r="E436" s="19" t="n">
        <x:v>93</x:v>
      </x:c>
      <x:c r="F436" s="19" t="str">
        <x:v>app.getairefs.com</x:v>
      </x:c>
      <x:c r="G436" s="19" t="str">
        <x:v>Unknown</x:v>
      </x:c>
      <x:c r="H436" s="19" t="str">
        <x:v>其他/待核查</x:v>
      </x:c>
      <x:c r="I436" s="19" t="str">
        <x:v>Similarweb 未分类</x:v>
      </x:c>
      <x:c r="J436" s="19"/>
      <x:c r="K436" s="20" t="n">
        <x:v>0.0018</x:v>
      </x:c>
      <x:c r="L436" s="19" t="str">
        <x:v>下降</x:v>
      </x:c>
      <x:c r="M436" s="20" t="n">
        <x:v>-0.5804</x:v>
      </x:c>
      <x:c r="N436" s="21" t="n">
        <x:v>157018</x:v>
      </x:c>
      <x:c r="O436" s="21" t="n">
        <x:v>283</x:v>
      </x:c>
      <x:c r="P436" s="21" t="n">
        <x:f>ROUND(N436*K436,0)</x:f>
        <x:v>283</x:v>
      </x:c>
      <x:c r="Q436" s="19" t="str">
        <x:v>否</x:v>
      </x:c>
      <x:c r="R436" s="19" t="str"/>
      <x:c r="S436" s="19" t="n">
        <x:f>IF(Q436="是",0,MIN(10,2+IF(C436="高",2,1)+IF(K436&gt;=3%,3,IF(K436&gt;=1%,2,1))+IF(L436="新出现",2,IF(M436&gt;=100%,3,IF(M436&gt;0,2,0)))))</x:f>
        <x:v>4</x:v>
      </x:c>
      <x:c r="T436" s="21"/>
      <x:c r="U436" s="20"/>
      <x:c r="V436" s="19" t="str">
        <x:v>http://app.getairefs.com/</x:v>
      </x:c>
      <x:c r="W436" s="19" t="str">
        <x:v>https://pro.similarweb.com/#/digitalsuite/websiteanalysis/referrals/*/999/1m?webSource=Total&amp;selectedTab=incomingTraffic&amp;key=polar.sh</x:v>
      </x:c>
      <x:c r="X436" s="20" t="n">
        <x:f>IF(Q436="是",0,IFERROR(P436/SUMIFS($P$2:$P$964,$A$2:$A$964,A436,$Q$2:$Q$964,"否"),0))</x:f>
        <x:v>0.002926395466672182</x:v>
      </x:c>
      <x:c r="Y436" s="22" t="str">
        <x:f>IF(OR(M436="",U436=""),"未交叉",IF(M436*U436&gt;0,"同向",IF(M436*U436&lt;0,"背离","一侧持平")))</x:f>
        <x:v>未交叉</x:v>
      </x:c>
    </x:row>
    <x:row r="437">
      <x:c r="A437" s="18" t="str">
        <x:v>polar.sh</x:v>
      </x:c>
      <x:c r="B437" s="19" t="str">
        <x:v>支付商主域（混合流量）</x:v>
      </x:c>
      <x:c r="C437" s="19" t="str">
        <x:v>中</x:v>
      </x:c>
      <x:c r="D437" s="19" t="str">
        <x:v>Jul 2026</x:v>
      </x:c>
      <x:c r="E437" s="19" t="n">
        <x:v>94</x:v>
      </x:c>
      <x:c r="F437" s="19" t="str">
        <x:v>vercel.app</x:v>
      </x:c>
      <x:c r="G437" s="19" t="str">
        <x:v>Programming and Developer Software</x:v>
      </x:c>
      <x:c r="H437" s="19" t="str">
        <x:v>开发者工具与互联网基础设施</x:v>
      </x:c>
      <x:c r="I437" s="19" t="str">
        <x:v>Similarweb 行业映射</x:v>
      </x:c>
      <x:c r="J437" s="19" t="n">
        <x:v>208</x:v>
      </x:c>
      <x:c r="K437" s="20" t="n">
        <x:v>0.0017000000000000001</x:v>
      </x:c>
      <x:c r="L437" s="19" t="str">
        <x:v>上升</x:v>
      </x:c>
      <x:c r="M437" s="20" t="n">
        <x:v>1.4784</x:v>
      </x:c>
      <x:c r="N437" s="21" t="n">
        <x:v>157018</x:v>
      </x:c>
      <x:c r="O437" s="21" t="n">
        <x:v>267</x:v>
      </x:c>
      <x:c r="P437" s="21" t="n">
        <x:f>ROUND(N437*K437,0)</x:f>
        <x:v>267</x:v>
      </x:c>
      <x:c r="Q437" s="19" t="str">
        <x:v>否</x:v>
      </x:c>
      <x:c r="R437" s="19" t="str"/>
      <x:c r="S437" s="19" t="n">
        <x:f>IF(Q437="是",0,MIN(10,2+IF(C437="高",2,1)+IF(K437&gt;=3%,3,IF(K437&gt;=1%,2,1))+IF(L437="新出现",2,IF(M437&gt;=100%,3,IF(M437&gt;0,2,0)))))</x:f>
        <x:v>7</x:v>
      </x:c>
      <x:c r="T437" s="21"/>
      <x:c r="U437" s="20"/>
      <x:c r="V437" s="19" t="str">
        <x:v>http://vercel.app/</x:v>
      </x:c>
      <x:c r="W437" s="19" t="str">
        <x:v>https://pro.similarweb.com/#/digitalsuite/websiteanalysis/referrals/*/999/1m?webSource=Total&amp;selectedTab=incomingTraffic&amp;key=polar.sh</x:v>
      </x:c>
      <x:c r="X437" s="20" t="n">
        <x:f>IF(Q437="是",0,IFERROR(P437/SUMIFS($P$2:$P$964,$A$2:$A$964,A437,$Q$2:$Q$964,"否"),0))</x:f>
        <x:v>0.0027609455462949558</x:v>
      </x:c>
      <x:c r="Y437" s="22" t="str">
        <x:f>IF(OR(M437="",U437=""),"未交叉",IF(M437*U437&gt;0,"同向",IF(M437*U437&lt;0,"背离","一侧持平")))</x:f>
        <x:v>未交叉</x:v>
      </x:c>
    </x:row>
    <x:row r="438">
      <x:c r="A438" s="18" t="str">
        <x:v>polar.sh</x:v>
      </x:c>
      <x:c r="B438" s="19" t="str">
        <x:v>支付商主域（混合流量）</x:v>
      </x:c>
      <x:c r="C438" s="19" t="str">
        <x:v>中</x:v>
      </x:c>
      <x:c r="D438" s="19" t="str">
        <x:v>Jul 2026</x:v>
      </x:c>
      <x:c r="E438" s="19" t="n">
        <x:v>95</x:v>
      </x:c>
      <x:c r="F438" s="19" t="str">
        <x:v>thefake.design</x:v>
      </x:c>
      <x:c r="G438" s="19" t="str">
        <x:v>Unknown</x:v>
      </x:c>
      <x:c r="H438" s="19" t="str">
        <x:v>其他/待核查</x:v>
      </x:c>
      <x:c r="I438" s="19" t="str">
        <x:v>Similarweb 未分类</x:v>
      </x:c>
      <x:c r="J438" s="19" t="n">
        <x:v>252302</x:v>
      </x:c>
      <x:c r="K438" s="20" t="n">
        <x:v>0.0017000000000000001</x:v>
      </x:c>
      <x:c r="L438" s="19" t="str">
        <x:v>下降</x:v>
      </x:c>
      <x:c r="M438" s="20" t="n">
        <x:v>-0.7906</x:v>
      </x:c>
      <x:c r="N438" s="21" t="n">
        <x:v>157018</x:v>
      </x:c>
      <x:c r="O438" s="21" t="n">
        <x:v>267</x:v>
      </x:c>
      <x:c r="P438" s="21" t="n">
        <x:f>ROUND(N438*K438,0)</x:f>
        <x:v>267</x:v>
      </x:c>
      <x:c r="Q438" s="19" t="str">
        <x:v>否</x:v>
      </x:c>
      <x:c r="R438" s="19" t="str"/>
      <x:c r="S438" s="19" t="n">
        <x:f>IF(Q438="是",0,MIN(10,2+IF(C438="高",2,1)+IF(K438&gt;=3%,3,IF(K438&gt;=1%,2,1))+IF(L438="新出现",2,IF(M438&gt;=100%,3,IF(M438&gt;0,2,0)))))</x:f>
        <x:v>4</x:v>
      </x:c>
      <x:c r="T438" s="21"/>
      <x:c r="U438" s="20"/>
      <x:c r="V438" s="19" t="str">
        <x:v>http://thefake.design/</x:v>
      </x:c>
      <x:c r="W438" s="19" t="str">
        <x:v>https://pro.similarweb.com/#/digitalsuite/websiteanalysis/referrals/*/999/1m?webSource=Total&amp;selectedTab=incomingTraffic&amp;key=polar.sh</x:v>
      </x:c>
      <x:c r="X438" s="20" t="n">
        <x:f>IF(Q438="是",0,IFERROR(P438/SUMIFS($P$2:$P$964,$A$2:$A$964,A438,$Q$2:$Q$964,"否"),0))</x:f>
        <x:v>0.0027609455462949558</x:v>
      </x:c>
      <x:c r="Y438" s="22" t="str">
        <x:f>IF(OR(M438="",U438=""),"未交叉",IF(M438*U438&gt;0,"同向",IF(M438*U438&lt;0,"背离","一侧持平")))</x:f>
        <x:v>未交叉</x:v>
      </x:c>
    </x:row>
    <x:row r="439">
      <x:c r="A439" s="18" t="str">
        <x:v>polar.sh</x:v>
      </x:c>
      <x:c r="B439" s="19" t="str">
        <x:v>支付商主域（混合流量）</x:v>
      </x:c>
      <x:c r="C439" s="19" t="str">
        <x:v>中</x:v>
      </x:c>
      <x:c r="D439" s="19" t="str">
        <x:v>Jul 2026</x:v>
      </x:c>
      <x:c r="E439" s="19" t="n">
        <x:v>96</x:v>
      </x:c>
      <x:c r="F439" s="19" t="str">
        <x:v>ieltsactive.com</x:v>
      </x:c>
      <x:c r="G439" s="19" t="str">
        <x:v>Unknown</x:v>
      </x:c>
      <x:c r="H439" s="19" t="str">
        <x:v>其他/待核查</x:v>
      </x:c>
      <x:c r="I439" s="19" t="str">
        <x:v>Similarweb 未分类</x:v>
      </x:c>
      <x:c r="J439" s="19" t="n">
        <x:v>1471774</x:v>
      </x:c>
      <x:c r="K439" s="20" t="n">
        <x:v>0.0017000000000000001</x:v>
      </x:c>
      <x:c r="L439" s="19" t="str">
        <x:v>新出现</x:v>
      </x:c>
      <x:c r="M439" s="20"/>
      <x:c r="N439" s="21" t="n">
        <x:v>157018</x:v>
      </x:c>
      <x:c r="O439" s="21" t="n">
        <x:v>267</x:v>
      </x:c>
      <x:c r="P439" s="21" t="n">
        <x:f>ROUND(N439*K439,0)</x:f>
        <x:v>267</x:v>
      </x:c>
      <x:c r="Q439" s="19" t="str">
        <x:v>否</x:v>
      </x:c>
      <x:c r="R439" s="19" t="str"/>
      <x:c r="S439" s="19" t="n">
        <x:f>IF(Q439="是",0,MIN(10,2+IF(C439="高",2,1)+IF(K439&gt;=3%,3,IF(K439&gt;=1%,2,1))+IF(L439="新出现",2,IF(M439&gt;=100%,3,IF(M439&gt;0,2,0)))))</x:f>
        <x:v>6</x:v>
      </x:c>
      <x:c r="T439" s="21"/>
      <x:c r="U439" s="20"/>
      <x:c r="V439" s="19" t="str">
        <x:v>http://ieltsactive.com/</x:v>
      </x:c>
      <x:c r="W439" s="19" t="str">
        <x:v>https://pro.similarweb.com/#/digitalsuite/websiteanalysis/referrals/*/999/1m?webSource=Total&amp;selectedTab=incomingTraffic&amp;key=polar.sh</x:v>
      </x:c>
      <x:c r="X439" s="20" t="n">
        <x:f>IF(Q439="是",0,IFERROR(P439/SUMIFS($P$2:$P$964,$A$2:$A$964,A439,$Q$2:$Q$964,"否"),0))</x:f>
        <x:v>0.0027609455462949558</x:v>
      </x:c>
      <x:c r="Y439" s="22" t="str">
        <x:f>IF(OR(M439="",U439=""),"未交叉",IF(M439*U439&gt;0,"同向",IF(M439*U439&lt;0,"背离","一侧持平")))</x:f>
        <x:v>未交叉</x:v>
      </x:c>
    </x:row>
    <x:row r="440">
      <x:c r="A440" s="18" t="str">
        <x:v>polar.sh</x:v>
      </x:c>
      <x:c r="B440" s="19" t="str">
        <x:v>支付商主域（混合流量）</x:v>
      </x:c>
      <x:c r="C440" s="19" t="str">
        <x:v>中</x:v>
      </x:c>
      <x:c r="D440" s="19" t="str">
        <x:v>Jul 2026</x:v>
      </x:c>
      <x:c r="E440" s="19" t="n">
        <x:v>97</x:v>
      </x:c>
      <x:c r="F440" s="19" t="str">
        <x:v>getreef.app</x:v>
      </x:c>
      <x:c r="G440" s="19" t="str">
        <x:v>Unknown</x:v>
      </x:c>
      <x:c r="H440" s="19" t="str">
        <x:v>其他/待核查</x:v>
      </x:c>
      <x:c r="I440" s="19" t="str">
        <x:v>Similarweb 未分类</x:v>
      </x:c>
      <x:c r="J440" s="19" t="n">
        <x:v>7272437</x:v>
      </x:c>
      <x:c r="K440" s="20" t="n">
        <x:v>0.0016</x:v>
      </x:c>
      <x:c r="L440" s="19" t="str">
        <x:v>下降</x:v>
      </x:c>
      <x:c r="M440" s="20" t="n">
        <x:v>-0.865</x:v>
      </x:c>
      <x:c r="N440" s="21" t="n">
        <x:v>157018</x:v>
      </x:c>
      <x:c r="O440" s="21" t="n">
        <x:v>251</x:v>
      </x:c>
      <x:c r="P440" s="21" t="n">
        <x:f>ROUND(N440*K440,0)</x:f>
        <x:v>251</x:v>
      </x:c>
      <x:c r="Q440" s="19" t="str">
        <x:v>否</x:v>
      </x:c>
      <x:c r="R440" s="19" t="str"/>
      <x:c r="S440" s="19" t="n">
        <x:f>IF(Q440="是",0,MIN(10,2+IF(C440="高",2,1)+IF(K440&gt;=3%,3,IF(K440&gt;=1%,2,1))+IF(L440="新出现",2,IF(M440&gt;=100%,3,IF(M440&gt;0,2,0)))))</x:f>
        <x:v>4</x:v>
      </x:c>
      <x:c r="T440" s="21"/>
      <x:c r="U440" s="20"/>
      <x:c r="V440" s="19" t="str">
        <x:v>http://getreef.app/</x:v>
      </x:c>
      <x:c r="W440" s="19" t="str">
        <x:v>https://pro.similarweb.com/#/digitalsuite/websiteanalysis/referrals/*/999/1m?webSource=Total&amp;selectedTab=incomingTraffic&amp;key=polar.sh</x:v>
      </x:c>
      <x:c r="X440" s="20" t="n">
        <x:f>IF(Q440="是",0,IFERROR(P440/SUMIFS($P$2:$P$964,$A$2:$A$964,A440,$Q$2:$Q$964,"否"),0))</x:f>
        <x:v>0.00259549562591773</x:v>
      </x:c>
      <x:c r="Y440" s="22" t="str">
        <x:f>IF(OR(M440="",U440=""),"未交叉",IF(M440*U440&gt;0,"同向",IF(M440*U440&lt;0,"背离","一侧持平")))</x:f>
        <x:v>未交叉</x:v>
      </x:c>
    </x:row>
    <x:row r="441">
      <x:c r="A441" s="18" t="str">
        <x:v>polar.sh</x:v>
      </x:c>
      <x:c r="B441" s="19" t="str">
        <x:v>支付商主域（混合流量）</x:v>
      </x:c>
      <x:c r="C441" s="19" t="str">
        <x:v>中</x:v>
      </x:c>
      <x:c r="D441" s="19" t="str">
        <x:v>Jul 2026</x:v>
      </x:c>
      <x:c r="E441" s="19" t="n">
        <x:v>98</x:v>
      </x:c>
      <x:c r="F441" s="19" t="str">
        <x:v>musicwave.ai</x:v>
      </x:c>
      <x:c r="G441" s="19" t="str">
        <x:v>Unknown</x:v>
      </x:c>
      <x:c r="H441" s="19" t="str">
        <x:v>AI 工具与应用（未细分）</x:v>
      </x:c>
      <x:c r="I441" s="19" t="str">
        <x:v>域名后缀启发式</x:v>
      </x:c>
      <x:c r="J441" s="19" t="n">
        <x:v>342900</x:v>
      </x:c>
      <x:c r="K441" s="20" t="n">
        <x:v>0.0016</x:v>
      </x:c>
      <x:c r="L441" s="19" t="str">
        <x:v>新出现</x:v>
      </x:c>
      <x:c r="M441" s="20"/>
      <x:c r="N441" s="21" t="n">
        <x:v>157018</x:v>
      </x:c>
      <x:c r="O441" s="21" t="n">
        <x:v>251</x:v>
      </x:c>
      <x:c r="P441" s="21" t="n">
        <x:f>ROUND(N441*K441,0)</x:f>
        <x:v>251</x:v>
      </x:c>
      <x:c r="Q441" s="19" t="str">
        <x:v>否</x:v>
      </x:c>
      <x:c r="R441" s="19" t="str"/>
      <x:c r="S441" s="19" t="n">
        <x:f>IF(Q441="是",0,MIN(10,2+IF(C441="高",2,1)+IF(K441&gt;=3%,3,IF(K441&gt;=1%,2,1))+IF(L441="新出现",2,IF(M441&gt;=100%,3,IF(M441&gt;0,2,0)))))</x:f>
        <x:v>6</x:v>
      </x:c>
      <x:c r="T441" s="21"/>
      <x:c r="U441" s="20"/>
      <x:c r="V441" s="19" t="str">
        <x:v>http://musicwave.ai/</x:v>
      </x:c>
      <x:c r="W441" s="19" t="str">
        <x:v>https://pro.similarweb.com/#/digitalsuite/websiteanalysis/referrals/*/999/1m?webSource=Total&amp;selectedTab=incomingTraffic&amp;key=polar.sh</x:v>
      </x:c>
      <x:c r="X441" s="20" t="n">
        <x:f>IF(Q441="是",0,IFERROR(P441/SUMIFS($P$2:$P$964,$A$2:$A$964,A441,$Q$2:$Q$964,"否"),0))</x:f>
        <x:v>0.00259549562591773</x:v>
      </x:c>
      <x:c r="Y441" s="22" t="str">
        <x:f>IF(OR(M441="",U441=""),"未交叉",IF(M441*U441&gt;0,"同向",IF(M441*U441&lt;0,"背离","一侧持平")))</x:f>
        <x:v>未交叉</x:v>
      </x:c>
    </x:row>
    <x:row r="442">
      <x:c r="A442" s="18" t="str">
        <x:v>polar.sh</x:v>
      </x:c>
      <x:c r="B442" s="19" t="str">
        <x:v>支付商主域（混合流量）</x:v>
      </x:c>
      <x:c r="C442" s="19" t="str">
        <x:v>中</x:v>
      </x:c>
      <x:c r="D442" s="19" t="str">
        <x:v>Jul 2026</x:v>
      </x:c>
      <x:c r="E442" s="19" t="n">
        <x:v>99</x:v>
      </x:c>
      <x:c r="F442" s="19" t="str">
        <x:v>app.textbee.dev</x:v>
      </x:c>
      <x:c r="G442" s="19" t="str">
        <x:v>Unknown</x:v>
      </x:c>
      <x:c r="H442" s="19" t="str">
        <x:v>其他/待核查</x:v>
      </x:c>
      <x:c r="I442" s="19" t="str">
        <x:v>Similarweb 未分类</x:v>
      </x:c>
      <x:c r="J442" s="19"/>
      <x:c r="K442" s="20" t="n">
        <x:v>0.0016</x:v>
      </x:c>
      <x:c r="L442" s="19" t="str">
        <x:v>上升</x:v>
      </x:c>
      <x:c r="M442" s="20" t="n">
        <x:v>0.2018</x:v>
      </x:c>
      <x:c r="N442" s="21" t="n">
        <x:v>157018</x:v>
      </x:c>
      <x:c r="O442" s="21" t="n">
        <x:v>251</x:v>
      </x:c>
      <x:c r="P442" s="21" t="n">
        <x:f>ROUND(N442*K442,0)</x:f>
        <x:v>251</x:v>
      </x:c>
      <x:c r="Q442" s="19" t="str">
        <x:v>否</x:v>
      </x:c>
      <x:c r="R442" s="19" t="str"/>
      <x:c r="S442" s="19" t="n">
        <x:f>IF(Q442="是",0,MIN(10,2+IF(C442="高",2,1)+IF(K442&gt;=3%,3,IF(K442&gt;=1%,2,1))+IF(L442="新出现",2,IF(M442&gt;=100%,3,IF(M442&gt;0,2,0)))))</x:f>
        <x:v>6</x:v>
      </x:c>
      <x:c r="T442" s="21"/>
      <x:c r="U442" s="20"/>
      <x:c r="V442" s="19" t="str">
        <x:v>http://app.textbee.dev/</x:v>
      </x:c>
      <x:c r="W442" s="19" t="str">
        <x:v>https://pro.similarweb.com/#/digitalsuite/websiteanalysis/referrals/*/999/1m?webSource=Total&amp;selectedTab=incomingTraffic&amp;key=polar.sh</x:v>
      </x:c>
      <x:c r="X442" s="20" t="n">
        <x:f>IF(Q442="是",0,IFERROR(P442/SUMIFS($P$2:$P$964,$A$2:$A$964,A442,$Q$2:$Q$964,"否"),0))</x:f>
        <x:v>0.00259549562591773</x:v>
      </x:c>
      <x:c r="Y442" s="22" t="str">
        <x:f>IF(OR(M442="",U442=""),"未交叉",IF(M442*U442&gt;0,"同向",IF(M442*U442&lt;0,"背离","一侧持平")))</x:f>
        <x:v>未交叉</x:v>
      </x:c>
    </x:row>
    <x:row r="443">
      <x:c r="A443" s="18" t="str">
        <x:v>polar.sh</x:v>
      </x:c>
      <x:c r="B443" s="19" t="str">
        <x:v>支付商主域（混合流量）</x:v>
      </x:c>
      <x:c r="C443" s="19" t="str">
        <x:v>中</x:v>
      </x:c>
      <x:c r="D443" s="19" t="str">
        <x:v>Jul 2026</x:v>
      </x:c>
      <x:c r="E443" s="19" t="n">
        <x:v>100</x:v>
      </x:c>
      <x:c r="F443" s="19" t="str">
        <x:v>canva.com</x:v>
      </x:c>
      <x:c r="G443" s="19" t="str">
        <x:v>Graphics Multimedia and Web Design</x:v>
      </x:c>
      <x:c r="H443" s="19" t="str">
        <x:v>创作、设计与多媒体工具</x:v>
      </x:c>
      <x:c r="I443" s="19" t="str">
        <x:v>Similarweb 行业映射</x:v>
      </x:c>
      <x:c r="J443" s="19" t="n">
        <x:v>35</x:v>
      </x:c>
      <x:c r="K443" s="20" t="n">
        <x:v>0.0016</x:v>
      </x:c>
      <x:c r="L443" s="19" t="str">
        <x:v>下降</x:v>
      </x:c>
      <x:c r="M443" s="20" t="n">
        <x:v>-0.38530000000000003</x:v>
      </x:c>
      <x:c r="N443" s="21" t="n">
        <x:v>157018</x:v>
      </x:c>
      <x:c r="O443" s="21" t="n">
        <x:v>251</x:v>
      </x:c>
      <x:c r="P443" s="21" t="n">
        <x:f>ROUND(N443*K443,0)</x:f>
        <x:v>251</x:v>
      </x:c>
      <x:c r="Q443" s="19" t="str">
        <x:v>否</x:v>
      </x:c>
      <x:c r="R443" s="19" t="str"/>
      <x:c r="S443" s="19" t="n">
        <x:f>IF(Q443="是",0,MIN(10,2+IF(C443="高",2,1)+IF(K443&gt;=3%,3,IF(K443&gt;=1%,2,1))+IF(L443="新出现",2,IF(M443&gt;=100%,3,IF(M443&gt;0,2,0)))))</x:f>
        <x:v>4</x:v>
      </x:c>
      <x:c r="T443" s="21"/>
      <x:c r="U443" s="20"/>
      <x:c r="V443" s="19" t="str">
        <x:v>http://canva.com/</x:v>
      </x:c>
      <x:c r="W443" s="19" t="str">
        <x:v>https://pro.similarweb.com/#/digitalsuite/websiteanalysis/referrals/*/999/1m?webSource=Total&amp;selectedTab=incomingTraffic&amp;key=polar.sh</x:v>
      </x:c>
      <x:c r="X443" s="20" t="n">
        <x:f>IF(Q443="是",0,IFERROR(P443/SUMIFS($P$2:$P$964,$A$2:$A$964,A443,$Q$2:$Q$964,"否"),0))</x:f>
        <x:v>0.00259549562591773</x:v>
      </x:c>
      <x:c r="Y443" s="22" t="str">
        <x:f>IF(OR(M443="",U443=""),"未交叉",IF(M443*U443&gt;0,"同向",IF(M443*U443&lt;0,"背离","一侧持平")))</x:f>
        <x:v>未交叉</x:v>
      </x:c>
    </x:row>
    <x:row r="444">
      <x:c r="A444" s="18" t="str">
        <x:v>lemonsqueezy.com</x:v>
      </x:c>
      <x:c r="B444" s="19" t="str">
        <x:v>支付商主域（混合流量）</x:v>
      </x:c>
      <x:c r="C444" s="19" t="str">
        <x:v>中</x:v>
      </x:c>
      <x:c r="D444" s="19" t="str">
        <x:v>Jul 2026</x:v>
      </x:c>
      <x:c r="E444" s="19" t="n">
        <x:v>1</x:v>
      </x:c>
      <x:c r="F444" s="19" t="str">
        <x:v>Referral</x:v>
      </x:c>
      <x:c r="G444" s="19" t="str">
        <x:v>Unknown</x:v>
      </x:c>
      <x:c r="H444" s="19" t="str">
        <x:v>其他/待核查</x:v>
      </x:c>
      <x:c r="I444" s="19" t="str">
        <x:v>Similarweb 未分类</x:v>
      </x:c>
      <x:c r="J444" s="19"/>
      <x:c r="K444" s="20" t="n">
        <x:v>0.2291</x:v>
      </x:c>
      <x:c r="L444" s="19" t="str">
        <x:v>上升</x:v>
      </x:c>
      <x:c r="M444" s="20" t="n">
        <x:v>0.0533</x:v>
      </x:c>
      <x:c r="N444" s="21" t="n">
        <x:v>126914</x:v>
      </x:c>
      <x:c r="O444" s="21" t="n">
        <x:v>29076</x:v>
      </x:c>
      <x:c r="P444" s="21" t="n">
        <x:f>ROUND(N444*K444,0)</x:f>
        <x:v>29076</x:v>
      </x:c>
      <x:c r="Q444" s="19" t="str">
        <x:v>是</x:v>
      </x:c>
      <x:c r="R444" s="19" t="str">
        <x:v>无效/聚合标签</x:v>
      </x:c>
      <x:c r="S444" s="19" t="n">
        <x:f>IF(Q444="是",0,MIN(10,2+IF(C444="高",2,1)+IF(K444&gt;=3%,3,IF(K444&gt;=1%,2,1))+IF(L444="新出现",2,IF(M444&gt;=100%,3,IF(M444&gt;0,2,0)))))</x:f>
        <x:v>0</x:v>
      </x:c>
      <x:c r="T444" s="21"/>
      <x:c r="U444" s="20"/>
      <x:c r="V444" s="19" t="str">
        <x:v>http://referral/</x:v>
      </x:c>
      <x:c r="W444" s="19" t="str">
        <x:v>https://pro.similarweb.com/#/digitalsuite/websiteanalysis/referrals/*/999/1m?webSource=Total&amp;selectedTab=incomingTraffic&amp;key=lemonsqueezy.com</x:v>
      </x:c>
      <x:c r="X444" s="20" t="n">
        <x:f>IF(Q444="是",0,IFERROR(P444/SUMIFS($P$2:$P$964,$A$2:$A$964,A444,$Q$2:$Q$964,"否"),0))</x:f>
        <x:v>0</x:v>
      </x:c>
      <x:c r="Y444" s="22" t="str">
        <x:f>IF(OR(M444="",U444=""),"未交叉",IF(M444*U444&gt;0,"同向",IF(M444*U444&lt;0,"背离","一侧持平")))</x:f>
        <x:v>未交叉</x:v>
      </x:c>
    </x:row>
    <x:row r="445">
      <x:c r="A445" s="18" t="str">
        <x:v>lemonsqueezy.com</x:v>
      </x:c>
      <x:c r="B445" s="19" t="str">
        <x:v>支付商主域（混合流量）</x:v>
      </x:c>
      <x:c r="C445" s="19" t="str">
        <x:v>中</x:v>
      </x:c>
      <x:c r="D445" s="19" t="str">
        <x:v>Jul 2026</x:v>
      </x:c>
      <x:c r="E445" s="19" t="n">
        <x:v>2</x:v>
      </x:c>
      <x:c r="F445" s="19" t="str">
        <x:v>app.link.com</x:v>
      </x:c>
      <x:c r="G445" s="19" t="str">
        <x:v>Computers Electronics and Technology</x:v>
      </x:c>
      <x:c r="H445" s="19" t="str">
        <x:v>通用数字产品与技术服务</x:v>
      </x:c>
      <x:c r="I445" s="19" t="str">
        <x:v>Similarweb 行业映射</x:v>
      </x:c>
      <x:c r="J445" s="19"/>
      <x:c r="K445" s="20" t="n">
        <x:v>0.056100000000000004</x:v>
      </x:c>
      <x:c r="L445" s="19" t="str">
        <x:v>上升</x:v>
      </x:c>
      <x:c r="M445" s="20" t="n">
        <x:v>11.853699999999998</x:v>
      </x:c>
      <x:c r="N445" s="21" t="n">
        <x:v>126914</x:v>
      </x:c>
      <x:c r="O445" s="21" t="n">
        <x:v>7120</x:v>
      </x:c>
      <x:c r="P445" s="21" t="n">
        <x:f>ROUND(N445*K445,0)</x:f>
        <x:v>7120</x:v>
      </x:c>
      <x:c r="Q445" s="19" t="str">
        <x:v>是</x:v>
      </x:c>
      <x:c r="R445" s="19" t="str">
        <x:v>支付平台、自引荐或流量中介</x:v>
      </x:c>
      <x:c r="S445" s="19" t="n">
        <x:f>IF(Q445="是",0,MIN(10,2+IF(C445="高",2,1)+IF(K445&gt;=3%,3,IF(K445&gt;=1%,2,1))+IF(L445="新出现",2,IF(M445&gt;=100%,3,IF(M445&gt;0,2,0)))))</x:f>
        <x:v>0</x:v>
      </x:c>
      <x:c r="T445" s="21"/>
      <x:c r="U445" s="20"/>
      <x:c r="V445" s="19" t="str">
        <x:v>http://app.link.com/</x:v>
      </x:c>
      <x:c r="W445" s="19" t="str">
        <x:v>https://pro.similarweb.com/#/digitalsuite/websiteanalysis/referrals/*/999/1m?webSource=Total&amp;selectedTab=incomingTraffic&amp;key=lemonsqueezy.com</x:v>
      </x:c>
      <x:c r="X445" s="20" t="n">
        <x:f>IF(Q445="是",0,IFERROR(P445/SUMIFS($P$2:$P$964,$A$2:$A$964,A445,$Q$2:$Q$964,"否"),0))</x:f>
        <x:v>0</x:v>
      </x:c>
      <x:c r="Y445" s="22" t="str">
        <x:f>IF(OR(M445="",U445=""),"未交叉",IF(M445*U445&gt;0,"同向",IF(M445*U445&lt;0,"背离","一侧持平")))</x:f>
        <x:v>未交叉</x:v>
      </x:c>
    </x:row>
    <x:row r="446">
      <x:c r="A446" s="18" t="str">
        <x:v>lemonsqueezy.com</x:v>
      </x:c>
      <x:c r="B446" s="19" t="str">
        <x:v>支付商主域（混合流量）</x:v>
      </x:c>
      <x:c r="C446" s="19" t="str">
        <x:v>中</x:v>
      </x:c>
      <x:c r="D446" s="19" t="str">
        <x:v>Jul 2026</x:v>
      </x:c>
      <x:c r="E446" s="19" t="n">
        <x:v>3</x:v>
      </x:c>
      <x:c r="F446" s="19" t="str">
        <x:v>trustmrr.com</x:v>
      </x:c>
      <x:c r="G446" s="19" t="str">
        <x:v>Computers Electronics and Technology</x:v>
      </x:c>
      <x:c r="H446" s="19" t="str">
        <x:v>通用数字产品与技术服务</x:v>
      </x:c>
      <x:c r="I446" s="19" t="str">
        <x:v>Similarweb 行业映射</x:v>
      </x:c>
      <x:c r="J446" s="19" t="n">
        <x:v>51316</x:v>
      </x:c>
      <x:c r="K446" s="20" t="n">
        <x:v>0.023799999999999998</x:v>
      </x:c>
      <x:c r="L446" s="19" t="str">
        <x:v>上升</x:v>
      </x:c>
      <x:c r="M446" s="20" t="n">
        <x:v>4.1235</x:v>
      </x:c>
      <x:c r="N446" s="21" t="n">
        <x:v>126914</x:v>
      </x:c>
      <x:c r="O446" s="21" t="n">
        <x:v>3021</x:v>
      </x:c>
      <x:c r="P446" s="21" t="n">
        <x:f>ROUND(N446*K446,0)</x:f>
        <x:v>3021</x:v>
      </x:c>
      <x:c r="Q446" s="19" t="str">
        <x:v>否</x:v>
      </x:c>
      <x:c r="R446" s="19" t="str"/>
      <x:c r="S446" s="19" t="n">
        <x:f>IF(Q446="是",0,MIN(10,2+IF(C446="高",2,1)+IF(K446&gt;=3%,3,IF(K446&gt;=1%,2,1))+IF(L446="新出现",2,IF(M446&gt;=100%,3,IF(M446&gt;0,2,0)))))</x:f>
        <x:v>8</x:v>
      </x:c>
      <x:c r="T446" s="21"/>
      <x:c r="U446" s="20"/>
      <x:c r="V446" s="19" t="str">
        <x:v>http://trustmrr.com/</x:v>
      </x:c>
      <x:c r="W446" s="19" t="str">
        <x:v>https://pro.similarweb.com/#/digitalsuite/websiteanalysis/referrals/*/999/1m?webSource=Total&amp;selectedTab=incomingTraffic&amp;key=lemonsqueezy.com</x:v>
      </x:c>
      <x:c r="X446" s="20" t="n">
        <x:f>IF(Q446="是",0,IFERROR(P446/SUMIFS($P$2:$P$964,$A$2:$A$964,A446,$Q$2:$Q$964,"否"),0))</x:f>
        <x:v>0.04167931348472724</x:v>
      </x:c>
      <x:c r="Y446" s="22" t="str">
        <x:f>IF(OR(M446="",U446=""),"未交叉",IF(M446*U446&gt;0,"同向",IF(M446*U446&lt;0,"背离","一侧持平")))</x:f>
        <x:v>未交叉</x:v>
      </x:c>
    </x:row>
    <x:row r="447">
      <x:c r="A447" s="18" t="str">
        <x:v>lemonsqueezy.com</x:v>
      </x:c>
      <x:c r="B447" s="19" t="str">
        <x:v>支付商主域（混合流量）</x:v>
      </x:c>
      <x:c r="C447" s="19" t="str">
        <x:v>中</x:v>
      </x:c>
      <x:c r="D447" s="19" t="str">
        <x:v>Jul 2026</x:v>
      </x:c>
      <x:c r="E447" s="19" t="n">
        <x:v>4</x:v>
      </x:c>
      <x:c r="F447" s="19" t="str">
        <x:v>rowifi.xyz</x:v>
      </x:c>
      <x:c r="G447" s="19" t="str">
        <x:v>Video Games Consoles and Accessories</x:v>
      </x:c>
      <x:c r="H447" s="19" t="str">
        <x:v>游戏、数字商品与虚拟内容</x:v>
      </x:c>
      <x:c r="I447" s="19" t="str">
        <x:v>Similarweb 行业映射</x:v>
      </x:c>
      <x:c r="J447" s="19" t="n">
        <x:v>449918</x:v>
      </x:c>
      <x:c r="K447" s="20" t="n">
        <x:v>0.022799999999999997</x:v>
      </x:c>
      <x:c r="L447" s="19" t="str">
        <x:v>上升</x:v>
      </x:c>
      <x:c r="M447" s="20" t="n">
        <x:v>1.1329</x:v>
      </x:c>
      <x:c r="N447" s="21" t="n">
        <x:v>126914</x:v>
      </x:c>
      <x:c r="O447" s="21" t="n">
        <x:v>2894</x:v>
      </x:c>
      <x:c r="P447" s="21" t="n">
        <x:f>ROUND(N447*K447,0)</x:f>
        <x:v>2894</x:v>
      </x:c>
      <x:c r="Q447" s="19" t="str">
        <x:v>否</x:v>
      </x:c>
      <x:c r="R447" s="19" t="str"/>
      <x:c r="S447" s="19" t="n">
        <x:f>IF(Q447="是",0,MIN(10,2+IF(C447="高",2,1)+IF(K447&gt;=3%,3,IF(K447&gt;=1%,2,1))+IF(L447="新出现",2,IF(M447&gt;=100%,3,IF(M447&gt;0,2,0)))))</x:f>
        <x:v>8</x:v>
      </x:c>
      <x:c r="T447" s="21"/>
      <x:c r="U447" s="20"/>
      <x:c r="V447" s="19" t="str">
        <x:v>http://rowifi.xyz/</x:v>
      </x:c>
      <x:c r="W447" s="19" t="str">
        <x:v>https://pro.similarweb.com/#/digitalsuite/websiteanalysis/referrals/*/999/1m?webSource=Total&amp;selectedTab=incomingTraffic&amp;key=lemonsqueezy.com</x:v>
      </x:c>
      <x:c r="X447" s="20" t="n">
        <x:f>IF(Q447="是",0,IFERROR(P447/SUMIFS($P$2:$P$964,$A$2:$A$964,A447,$Q$2:$Q$964,"否"),0))</x:f>
        <x:v>0.03992715432797108</x:v>
      </x:c>
      <x:c r="Y447" s="22" t="str">
        <x:f>IF(OR(M447="",U447=""),"未交叉",IF(M447*U447&gt;0,"同向",IF(M447*U447&lt;0,"背离","一侧持平")))</x:f>
        <x:v>未交叉</x:v>
      </x:c>
    </x:row>
    <x:row r="448">
      <x:c r="A448" s="18" t="str">
        <x:v>lemonsqueezy.com</x:v>
      </x:c>
      <x:c r="B448" s="19" t="str">
        <x:v>支付商主域（混合流量）</x:v>
      </x:c>
      <x:c r="C448" s="19" t="str">
        <x:v>中</x:v>
      </x:c>
      <x:c r="D448" s="19" t="str">
        <x:v>Jul 2026</x:v>
      </x:c>
      <x:c r="E448" s="19" t="n">
        <x:v>5</x:v>
      </x:c>
      <x:c r="F448" s="19" t="str">
        <x:v>vorpx.com</x:v>
      </x:c>
      <x:c r="G448" s="19" t="str">
        <x:v>Video Games Consoles and Accessories</x:v>
      </x:c>
      <x:c r="H448" s="19" t="str">
        <x:v>桌面/移动端专业工具</x:v>
      </x:c>
      <x:c r="I448" s="19" t="str">
        <x:v>域名人工识别</x:v>
      </x:c>
      <x:c r="J448" s="19" t="n">
        <x:v>390878</x:v>
      </x:c>
      <x:c r="K448" s="20" t="n">
        <x:v>0.022400000000000003</x:v>
      </x:c>
      <x:c r="L448" s="19" t="str">
        <x:v>上升</x:v>
      </x:c>
      <x:c r="M448" s="20" t="n">
        <x:v>17.939</x:v>
      </x:c>
      <x:c r="N448" s="21" t="n">
        <x:v>126914</x:v>
      </x:c>
      <x:c r="O448" s="21" t="n">
        <x:v>2843</x:v>
      </x:c>
      <x:c r="P448" s="21" t="n">
        <x:f>ROUND(N448*K448,0)</x:f>
        <x:v>2843</x:v>
      </x:c>
      <x:c r="Q448" s="19" t="str">
        <x:v>否</x:v>
      </x:c>
      <x:c r="R448" s="19" t="str"/>
      <x:c r="S448" s="19" t="n">
        <x:f>IF(Q448="是",0,MIN(10,2+IF(C448="高",2,1)+IF(K448&gt;=3%,3,IF(K448&gt;=1%,2,1))+IF(L448="新出现",2,IF(M448&gt;=100%,3,IF(M448&gt;0,2,0)))))</x:f>
        <x:v>8</x:v>
      </x:c>
      <x:c r="T448" s="21"/>
      <x:c r="U448" s="20"/>
      <x:c r="V448" s="19" t="str">
        <x:v>http://vorpx.com/</x:v>
      </x:c>
      <x:c r="W448" s="19" t="str">
        <x:v>https://pro.similarweb.com/#/digitalsuite/websiteanalysis/referrals/*/999/1m?webSource=Total&amp;selectedTab=incomingTraffic&amp;key=lemonsqueezy.com</x:v>
      </x:c>
      <x:c r="X448" s="20" t="n">
        <x:f>IF(Q448="是",0,IFERROR(P448/SUMIFS($P$2:$P$964,$A$2:$A$964,A448,$Q$2:$Q$964,"否"),0))</x:f>
        <x:v>0.03922353135950995</x:v>
      </x:c>
      <x:c r="Y448" s="22" t="str">
        <x:f>IF(OR(M448="",U448=""),"未交叉",IF(M448*U448&gt;0,"同向",IF(M448*U448&lt;0,"背离","一侧持平")))</x:f>
        <x:v>未交叉</x:v>
      </x:c>
    </x:row>
    <x:row r="449">
      <x:c r="A449" s="18" t="str">
        <x:v>lemonsqueezy.com</x:v>
      </x:c>
      <x:c r="B449" s="19" t="str">
        <x:v>支付商主域（混合流量）</x:v>
      </x:c>
      <x:c r="C449" s="19" t="str">
        <x:v>中</x:v>
      </x:c>
      <x:c r="D449" s="19" t="str">
        <x:v>Jul 2026</x:v>
      </x:c>
      <x:c r="E449" s="19" t="n">
        <x:v>6</x:v>
      </x:c>
      <x:c r="F449" s="19" t="str">
        <x:v>spectea.io</x:v>
      </x:c>
      <x:c r="G449" s="19" t="str">
        <x:v>Unknown</x:v>
      </x:c>
      <x:c r="H449" s="19" t="str">
        <x:v>创作者资产、模板与设计工具</x:v>
      </x:c>
      <x:c r="I449" s="19" t="str">
        <x:v>域名人工识别</x:v>
      </x:c>
      <x:c r="J449" s="19" t="n">
        <x:v>4522372</x:v>
      </x:c>
      <x:c r="K449" s="20" t="n">
        <x:v>0.0216</x:v>
      </x:c>
      <x:c r="L449" s="19" t="str">
        <x:v>下降</x:v>
      </x:c>
      <x:c r="M449" s="20" t="n">
        <x:v>-0.2445</x:v>
      </x:c>
      <x:c r="N449" s="21" t="n">
        <x:v>126914</x:v>
      </x:c>
      <x:c r="O449" s="21" t="n">
        <x:v>2741</x:v>
      </x:c>
      <x:c r="P449" s="21" t="n">
        <x:f>ROUND(N449*K449,0)</x:f>
        <x:v>2741</x:v>
      </x:c>
      <x:c r="Q449" s="19" t="str">
        <x:v>否</x:v>
      </x:c>
      <x:c r="R449" s="19" t="str"/>
      <x:c r="S449" s="19" t="n">
        <x:f>IF(Q449="是",0,MIN(10,2+IF(C449="高",2,1)+IF(K449&gt;=3%,3,IF(K449&gt;=1%,2,1))+IF(L449="新出现",2,IF(M449&gt;=100%,3,IF(M449&gt;0,2,0)))))</x:f>
        <x:v>5</x:v>
      </x:c>
      <x:c r="T449" s="21"/>
      <x:c r="U449" s="20"/>
      <x:c r="V449" s="19" t="str">
        <x:v>http://spectea.io/</x:v>
      </x:c>
      <x:c r="W449" s="19" t="str">
        <x:v>https://pro.similarweb.com/#/digitalsuite/websiteanalysis/referrals/*/999/1m?webSource=Total&amp;selectedTab=incomingTraffic&amp;key=lemonsqueezy.com</x:v>
      </x:c>
      <x:c r="X449" s="20" t="n">
        <x:f>IF(Q449="是",0,IFERROR(P449/SUMIFS($P$2:$P$964,$A$2:$A$964,A449,$Q$2:$Q$964,"否"),0))</x:f>
        <x:v>0.03781628542258768</x:v>
      </x:c>
      <x:c r="Y449" s="22" t="str">
        <x:f>IF(OR(M449="",U449=""),"未交叉",IF(M449*U449&gt;0,"同向",IF(M449*U449&lt;0,"背离","一侧持平")))</x:f>
        <x:v>未交叉</x:v>
      </x:c>
    </x:row>
    <x:row r="450">
      <x:c r="A450" s="18" t="str">
        <x:v>lemonsqueezy.com</x:v>
      </x:c>
      <x:c r="B450" s="19" t="str">
        <x:v>支付商主域（混合流量）</x:v>
      </x:c>
      <x:c r="C450" s="19" t="str">
        <x:v>中</x:v>
      </x:c>
      <x:c r="D450" s="19" t="str">
        <x:v>Jul 2026</x:v>
      </x:c>
      <x:c r="E450" s="19" t="n">
        <x:v>7</x:v>
      </x:c>
      <x:c r="F450" s="19" t="str">
        <x:v>alienicons.com</x:v>
      </x:c>
      <x:c r="G450" s="19" t="str">
        <x:v>Unknown</x:v>
      </x:c>
      <x:c r="H450" s="19" t="str">
        <x:v>创作者资产、模板与设计工具</x:v>
      </x:c>
      <x:c r="I450" s="19" t="str">
        <x:v>域名人工识别</x:v>
      </x:c>
      <x:c r="J450" s="19"/>
      <x:c r="K450" s="20" t="n">
        <x:v>0.018799999999999997</x:v>
      </x:c>
      <x:c r="L450" s="19" t="str">
        <x:v>新出现</x:v>
      </x:c>
      <x:c r="M450" s="20"/>
      <x:c r="N450" s="21" t="n">
        <x:v>126914</x:v>
      </x:c>
      <x:c r="O450" s="21" t="n">
        <x:v>2386</x:v>
      </x:c>
      <x:c r="P450" s="21" t="n">
        <x:f>ROUND(N450*K450,0)</x:f>
        <x:v>2386</x:v>
      </x:c>
      <x:c r="Q450" s="19" t="str">
        <x:v>否</x:v>
      </x:c>
      <x:c r="R450" s="19" t="str"/>
      <x:c r="S450" s="19" t="n">
        <x:f>IF(Q450="是",0,MIN(10,2+IF(C450="高",2,1)+IF(K450&gt;=3%,3,IF(K450&gt;=1%,2,1))+IF(L450="新出现",2,IF(M450&gt;=100%,3,IF(M450&gt;0,2,0)))))</x:f>
        <x:v>7</x:v>
      </x:c>
      <x:c r="T450" s="21"/>
      <x:c r="U450" s="20"/>
      <x:c r="V450" s="19" t="str">
        <x:v>http://alienicons.com/</x:v>
      </x:c>
      <x:c r="W450" s="19" t="str">
        <x:v>https://pro.similarweb.com/#/digitalsuite/websiteanalysis/referrals/*/999/1m?webSource=Total&amp;selectedTab=incomingTraffic&amp;key=lemonsqueezy.com</x:v>
      </x:c>
      <x:c r="X450" s="20" t="n">
        <x:f>IF(Q450="是",0,IFERROR(P450/SUMIFS($P$2:$P$964,$A$2:$A$964,A450,$Q$2:$Q$964,"否"),0))</x:f>
        <x:v>0.03291851770094644</x:v>
      </x:c>
      <x:c r="Y450" s="22" t="str">
        <x:f>IF(OR(M450="",U450=""),"未交叉",IF(M450*U450&gt;0,"同向",IF(M450*U450&lt;0,"背离","一侧持平")))</x:f>
        <x:v>未交叉</x:v>
      </x:c>
    </x:row>
    <x:row r="451">
      <x:c r="A451" s="18" t="str">
        <x:v>lemonsqueezy.com</x:v>
      </x:c>
      <x:c r="B451" s="19" t="str">
        <x:v>支付商主域（混合流量）</x:v>
      </x:c>
      <x:c r="C451" s="19" t="str">
        <x:v>中</x:v>
      </x:c>
      <x:c r="D451" s="19" t="str">
        <x:v>Jul 2026</x:v>
      </x:c>
      <x:c r="E451" s="19" t="n">
        <x:v>8</x:v>
      </x:c>
      <x:c r="F451" s="19" t="str">
        <x:v>rainbowcircuit.co</x:v>
      </x:c>
      <x:c r="G451" s="19" t="str">
        <x:v>Unknown</x:v>
      </x:c>
      <x:c r="H451" s="19" t="str">
        <x:v>创作者资产、模板与设计工具</x:v>
      </x:c>
      <x:c r="I451" s="19" t="str">
        <x:v>域名人工识别</x:v>
      </x:c>
      <x:c r="J451" s="19" t="n">
        <x:v>6490319</x:v>
      </x:c>
      <x:c r="K451" s="20" t="n">
        <x:v>0.017</x:v>
      </x:c>
      <x:c r="L451" s="19" t="str">
        <x:v>上升</x:v>
      </x:c>
      <x:c r="M451" s="20" t="n">
        <x:v>3.9089</x:v>
      </x:c>
      <x:c r="N451" s="21" t="n">
        <x:v>126914</x:v>
      </x:c>
      <x:c r="O451" s="21" t="n">
        <x:v>2158</x:v>
      </x:c>
      <x:c r="P451" s="21" t="n">
        <x:f>ROUND(N451*K451,0)</x:f>
        <x:v>2158</x:v>
      </x:c>
      <x:c r="Q451" s="19" t="str">
        <x:v>否</x:v>
      </x:c>
      <x:c r="R451" s="19" t="str"/>
      <x:c r="S451" s="19" t="n">
        <x:f>IF(Q451="是",0,MIN(10,2+IF(C451="高",2,1)+IF(K451&gt;=3%,3,IF(K451&gt;=1%,2,1))+IF(L451="新出现",2,IF(M451&gt;=100%,3,IF(M451&gt;0,2,0)))))</x:f>
        <x:v>8</x:v>
      </x:c>
      <x:c r="T451" s="21"/>
      <x:c r="U451" s="20"/>
      <x:c r="V451" s="19" t="str">
        <x:v>http://rainbowcircuit.co/</x:v>
      </x:c>
      <x:c r="W451" s="19" t="str">
        <x:v>https://pro.similarweb.com/#/digitalsuite/websiteanalysis/referrals/*/999/1m?webSource=Total&amp;selectedTab=incomingTraffic&amp;key=lemonsqueezy.com</x:v>
      </x:c>
      <x:c r="X451" s="20" t="n">
        <x:f>IF(Q451="是",0,IFERROR(P451/SUMIFS($P$2:$P$964,$A$2:$A$964,A451,$Q$2:$Q$964,"否"),0))</x:f>
        <x:v>0.029772909136061367</x:v>
      </x:c>
      <x:c r="Y451" s="22" t="str">
        <x:f>IF(OR(M451="",U451=""),"未交叉",IF(M451*U451&gt;0,"同向",IF(M451*U451&lt;0,"背离","一侧持平")))</x:f>
        <x:v>未交叉</x:v>
      </x:c>
    </x:row>
    <x:row r="452">
      <x:c r="A452" s="18" t="str">
        <x:v>lemonsqueezy.com</x:v>
      </x:c>
      <x:c r="B452" s="19" t="str">
        <x:v>支付商主域（混合流量）</x:v>
      </x:c>
      <x:c r="C452" s="19" t="str">
        <x:v>中</x:v>
      </x:c>
      <x:c r="D452" s="19" t="str">
        <x:v>Jul 2026</x:v>
      </x:c>
      <x:c r="E452" s="19" t="n">
        <x:v>9</x:v>
      </x:c>
      <x:c r="F452" s="19" t="str">
        <x:v>premiumpixels.com</x:v>
      </x:c>
      <x:c r="G452" s="19" t="str">
        <x:v>Graphics Multimedia and Web Design</x:v>
      </x:c>
      <x:c r="H452" s="19" t="str">
        <x:v>创作者资产、模板与设计工具</x:v>
      </x:c>
      <x:c r="I452" s="19" t="str">
        <x:v>域名人工识别</x:v>
      </x:c>
      <x:c r="J452" s="19" t="n">
        <x:v>5280927</x:v>
      </x:c>
      <x:c r="K452" s="20" t="n">
        <x:v>0.015600000000000001</x:v>
      </x:c>
      <x:c r="L452" s="19" t="str">
        <x:v>上升</x:v>
      </x:c>
      <x:c r="M452" s="20" t="n">
        <x:v>35.7734</x:v>
      </x:c>
      <x:c r="N452" s="21" t="n">
        <x:v>126914</x:v>
      </x:c>
      <x:c r="O452" s="21" t="n">
        <x:v>1980</x:v>
      </x:c>
      <x:c r="P452" s="21" t="n">
        <x:f>ROUND(N452*K452,0)</x:f>
        <x:v>1980</x:v>
      </x:c>
      <x:c r="Q452" s="19" t="str">
        <x:v>否</x:v>
      </x:c>
      <x:c r="R452" s="19" t="str"/>
      <x:c r="S452" s="19" t="n">
        <x:f>IF(Q452="是",0,MIN(10,2+IF(C452="高",2,1)+IF(K452&gt;=3%,3,IF(K452&gt;=1%,2,1))+IF(L452="新出现",2,IF(M452&gt;=100%,3,IF(M452&gt;0,2,0)))))</x:f>
        <x:v>8</x:v>
      </x:c>
      <x:c r="T452" s="21"/>
      <x:c r="U452" s="20"/>
      <x:c r="V452" s="19" t="str">
        <x:v>http://premiumpixels.com/</x:v>
      </x:c>
      <x:c r="W452" s="19" t="str">
        <x:v>https://pro.similarweb.com/#/digitalsuite/websiteanalysis/referrals/*/999/1m?webSource=Total&amp;selectedTab=incomingTraffic&amp;key=lemonsqueezy.com</x:v>
      </x:c>
      <x:c r="X452" s="20" t="n">
        <x:f>IF(Q452="是",0,IFERROR(P452/SUMIFS($P$2:$P$964,$A$2:$A$964,A452,$Q$2:$Q$964,"否"),0))</x:f>
        <x:v>0.027317127010844072</x:v>
      </x:c>
      <x:c r="Y452" s="22" t="str">
        <x:f>IF(OR(M452="",U452=""),"未交叉",IF(M452*U452&gt;0,"同向",IF(M452*U452&lt;0,"背离","一侧持平")))</x:f>
        <x:v>未交叉</x:v>
      </x:c>
    </x:row>
    <x:row r="453">
      <x:c r="A453" s="18" t="str">
        <x:v>lemonsqueezy.com</x:v>
      </x:c>
      <x:c r="B453" s="19" t="str">
        <x:v>支付商主域（混合流量）</x:v>
      </x:c>
      <x:c r="C453" s="19" t="str">
        <x:v>中</x:v>
      </x:c>
      <x:c r="D453" s="19" t="str">
        <x:v>Jul 2026</x:v>
      </x:c>
      <x:c r="E453" s="19" t="n">
        <x:v>10</x:v>
      </x:c>
      <x:c r="F453" s="19" t="str">
        <x:v>interpreter-pro.com</x:v>
      </x:c>
      <x:c r="G453" s="19" t="str">
        <x:v>Unknown</x:v>
      </x:c>
      <x:c r="H453" s="19" t="str">
        <x:v>桌面/移动端专业工具</x:v>
      </x:c>
      <x:c r="I453" s="19" t="str">
        <x:v>域名人工识别</x:v>
      </x:c>
      <x:c r="J453" s="19"/>
      <x:c r="K453" s="20" t="n">
        <x:v>0.015600000000000001</x:v>
      </x:c>
      <x:c r="L453" s="19" t="str">
        <x:v>新出现</x:v>
      </x:c>
      <x:c r="M453" s="20"/>
      <x:c r="N453" s="21" t="n">
        <x:v>126914</x:v>
      </x:c>
      <x:c r="O453" s="21" t="n">
        <x:v>1980</x:v>
      </x:c>
      <x:c r="P453" s="21" t="n">
        <x:f>ROUND(N453*K453,0)</x:f>
        <x:v>1980</x:v>
      </x:c>
      <x:c r="Q453" s="19" t="str">
        <x:v>否</x:v>
      </x:c>
      <x:c r="R453" s="19" t="str"/>
      <x:c r="S453" s="19" t="n">
        <x:f>IF(Q453="是",0,MIN(10,2+IF(C453="高",2,1)+IF(K453&gt;=3%,3,IF(K453&gt;=1%,2,1))+IF(L453="新出现",2,IF(M453&gt;=100%,3,IF(M453&gt;0,2,0)))))</x:f>
        <x:v>7</x:v>
      </x:c>
      <x:c r="T453" s="21"/>
      <x:c r="U453" s="20"/>
      <x:c r="V453" s="19" t="str">
        <x:v>http://interpreter-pro.com/</x:v>
      </x:c>
      <x:c r="W453" s="19" t="str">
        <x:v>https://pro.similarweb.com/#/digitalsuite/websiteanalysis/referrals/*/999/1m?webSource=Total&amp;selectedTab=incomingTraffic&amp;key=lemonsqueezy.com</x:v>
      </x:c>
      <x:c r="X453" s="20" t="n">
        <x:f>IF(Q453="是",0,IFERROR(P453/SUMIFS($P$2:$P$964,$A$2:$A$964,A453,$Q$2:$Q$964,"否"),0))</x:f>
        <x:v>0.027317127010844072</x:v>
      </x:c>
      <x:c r="Y453" s="22" t="str">
        <x:f>IF(OR(M453="",U453=""),"未交叉",IF(M453*U453&gt;0,"同向",IF(M453*U453&lt;0,"背离","一侧持平")))</x:f>
        <x:v>未交叉</x:v>
      </x:c>
    </x:row>
    <x:row r="454">
      <x:c r="A454" s="18" t="str">
        <x:v>lemonsqueezy.com</x:v>
      </x:c>
      <x:c r="B454" s="19" t="str">
        <x:v>支付商主域（混合流量）</x:v>
      </x:c>
      <x:c r="C454" s="19" t="str">
        <x:v>中</x:v>
      </x:c>
      <x:c r="D454" s="19" t="str">
        <x:v>Jul 2026</x:v>
      </x:c>
      <x:c r="E454" s="19" t="n">
        <x:v>11</x:v>
      </x:c>
      <x:c r="F454" s="19" t="str">
        <x:v>tiro.ooo</x:v>
      </x:c>
      <x:c r="G454" s="19" t="str">
        <x:v>Computers Electronics and Technology</x:v>
      </x:c>
      <x:c r="H454" s="19" t="str">
        <x:v>通用数字产品与技术服务</x:v>
      </x:c>
      <x:c r="I454" s="19" t="str">
        <x:v>Similarweb 行业映射</x:v>
      </x:c>
      <x:c r="J454" s="19" t="n">
        <x:v>206730</x:v>
      </x:c>
      <x:c r="K454" s="20" t="n">
        <x:v>0.0139</x:v>
      </x:c>
      <x:c r="L454" s="19" t="str">
        <x:v>新出现</x:v>
      </x:c>
      <x:c r="M454" s="20"/>
      <x:c r="N454" s="21" t="n">
        <x:v>126914</x:v>
      </x:c>
      <x:c r="O454" s="21" t="n">
        <x:v>1764</x:v>
      </x:c>
      <x:c r="P454" s="21" t="n">
        <x:f>ROUND(N454*K454,0)</x:f>
        <x:v>1764</x:v>
      </x:c>
      <x:c r="Q454" s="19" t="str">
        <x:v>否</x:v>
      </x:c>
      <x:c r="R454" s="19" t="str"/>
      <x:c r="S454" s="19" t="n">
        <x:f>IF(Q454="是",0,MIN(10,2+IF(C454="高",2,1)+IF(K454&gt;=3%,3,IF(K454&gt;=1%,2,1))+IF(L454="新出现",2,IF(M454&gt;=100%,3,IF(M454&gt;0,2,0)))))</x:f>
        <x:v>7</x:v>
      </x:c>
      <x:c r="T454" s="21"/>
      <x:c r="U454" s="20"/>
      <x:c r="V454" s="19" t="str">
        <x:v>http://tiro.ooo/</x:v>
      </x:c>
      <x:c r="W454" s="19" t="str">
        <x:v>https://pro.similarweb.com/#/digitalsuite/websiteanalysis/referrals/*/999/1m?webSource=Total&amp;selectedTab=incomingTraffic&amp;key=lemonsqueezy.com</x:v>
      </x:c>
      <x:c r="X454" s="20" t="n">
        <x:f>IF(Q454="是",0,IFERROR(P454/SUMIFS($P$2:$P$964,$A$2:$A$964,A454,$Q$2:$Q$964,"否"),0))</x:f>
        <x:v>0.024337076791479263</x:v>
      </x:c>
      <x:c r="Y454" s="22" t="str">
        <x:f>IF(OR(M454="",U454=""),"未交叉",IF(M454*U454&gt;0,"同向",IF(M454*U454&lt;0,"背离","一侧持平")))</x:f>
        <x:v>未交叉</x:v>
      </x:c>
    </x:row>
    <x:row r="455">
      <x:c r="A455" s="18" t="str">
        <x:v>lemonsqueezy.com</x:v>
      </x:c>
      <x:c r="B455" s="19" t="str">
        <x:v>支付商主域（混合流量）</x:v>
      </x:c>
      <x:c r="C455" s="19" t="str">
        <x:v>中</x:v>
      </x:c>
      <x:c r="D455" s="19" t="str">
        <x:v>Jul 2026</x:v>
      </x:c>
      <x:c r="E455" s="19" t="n">
        <x:v>12</x:v>
      </x:c>
      <x:c r="F455" s="19" t="str">
        <x:v>3daistudio.com</x:v>
      </x:c>
      <x:c r="G455" s="19" t="str">
        <x:v>Graphics Multimedia and Web Design</x:v>
      </x:c>
      <x:c r="H455" s="19" t="str">
        <x:v>创作、设计与多媒体工具</x:v>
      </x:c>
      <x:c r="I455" s="19" t="str">
        <x:v>Similarweb 行业映射</x:v>
      </x:c>
      <x:c r="J455" s="19" t="n">
        <x:v>63589</x:v>
      </x:c>
      <x:c r="K455" s="20" t="n">
        <x:v>0.013600000000000001</x:v>
      </x:c>
      <x:c r="L455" s="19" t="str">
        <x:v>上升</x:v>
      </x:c>
      <x:c r="M455" s="20" t="n">
        <x:v>24.824699999999996</x:v>
      </x:c>
      <x:c r="N455" s="21" t="n">
        <x:v>126914</x:v>
      </x:c>
      <x:c r="O455" s="21" t="n">
        <x:v>1726</x:v>
      </x:c>
      <x:c r="P455" s="21" t="n">
        <x:f>ROUND(N455*K455,0)</x:f>
        <x:v>1726</x:v>
      </x:c>
      <x:c r="Q455" s="19" t="str">
        <x:v>否</x:v>
      </x:c>
      <x:c r="R455" s="19" t="str"/>
      <x:c r="S455" s="19" t="n">
        <x:f>IF(Q455="是",0,MIN(10,2+IF(C455="高",2,1)+IF(K455&gt;=3%,3,IF(K455&gt;=1%,2,1))+IF(L455="新出现",2,IF(M455&gt;=100%,3,IF(M455&gt;0,2,0)))))</x:f>
        <x:v>8</x:v>
      </x:c>
      <x:c r="T455" s="21"/>
      <x:c r="U455" s="20"/>
      <x:c r="V455" s="19" t="str">
        <x:v>http://3daistudio.com/</x:v>
      </x:c>
      <x:c r="W455" s="19" t="str">
        <x:v>https://pro.similarweb.com/#/digitalsuite/websiteanalysis/referrals/*/999/1m?webSource=Total&amp;selectedTab=incomingTraffic&amp;key=lemonsqueezy.com</x:v>
      </x:c>
      <x:c r="X455" s="20" t="n">
        <x:f>IF(Q455="是",0,IFERROR(P455/SUMIFS($P$2:$P$964,$A$2:$A$964,A455,$Q$2:$Q$964,"否"),0))</x:f>
        <x:v>0.023812808697331753</x:v>
      </x:c>
      <x:c r="Y455" s="22" t="str">
        <x:f>IF(OR(M455="",U455=""),"未交叉",IF(M455*U455&gt;0,"同向",IF(M455*U455&lt;0,"背离","一侧持平")))</x:f>
        <x:v>未交叉</x:v>
      </x:c>
    </x:row>
    <x:row r="456">
      <x:c r="A456" s="18" t="str">
        <x:v>lemonsqueezy.com</x:v>
      </x:c>
      <x:c r="B456" s="19" t="str">
        <x:v>支付商主域（混合流量）</x:v>
      </x:c>
      <x:c r="C456" s="19" t="str">
        <x:v>中</x:v>
      </x:c>
      <x:c r="D456" s="19" t="str">
        <x:v>Jul 2026</x:v>
      </x:c>
      <x:c r="E456" s="19" t="n">
        <x:v>13</x:v>
      </x:c>
      <x:c r="F456" s="19" t="str">
        <x:v>github.com</x:v>
      </x:c>
      <x:c r="G456" s="19" t="str">
        <x:v>Programming and Developer Software</x:v>
      </x:c>
      <x:c r="H456" s="19" t="str">
        <x:v>开发者工具与互联网基础设施</x:v>
      </x:c>
      <x:c r="I456" s="19" t="str">
        <x:v>Similarweb 行业映射</x:v>
      </x:c>
      <x:c r="J456" s="19" t="n">
        <x:v>49</x:v>
      </x:c>
      <x:c r="K456" s="20" t="n">
        <x:v>0.013000000000000001</x:v>
      </x:c>
      <x:c r="L456" s="19" t="str">
        <x:v>上升</x:v>
      </x:c>
      <x:c r="M456" s="20" t="n">
        <x:v>11.517100000000001</x:v>
      </x:c>
      <x:c r="N456" s="21" t="n">
        <x:v>126914</x:v>
      </x:c>
      <x:c r="O456" s="21" t="n">
        <x:v>1650</x:v>
      </x:c>
      <x:c r="P456" s="21" t="n">
        <x:f>ROUND(N456*K456,0)</x:f>
        <x:v>1650</x:v>
      </x:c>
      <x:c r="Q456" s="19" t="str">
        <x:v>否</x:v>
      </x:c>
      <x:c r="R456" s="19" t="str"/>
      <x:c r="S456" s="19" t="n">
        <x:f>IF(Q456="是",0,MIN(10,2+IF(C456="高",2,1)+IF(K456&gt;=3%,3,IF(K456&gt;=1%,2,1))+IF(L456="新出现",2,IF(M456&gt;=100%,3,IF(M456&gt;0,2,0)))))</x:f>
        <x:v>8</x:v>
      </x:c>
      <x:c r="T456" s="21"/>
      <x:c r="U456" s="20"/>
      <x:c r="V456" s="19" t="str">
        <x:v>http://github.com/</x:v>
      </x:c>
      <x:c r="W456" s="19" t="str">
        <x:v>https://pro.similarweb.com/#/digitalsuite/websiteanalysis/referrals/*/999/1m?webSource=Total&amp;selectedTab=incomingTraffic&amp;key=lemonsqueezy.com</x:v>
      </x:c>
      <x:c r="X456" s="20" t="n">
        <x:f>IF(Q456="是",0,IFERROR(P456/SUMIFS($P$2:$P$964,$A$2:$A$964,A456,$Q$2:$Q$964,"否"),0))</x:f>
        <x:v>0.022764272509036728</x:v>
      </x:c>
      <x:c r="Y456" s="22" t="str">
        <x:f>IF(OR(M456="",U456=""),"未交叉",IF(M456*U456&gt;0,"同向",IF(M456*U456&lt;0,"背离","一侧持平")))</x:f>
        <x:v>未交叉</x:v>
      </x:c>
    </x:row>
    <x:row r="457">
      <x:c r="A457" s="18" t="str">
        <x:v>lemonsqueezy.com</x:v>
      </x:c>
      <x:c r="B457" s="19" t="str">
        <x:v>支付商主域（混合流量）</x:v>
      </x:c>
      <x:c r="C457" s="19" t="str">
        <x:v>中</x:v>
      </x:c>
      <x:c r="D457" s="19" t="str">
        <x:v>Jul 2026</x:v>
      </x:c>
      <x:c r="E457" s="19" t="n">
        <x:v>14</x:v>
      </x:c>
      <x:c r="F457" s="19" t="str">
        <x:v>vegantechnomad.beehiiv.com</x:v>
      </x:c>
      <x:c r="G457" s="19" t="str">
        <x:v>Vegetarian and Vegan</x:v>
      </x:c>
      <x:c r="H457" s="19" t="str">
        <x:v>其他/待核查</x:v>
      </x:c>
      <x:c r="I457" s="19" t="str">
        <x:v>保守归类</x:v>
      </x:c>
      <x:c r="J457" s="19"/>
      <x:c r="K457" s="20" t="n">
        <x:v>0.0129</x:v>
      </x:c>
      <x:c r="L457" s="19" t="str">
        <x:v>新出现</x:v>
      </x:c>
      <x:c r="M457" s="20"/>
      <x:c r="N457" s="21" t="n">
        <x:v>126914</x:v>
      </x:c>
      <x:c r="O457" s="21" t="n">
        <x:v>1637</x:v>
      </x:c>
      <x:c r="P457" s="21" t="n">
        <x:f>ROUND(N457*K457,0)</x:f>
        <x:v>1637</x:v>
      </x:c>
      <x:c r="Q457" s="19" t="str">
        <x:v>否</x:v>
      </x:c>
      <x:c r="R457" s="19" t="str"/>
      <x:c r="S457" s="19" t="n">
        <x:f>IF(Q457="是",0,MIN(10,2+IF(C457="高",2,1)+IF(K457&gt;=3%,3,IF(K457&gt;=1%,2,1))+IF(L457="新出现",2,IF(M457&gt;=100%,3,IF(M457&gt;0,2,0)))))</x:f>
        <x:v>7</x:v>
      </x:c>
      <x:c r="T457" s="21"/>
      <x:c r="U457" s="20"/>
      <x:c r="V457" s="19" t="str">
        <x:v>http://vegantechnomad.beehiiv.com/</x:v>
      </x:c>
      <x:c r="W457" s="19" t="str">
        <x:v>https://pro.similarweb.com/#/digitalsuite/websiteanalysis/referrals/*/999/1m?webSource=Total&amp;selectedTab=incomingTraffic&amp;key=lemonsqueezy.com</x:v>
      </x:c>
      <x:c r="X457" s="20" t="n">
        <x:f>IF(Q457="是",0,IFERROR(P457/SUMIFS($P$2:$P$964,$A$2:$A$964,A457,$Q$2:$Q$964,"否"),0))</x:f>
        <x:v>0.022584917634723103</x:v>
      </x:c>
      <x:c r="Y457" s="22" t="str">
        <x:f>IF(OR(M457="",U457=""),"未交叉",IF(M457*U457&gt;0,"同向",IF(M457*U457&lt;0,"背离","一侧持平")))</x:f>
        <x:v>未交叉</x:v>
      </x:c>
    </x:row>
    <x:row r="458">
      <x:c r="A458" s="18" t="str">
        <x:v>lemonsqueezy.com</x:v>
      </x:c>
      <x:c r="B458" s="19" t="str">
        <x:v>支付商主域（混合流量）</x:v>
      </x:c>
      <x:c r="C458" s="19" t="str">
        <x:v>中</x:v>
      </x:c>
      <x:c r="D458" s="19" t="str">
        <x:v>Jul 2026</x:v>
      </x:c>
      <x:c r="E458" s="19" t="n">
        <x:v>15</x:v>
      </x:c>
      <x:c r="F458" s="19" t="str">
        <x:v>framer.website</x:v>
      </x:c>
      <x:c r="G458" s="19" t="str">
        <x:v>Graphics Multimedia and Web Design</x:v>
      </x:c>
      <x:c r="H458" s="19" t="str">
        <x:v>创作、设计与多媒体工具</x:v>
      </x:c>
      <x:c r="I458" s="19" t="str">
        <x:v>Similarweb 行业映射</x:v>
      </x:c>
      <x:c r="J458" s="19" t="n">
        <x:v>12432</x:v>
      </x:c>
      <x:c r="K458" s="20" t="n">
        <x:v>0.0128</x:v>
      </x:c>
      <x:c r="L458" s="19" t="str">
        <x:v>上升</x:v>
      </x:c>
      <x:c r="M458" s="20" t="n">
        <x:v>0.599</x:v>
      </x:c>
      <x:c r="N458" s="21" t="n">
        <x:v>126914</x:v>
      </x:c>
      <x:c r="O458" s="21" t="n">
        <x:v>1624</x:v>
      </x:c>
      <x:c r="P458" s="21" t="n">
        <x:f>ROUND(N458*K458,0)</x:f>
        <x:v>1624</x:v>
      </x:c>
      <x:c r="Q458" s="19" t="str">
        <x:v>否</x:v>
      </x:c>
      <x:c r="R458" s="19" t="str"/>
      <x:c r="S458" s="19" t="n">
        <x:f>IF(Q458="是",0,MIN(10,2+IF(C458="高",2,1)+IF(K458&gt;=3%,3,IF(K458&gt;=1%,2,1))+IF(L458="新出现",2,IF(M458&gt;=100%,3,IF(M458&gt;0,2,0)))))</x:f>
        <x:v>7</x:v>
      </x:c>
      <x:c r="T458" s="21"/>
      <x:c r="U458" s="20"/>
      <x:c r="V458" s="19" t="str">
        <x:v>http://framer.website/</x:v>
      </x:c>
      <x:c r="W458" s="19" t="str">
        <x:v>https://pro.similarweb.com/#/digitalsuite/websiteanalysis/referrals/*/999/1m?webSource=Total&amp;selectedTab=incomingTraffic&amp;key=lemonsqueezy.com</x:v>
      </x:c>
      <x:c r="X458" s="20" t="n">
        <x:f>IF(Q458="是",0,IFERROR(P458/SUMIFS($P$2:$P$964,$A$2:$A$964,A458,$Q$2:$Q$964,"否"),0))</x:f>
        <x:v>0.022405562760409482</x:v>
      </x:c>
      <x:c r="Y458" s="22" t="str">
        <x:f>IF(OR(M458="",U458=""),"未交叉",IF(M458*U458&gt;0,"同向",IF(M458*U458&lt;0,"背离","一侧持平")))</x:f>
        <x:v>未交叉</x:v>
      </x:c>
    </x:row>
    <x:row r="459">
      <x:c r="A459" s="18" t="str">
        <x:v>lemonsqueezy.com</x:v>
      </x:c>
      <x:c r="B459" s="19" t="str">
        <x:v>支付商主域（混合流量）</x:v>
      </x:c>
      <x:c r="C459" s="19" t="str">
        <x:v>中</x:v>
      </x:c>
      <x:c r="D459" s="19" t="str">
        <x:v>Jul 2026</x:v>
      </x:c>
      <x:c r="E459" s="19" t="n">
        <x:v>16</x:v>
      </x:c>
      <x:c r="F459" s="19" t="str">
        <x:v>toolify.ai</x:v>
      </x:c>
      <x:c r="G459" s="19" t="str">
        <x:v>Graphics Multimedia and Web Design</x:v>
      </x:c>
      <x:c r="H459" s="19" t="str">
        <x:v>AI 工具与应用（未细分）</x:v>
      </x:c>
      <x:c r="I459" s="19" t="str">
        <x:v>域名后缀启发式</x:v>
      </x:c>
      <x:c r="J459" s="19" t="n">
        <x:v>45449</x:v>
      </x:c>
      <x:c r="K459" s="20" t="n">
        <x:v>0.011899999999999999</x:v>
      </x:c>
      <x:c r="L459" s="19" t="str">
        <x:v>新出现</x:v>
      </x:c>
      <x:c r="M459" s="20"/>
      <x:c r="N459" s="21" t="n">
        <x:v>126914</x:v>
      </x:c>
      <x:c r="O459" s="21" t="n">
        <x:v>1510</x:v>
      </x:c>
      <x:c r="P459" s="21" t="n">
        <x:f>ROUND(N459*K459,0)</x:f>
        <x:v>1510</x:v>
      </x:c>
      <x:c r="Q459" s="19" t="str">
        <x:v>否</x:v>
      </x:c>
      <x:c r="R459" s="19" t="str"/>
      <x:c r="S459" s="19" t="n">
        <x:f>IF(Q459="是",0,MIN(10,2+IF(C459="高",2,1)+IF(K459&gt;=3%,3,IF(K459&gt;=1%,2,1))+IF(L459="新出现",2,IF(M459&gt;=100%,3,IF(M459&gt;0,2,0)))))</x:f>
        <x:v>7</x:v>
      </x:c>
      <x:c r="T459" s="21"/>
      <x:c r="U459" s="20"/>
      <x:c r="V459" s="19" t="str">
        <x:v>http://toolify.ai/</x:v>
      </x:c>
      <x:c r="W459" s="19" t="str">
        <x:v>https://pro.similarweb.com/#/digitalsuite/websiteanalysis/referrals/*/999/1m?webSource=Total&amp;selectedTab=incomingTraffic&amp;key=lemonsqueezy.com</x:v>
      </x:c>
      <x:c r="X459" s="20" t="n">
        <x:f>IF(Q459="是",0,IFERROR(P459/SUMIFS($P$2:$P$964,$A$2:$A$964,A459,$Q$2:$Q$964,"否"),0))</x:f>
        <x:v>0.020832758477966944</x:v>
      </x:c>
      <x:c r="Y459" s="22" t="str">
        <x:f>IF(OR(M459="",U459=""),"未交叉",IF(M459*U459&gt;0,"同向",IF(M459*U459&lt;0,"背离","一侧持平")))</x:f>
        <x:v>未交叉</x:v>
      </x:c>
    </x:row>
    <x:row r="460">
      <x:c r="A460" s="18" t="str">
        <x:v>lemonsqueezy.com</x:v>
      </x:c>
      <x:c r="B460" s="19" t="str">
        <x:v>支付商主域（混合流量）</x:v>
      </x:c>
      <x:c r="C460" s="19" t="str">
        <x:v>中</x:v>
      </x:c>
      <x:c r="D460" s="19" t="str">
        <x:v>Jul 2026</x:v>
      </x:c>
      <x:c r="E460" s="19" t="n">
        <x:v>17</x:v>
      </x:c>
      <x:c r="F460" s="19" t="str">
        <x:v>shop.framergeeks.com</x:v>
      </x:c>
      <x:c r="G460" s="19" t="str">
        <x:v>Unknown</x:v>
      </x:c>
      <x:c r="H460" s="19" t="str">
        <x:v>其他/待核查</x:v>
      </x:c>
      <x:c r="I460" s="19" t="str">
        <x:v>Similarweb 未分类</x:v>
      </x:c>
      <x:c r="J460" s="19"/>
      <x:c r="K460" s="20" t="n">
        <x:v>0.011200000000000002</x:v>
      </x:c>
      <x:c r="L460" s="19" t="str">
        <x:v>新出现</x:v>
      </x:c>
      <x:c r="M460" s="20"/>
      <x:c r="N460" s="21" t="n">
        <x:v>126914</x:v>
      </x:c>
      <x:c r="O460" s="21" t="n">
        <x:v>1421</x:v>
      </x:c>
      <x:c r="P460" s="21" t="n">
        <x:f>ROUND(N460*K460,0)</x:f>
        <x:v>1421</x:v>
      </x:c>
      <x:c r="Q460" s="19" t="str">
        <x:v>否</x:v>
      </x:c>
      <x:c r="R460" s="19" t="str"/>
      <x:c r="S460" s="19" t="n">
        <x:f>IF(Q460="是",0,MIN(10,2+IF(C460="高",2,1)+IF(K460&gt;=3%,3,IF(K460&gt;=1%,2,1))+IF(L460="新出现",2,IF(M460&gt;=100%,3,IF(M460&gt;0,2,0)))))</x:f>
        <x:v>7</x:v>
      </x:c>
      <x:c r="T460" s="21"/>
      <x:c r="U460" s="20"/>
      <x:c r="V460" s="19" t="str">
        <x:v>http://shop.framergeeks.com/</x:v>
      </x:c>
      <x:c r="W460" s="19" t="str">
        <x:v>https://pro.similarweb.com/#/digitalsuite/websiteanalysis/referrals/*/999/1m?webSource=Total&amp;selectedTab=incomingTraffic&amp;key=lemonsqueezy.com</x:v>
      </x:c>
      <x:c r="X460" s="20" t="n">
        <x:f>IF(Q460="是",0,IFERROR(P460/SUMIFS($P$2:$P$964,$A$2:$A$964,A460,$Q$2:$Q$964,"否"),0))</x:f>
        <x:v>0.019604867415358294</x:v>
      </x:c>
      <x:c r="Y460" s="22" t="str">
        <x:f>IF(OR(M460="",U460=""),"未交叉",IF(M460*U460&gt;0,"同向",IF(M460*U460&lt;0,"背离","一侧持平")))</x:f>
        <x:v>未交叉</x:v>
      </x:c>
    </x:row>
    <x:row r="461">
      <x:c r="A461" s="18" t="str">
        <x:v>lemonsqueezy.com</x:v>
      </x:c>
      <x:c r="B461" s="19" t="str">
        <x:v>支付商主域（混合流量）</x:v>
      </x:c>
      <x:c r="C461" s="19" t="str">
        <x:v>中</x:v>
      </x:c>
      <x:c r="D461" s="19" t="str">
        <x:v>Jul 2026</x:v>
      </x:c>
      <x:c r="E461" s="19" t="n">
        <x:v>18</x:v>
      </x:c>
      <x:c r="F461" s="19" t="str">
        <x:v>erikssonjonas.com</x:v>
      </x:c>
      <x:c r="G461" s="19" t="str">
        <x:v>Music</x:v>
      </x:c>
      <x:c r="H461" s="19" t="str">
        <x:v>创作、设计与多媒体工具</x:v>
      </x:c>
      <x:c r="I461" s="19" t="str">
        <x:v>Similarweb 行业映射</x:v>
      </x:c>
      <x:c r="J461" s="19" t="n">
        <x:v>484698</x:v>
      </x:c>
      <x:c r="K461" s="20" t="n">
        <x:v>0.0109</x:v>
      </x:c>
      <x:c r="L461" s="19" t="str">
        <x:v>下降</x:v>
      </x:c>
      <x:c r="M461" s="20" t="n">
        <x:v>-0.4421</x:v>
      </x:c>
      <x:c r="N461" s="21" t="n">
        <x:v>126914</x:v>
      </x:c>
      <x:c r="O461" s="21" t="n">
        <x:v>1383</x:v>
      </x:c>
      <x:c r="P461" s="21" t="n">
        <x:f>ROUND(N461*K461,0)</x:f>
        <x:v>1383</x:v>
      </x:c>
      <x:c r="Q461" s="19" t="str">
        <x:v>否</x:v>
      </x:c>
      <x:c r="R461" s="19" t="str"/>
      <x:c r="S461" s="19" t="n">
        <x:f>IF(Q461="是",0,MIN(10,2+IF(C461="高",2,1)+IF(K461&gt;=3%,3,IF(K461&gt;=1%,2,1))+IF(L461="新出现",2,IF(M461&gt;=100%,3,IF(M461&gt;0,2,0)))))</x:f>
        <x:v>5</x:v>
      </x:c>
      <x:c r="T461" s="21"/>
      <x:c r="U461" s="20"/>
      <x:c r="V461" s="19" t="str">
        <x:v>http://erikssonjonas.com/</x:v>
      </x:c>
      <x:c r="W461" s="19" t="str">
        <x:v>https://pro.similarweb.com/#/digitalsuite/websiteanalysis/referrals/*/999/1m?webSource=Total&amp;selectedTab=incomingTraffic&amp;key=lemonsqueezy.com</x:v>
      </x:c>
      <x:c r="X461" s="20" t="n">
        <x:f>IF(Q461="是",0,IFERROR(P461/SUMIFS($P$2:$P$964,$A$2:$A$964,A461,$Q$2:$Q$964,"否"),0))</x:f>
        <x:v>0.019080599321210784</x:v>
      </x:c>
      <x:c r="Y461" s="22" t="str">
        <x:f>IF(OR(M461="",U461=""),"未交叉",IF(M461*U461&gt;0,"同向",IF(M461*U461&lt;0,"背离","一侧持平")))</x:f>
        <x:v>未交叉</x:v>
      </x:c>
    </x:row>
    <x:row r="462">
      <x:c r="A462" s="18" t="str">
        <x:v>lemonsqueezy.com</x:v>
      </x:c>
      <x:c r="B462" s="19" t="str">
        <x:v>支付商主域（混合流量）</x:v>
      </x:c>
      <x:c r="C462" s="19" t="str">
        <x:v>中</x:v>
      </x:c>
      <x:c r="D462" s="19" t="str">
        <x:v>Jul 2026</x:v>
      </x:c>
      <x:c r="E462" s="19" t="n">
        <x:v>19</x:v>
      </x:c>
      <x:c r="F462" s="19" t="str">
        <x:v>bit.ly</x:v>
      </x:c>
      <x:c r="G462" s="19" t="str">
        <x:v>Unknown</x:v>
      </x:c>
      <x:c r="H462" s="19" t="str">
        <x:v>其他/待核查</x:v>
      </x:c>
      <x:c r="I462" s="19" t="str">
        <x:v>Similarweb 未分类</x:v>
      </x:c>
      <x:c r="J462" s="19"/>
      <x:c r="K462" s="20" t="n">
        <x:v>0.0108</x:v>
      </x:c>
      <x:c r="L462" s="19" t="str">
        <x:v>上升</x:v>
      </x:c>
      <x:c r="M462" s="20" t="n">
        <x:v>0.3125</x:v>
      </x:c>
      <x:c r="N462" s="21" t="n">
        <x:v>126914</x:v>
      </x:c>
      <x:c r="O462" s="21" t="n">
        <x:v>1371</x:v>
      </x:c>
      <x:c r="P462" s="21" t="n">
        <x:f>ROUND(N462*K462,0)</x:f>
        <x:v>1371</x:v>
      </x:c>
      <x:c r="Q462" s="19" t="str">
        <x:v>是</x:v>
      </x:c>
      <x:c r="R462" s="19" t="str">
        <x:v>支付平台、自引荐或流量中介</x:v>
      </x:c>
      <x:c r="S462" s="19" t="n">
        <x:f>IF(Q462="是",0,MIN(10,2+IF(C462="高",2,1)+IF(K462&gt;=3%,3,IF(K462&gt;=1%,2,1))+IF(L462="新出现",2,IF(M462&gt;=100%,3,IF(M462&gt;0,2,0)))))</x:f>
        <x:v>0</x:v>
      </x:c>
      <x:c r="T462" s="21"/>
      <x:c r="U462" s="20"/>
      <x:c r="V462" s="19" t="str">
        <x:v>http://bit.ly/</x:v>
      </x:c>
      <x:c r="W462" s="19" t="str">
        <x:v>https://pro.similarweb.com/#/digitalsuite/websiteanalysis/referrals/*/999/1m?webSource=Total&amp;selectedTab=incomingTraffic&amp;key=lemonsqueezy.com</x:v>
      </x:c>
      <x:c r="X462" s="20" t="n">
        <x:f>IF(Q462="是",0,IFERROR(P462/SUMIFS($P$2:$P$964,$A$2:$A$964,A462,$Q$2:$Q$964,"否"),0))</x:f>
        <x:v>0</x:v>
      </x:c>
      <x:c r="Y462" s="22" t="str">
        <x:f>IF(OR(M462="",U462=""),"未交叉",IF(M462*U462&gt;0,"同向",IF(M462*U462&lt;0,"背离","一侧持平")))</x:f>
        <x:v>未交叉</x:v>
      </x:c>
    </x:row>
    <x:row r="463">
      <x:c r="A463" s="18" t="str">
        <x:v>lemonsqueezy.com</x:v>
      </x:c>
      <x:c r="B463" s="19" t="str">
        <x:v>支付商主域（混合流量）</x:v>
      </x:c>
      <x:c r="C463" s="19" t="str">
        <x:v>中</x:v>
      </x:c>
      <x:c r="D463" s="19" t="str">
        <x:v>Jul 2026</x:v>
      </x:c>
      <x:c r="E463" s="19" t="n">
        <x:v>20</x:v>
      </x:c>
      <x:c r="F463" s="19" t="str">
        <x:v>affiliate.watch</x:v>
      </x:c>
      <x:c r="G463" s="19" t="str">
        <x:v>Web Hosting and Domain Names</x:v>
      </x:c>
      <x:c r="H463" s="19" t="str">
        <x:v>开发者工具与互联网基础设施</x:v>
      </x:c>
      <x:c r="I463" s="19" t="str">
        <x:v>Similarweb 行业映射</x:v>
      </x:c>
      <x:c r="J463" s="19" t="n">
        <x:v>294647</x:v>
      </x:c>
      <x:c r="K463" s="20" t="n">
        <x:v>0.0105</x:v>
      </x:c>
      <x:c r="L463" s="19" t="str">
        <x:v>上升</x:v>
      </x:c>
      <x:c r="M463" s="20" t="n">
        <x:v>0.2934</x:v>
      </x:c>
      <x:c r="N463" s="21" t="n">
        <x:v>126914</x:v>
      </x:c>
      <x:c r="O463" s="21" t="n">
        <x:v>1333</x:v>
      </x:c>
      <x:c r="P463" s="21" t="n">
        <x:f>ROUND(N463*K463,0)</x:f>
        <x:v>1333</x:v>
      </x:c>
      <x:c r="Q463" s="19" t="str">
        <x:v>否</x:v>
      </x:c>
      <x:c r="R463" s="19" t="str"/>
      <x:c r="S463" s="19" t="n">
        <x:f>IF(Q463="是",0,MIN(10,2+IF(C463="高",2,1)+IF(K463&gt;=3%,3,IF(K463&gt;=1%,2,1))+IF(L463="新出现",2,IF(M463&gt;=100%,3,IF(M463&gt;0,2,0)))))</x:f>
        <x:v>7</x:v>
      </x:c>
      <x:c r="T463" s="21"/>
      <x:c r="U463" s="20"/>
      <x:c r="V463" s="19" t="str">
        <x:v>http://affiliate.watch/</x:v>
      </x:c>
      <x:c r="W463" s="19" t="str">
        <x:v>https://pro.similarweb.com/#/digitalsuite/websiteanalysis/referrals/*/999/1m?webSource=Total&amp;selectedTab=incomingTraffic&amp;key=lemonsqueezy.com</x:v>
      </x:c>
      <x:c r="X463" s="20" t="n">
        <x:f>IF(Q463="是",0,IFERROR(P463/SUMIFS($P$2:$P$964,$A$2:$A$964,A463,$Q$2:$Q$964,"否"),0))</x:f>
        <x:v>0.018390772881543005</x:v>
      </x:c>
      <x:c r="Y463" s="22" t="str">
        <x:f>IF(OR(M463="",U463=""),"未交叉",IF(M463*U463&gt;0,"同向",IF(M463*U463&lt;0,"背离","一侧持平")))</x:f>
        <x:v>未交叉</x:v>
      </x:c>
    </x:row>
    <x:row r="464">
      <x:c r="A464" s="18" t="str">
        <x:v>lemonsqueezy.com</x:v>
      </x:c>
      <x:c r="B464" s="19" t="str">
        <x:v>支付商主域（混合流量）</x:v>
      </x:c>
      <x:c r="C464" s="19" t="str">
        <x:v>中</x:v>
      </x:c>
      <x:c r="D464" s="19" t="str">
        <x:v>Jul 2026</x:v>
      </x:c>
      <x:c r="E464" s="19" t="n">
        <x:v>21</x:v>
      </x:c>
      <x:c r="F464" s="19" t="str">
        <x:v>orthodoxai.app</x:v>
      </x:c>
      <x:c r="G464" s="19" t="str">
        <x:v>Unknown</x:v>
      </x:c>
      <x:c r="H464" s="19" t="str">
        <x:v>其他/待核查</x:v>
      </x:c>
      <x:c r="I464" s="19" t="str">
        <x:v>Similarweb 未分类</x:v>
      </x:c>
      <x:c r="J464" s="19"/>
      <x:c r="K464" s="20" t="n">
        <x:v>0.0105</x:v>
      </x:c>
      <x:c r="L464" s="19" t="str">
        <x:v>新出现</x:v>
      </x:c>
      <x:c r="M464" s="20"/>
      <x:c r="N464" s="21" t="n">
        <x:v>126914</x:v>
      </x:c>
      <x:c r="O464" s="21" t="n">
        <x:v>1333</x:v>
      </x:c>
      <x:c r="P464" s="21" t="n">
        <x:f>ROUND(N464*K464,0)</x:f>
        <x:v>1333</x:v>
      </x:c>
      <x:c r="Q464" s="19" t="str">
        <x:v>否</x:v>
      </x:c>
      <x:c r="R464" s="19" t="str"/>
      <x:c r="S464" s="19" t="n">
        <x:f>IF(Q464="是",0,MIN(10,2+IF(C464="高",2,1)+IF(K464&gt;=3%,3,IF(K464&gt;=1%,2,1))+IF(L464="新出现",2,IF(M464&gt;=100%,3,IF(M464&gt;0,2,0)))))</x:f>
        <x:v>7</x:v>
      </x:c>
      <x:c r="T464" s="21"/>
      <x:c r="U464" s="20"/>
      <x:c r="V464" s="19" t="str">
        <x:v>http://orthodoxai.app/</x:v>
      </x:c>
      <x:c r="W464" s="19" t="str">
        <x:v>https://pro.similarweb.com/#/digitalsuite/websiteanalysis/referrals/*/999/1m?webSource=Total&amp;selectedTab=incomingTraffic&amp;key=lemonsqueezy.com</x:v>
      </x:c>
      <x:c r="X464" s="20" t="n">
        <x:f>IF(Q464="是",0,IFERROR(P464/SUMIFS($P$2:$P$964,$A$2:$A$964,A464,$Q$2:$Q$964,"否"),0))</x:f>
        <x:v>0.018390772881543005</x:v>
      </x:c>
      <x:c r="Y464" s="22" t="str">
        <x:f>IF(OR(M464="",U464=""),"未交叉",IF(M464*U464&gt;0,"同向",IF(M464*U464&lt;0,"背离","一侧持平")))</x:f>
        <x:v>未交叉</x:v>
      </x:c>
    </x:row>
    <x:row r="465">
      <x:c r="A465" s="18" t="str">
        <x:v>lemonsqueezy.com</x:v>
      </x:c>
      <x:c r="B465" s="19" t="str">
        <x:v>支付商主域（混合流量）</x:v>
      </x:c>
      <x:c r="C465" s="19" t="str">
        <x:v>中</x:v>
      </x:c>
      <x:c r="D465" s="19" t="str">
        <x:v>Jul 2026</x:v>
      </x:c>
      <x:c r="E465" s="19" t="n">
        <x:v>22</x:v>
      </x:c>
      <x:c r="F465" s="19" t="str">
        <x:v>compint.co</x:v>
      </x:c>
      <x:c r="G465" s="19" t="str">
        <x:v>Unknown</x:v>
      </x:c>
      <x:c r="H465" s="19" t="str">
        <x:v>其他/待核查</x:v>
      </x:c>
      <x:c r="I465" s="19" t="str">
        <x:v>Similarweb 未分类</x:v>
      </x:c>
      <x:c r="J465" s="19"/>
      <x:c r="K465" s="20" t="n">
        <x:v>0.0103</x:v>
      </x:c>
      <x:c r="L465" s="19" t="str">
        <x:v>上升</x:v>
      </x:c>
      <x:c r="M465" s="20" t="n">
        <x:v>50</x:v>
      </x:c>
      <x:c r="N465" s="21" t="n">
        <x:v>126914</x:v>
      </x:c>
      <x:c r="O465" s="21" t="n">
        <x:v>1307</x:v>
      </x:c>
      <x:c r="P465" s="21" t="n">
        <x:f>ROUND(N465*K465,0)</x:f>
        <x:v>1307</x:v>
      </x:c>
      <x:c r="Q465" s="19" t="str">
        <x:v>否</x:v>
      </x:c>
      <x:c r="R465" s="19" t="str"/>
      <x:c r="S465" s="19" t="n">
        <x:f>IF(Q465="是",0,MIN(10,2+IF(C465="高",2,1)+IF(K465&gt;=3%,3,IF(K465&gt;=1%,2,1))+IF(L465="新出现",2,IF(M465&gt;=100%,3,IF(M465&gt;0,2,0)))))</x:f>
        <x:v>8</x:v>
      </x:c>
      <x:c r="T465" s="21"/>
      <x:c r="U465" s="20"/>
      <x:c r="V465" s="19" t="str">
        <x:v>http://compint.co/</x:v>
      </x:c>
      <x:c r="W465" s="19" t="str">
        <x:v>https://pro.similarweb.com/#/digitalsuite/websiteanalysis/referrals/*/999/1m?webSource=Total&amp;selectedTab=incomingTraffic&amp;key=lemonsqueezy.com</x:v>
      </x:c>
      <x:c r="X465" s="20" t="n">
        <x:f>IF(Q465="是",0,IFERROR(P465/SUMIFS($P$2:$P$964,$A$2:$A$964,A465,$Q$2:$Q$964,"否"),0))</x:f>
        <x:v>0.01803206313291576</x:v>
      </x:c>
      <x:c r="Y465" s="22" t="str">
        <x:f>IF(OR(M465="",U465=""),"未交叉",IF(M465*U465&gt;0,"同向",IF(M465*U465&lt;0,"背离","一侧持平")))</x:f>
        <x:v>未交叉</x:v>
      </x:c>
    </x:row>
    <x:row r="466">
      <x:c r="A466" s="18" t="str">
        <x:v>lemonsqueezy.com</x:v>
      </x:c>
      <x:c r="B466" s="19" t="str">
        <x:v>支付商主域（混合流量）</x:v>
      </x:c>
      <x:c r="C466" s="19" t="str">
        <x:v>中</x:v>
      </x:c>
      <x:c r="D466" s="19" t="str">
        <x:v>Jul 2026</x:v>
      </x:c>
      <x:c r="E466" s="19" t="n">
        <x:v>23</x:v>
      </x:c>
      <x:c r="F466" s="19" t="str">
        <x:v>canva.com</x:v>
      </x:c>
      <x:c r="G466" s="19" t="str">
        <x:v>Graphics Multimedia and Web Design</x:v>
      </x:c>
      <x:c r="H466" s="19" t="str">
        <x:v>创作、设计与多媒体工具</x:v>
      </x:c>
      <x:c r="I466" s="19" t="str">
        <x:v>Similarweb 行业映射</x:v>
      </x:c>
      <x:c r="J466" s="19" t="n">
        <x:v>35</x:v>
      </x:c>
      <x:c r="K466" s="20" t="n">
        <x:v>0.009899999999999999</x:v>
      </x:c>
      <x:c r="L466" s="19" t="str">
        <x:v>下降</x:v>
      </x:c>
      <x:c r="M466" s="20" t="n">
        <x:v>-0.2989</x:v>
      </x:c>
      <x:c r="N466" s="21" t="n">
        <x:v>126914</x:v>
      </x:c>
      <x:c r="O466" s="21" t="n">
        <x:v>1256</x:v>
      </x:c>
      <x:c r="P466" s="21" t="n">
        <x:f>ROUND(N466*K466,0)</x:f>
        <x:v>1256</x:v>
      </x:c>
      <x:c r="Q466" s="19" t="str">
        <x:v>否</x:v>
      </x:c>
      <x:c r="R466" s="19" t="str"/>
      <x:c r="S466" s="19" t="n">
        <x:f>IF(Q466="是",0,MIN(10,2+IF(C466="高",2,1)+IF(K466&gt;=3%,3,IF(K466&gt;=1%,2,1))+IF(L466="新出现",2,IF(M466&gt;=100%,3,IF(M466&gt;0,2,0)))))</x:f>
        <x:v>4</x:v>
      </x:c>
      <x:c r="T466" s="21"/>
      <x:c r="U466" s="20"/>
      <x:c r="V466" s="19" t="str">
        <x:v>http://canva.com/</x:v>
      </x:c>
      <x:c r="W466" s="19" t="str">
        <x:v>https://pro.similarweb.com/#/digitalsuite/websiteanalysis/referrals/*/999/1m?webSource=Total&amp;selectedTab=incomingTraffic&amp;key=lemonsqueezy.com</x:v>
      </x:c>
      <x:c r="X466" s="20" t="n">
        <x:f>IF(Q466="是",0,IFERROR(P466/SUMIFS($P$2:$P$964,$A$2:$A$964,A466,$Q$2:$Q$964,"否"),0))</x:f>
        <x:v>0.017328440164454624</x:v>
      </x:c>
      <x:c r="Y466" s="22" t="str">
        <x:f>IF(OR(M466="",U466=""),"未交叉",IF(M466*U466&gt;0,"同向",IF(M466*U466&lt;0,"背离","一侧持平")))</x:f>
        <x:v>未交叉</x:v>
      </x:c>
    </x:row>
    <x:row r="467">
      <x:c r="A467" s="18" t="str">
        <x:v>lemonsqueezy.com</x:v>
      </x:c>
      <x:c r="B467" s="19" t="str">
        <x:v>支付商主域（混合流量）</x:v>
      </x:c>
      <x:c r="C467" s="19" t="str">
        <x:v>中</x:v>
      </x:c>
      <x:c r="D467" s="19" t="str">
        <x:v>Jul 2026</x:v>
      </x:c>
      <x:c r="E467" s="19" t="n">
        <x:v>24</x:v>
      </x:c>
      <x:c r="F467" s="19" t="str">
        <x:v>nexus.demand.io</x:v>
      </x:c>
      <x:c r="G467" s="19" t="str">
        <x:v>Jewelry and Luxury Products</x:v>
      </x:c>
      <x:c r="H467" s="19" t="str">
        <x:v>其他/待核查</x:v>
      </x:c>
      <x:c r="I467" s="19" t="str">
        <x:v>保守归类</x:v>
      </x:c>
      <x:c r="J467" s="19"/>
      <x:c r="K467" s="20" t="n">
        <x:v>0.009399999999999999</x:v>
      </x:c>
      <x:c r="L467" s="19" t="str">
        <x:v>上升</x:v>
      </x:c>
      <x:c r="M467" s="20" t="n">
        <x:v>0.5055</x:v>
      </x:c>
      <x:c r="N467" s="21" t="n">
        <x:v>126914</x:v>
      </x:c>
      <x:c r="O467" s="21" t="n">
        <x:v>1193</x:v>
      </x:c>
      <x:c r="P467" s="21" t="n">
        <x:f>ROUND(N467*K467,0)</x:f>
        <x:v>1193</x:v>
      </x:c>
      <x:c r="Q467" s="19" t="str">
        <x:v>否</x:v>
      </x:c>
      <x:c r="R467" s="19" t="str"/>
      <x:c r="S467" s="19" t="n">
        <x:f>IF(Q467="是",0,MIN(10,2+IF(C467="高",2,1)+IF(K467&gt;=3%,3,IF(K467&gt;=1%,2,1))+IF(L467="新出现",2,IF(M467&gt;=100%,3,IF(M467&gt;0,2,0)))))</x:f>
        <x:v>6</x:v>
      </x:c>
      <x:c r="T467" s="21"/>
      <x:c r="U467" s="20"/>
      <x:c r="V467" s="19" t="str">
        <x:v>http://nexus.demand.io/</x:v>
      </x:c>
      <x:c r="W467" s="19" t="str">
        <x:v>https://pro.similarweb.com/#/digitalsuite/websiteanalysis/referrals/*/999/1m?webSource=Total&amp;selectedTab=incomingTraffic&amp;key=lemonsqueezy.com</x:v>
      </x:c>
      <x:c r="X467" s="20" t="n">
        <x:f>IF(Q467="是",0,IFERROR(P467/SUMIFS($P$2:$P$964,$A$2:$A$964,A467,$Q$2:$Q$964,"否"),0))</x:f>
        <x:v>0.01645925885047322</x:v>
      </x:c>
      <x:c r="Y467" s="22" t="str">
        <x:f>IF(OR(M467="",U467=""),"未交叉",IF(M467*U467&gt;0,"同向",IF(M467*U467&lt;0,"背离","一侧持平")))</x:f>
        <x:v>未交叉</x:v>
      </x:c>
    </x:row>
    <x:row r="468">
      <x:c r="A468" s="18" t="str">
        <x:v>lemonsqueezy.com</x:v>
      </x:c>
      <x:c r="B468" s="19" t="str">
        <x:v>支付商主域（混合流量）</x:v>
      </x:c>
      <x:c r="C468" s="19" t="str">
        <x:v>中</x:v>
      </x:c>
      <x:c r="D468" s="19" t="str">
        <x:v>Jul 2026</x:v>
      </x:c>
      <x:c r="E468" s="19" t="n">
        <x:v>25</x:v>
      </x:c>
      <x:c r="F468" s="19" t="str">
        <x:v>kirksvillewebdesign.com</x:v>
      </x:c>
      <x:c r="G468" s="19" t="str">
        <x:v>Computers Electronics and Technology</x:v>
      </x:c>
      <x:c r="H468" s="19" t="str">
        <x:v>通用数字产品与技术服务</x:v>
      </x:c>
      <x:c r="I468" s="19" t="str">
        <x:v>Similarweb 行业映射</x:v>
      </x:c>
      <x:c r="J468" s="19" t="n">
        <x:v>628068</x:v>
      </x:c>
      <x:c r="K468" s="20" t="n">
        <x:v>0.0089</x:v>
      </x:c>
      <x:c r="L468" s="19" t="str">
        <x:v>下降</x:v>
      </x:c>
      <x:c r="M468" s="20" t="n">
        <x:v>-0.6412</x:v>
      </x:c>
      <x:c r="N468" s="21" t="n">
        <x:v>126914</x:v>
      </x:c>
      <x:c r="O468" s="21" t="n">
        <x:v>1130</x:v>
      </x:c>
      <x:c r="P468" s="21" t="n">
        <x:f>ROUND(N468*K468,0)</x:f>
        <x:v>1130</x:v>
      </x:c>
      <x:c r="Q468" s="19" t="str">
        <x:v>否</x:v>
      </x:c>
      <x:c r="R468" s="19" t="str"/>
      <x:c r="S468" s="19" t="n">
        <x:f>IF(Q468="是",0,MIN(10,2+IF(C468="高",2,1)+IF(K468&gt;=3%,3,IF(K468&gt;=1%,2,1))+IF(L468="新出现",2,IF(M468&gt;=100%,3,IF(M468&gt;0,2,0)))))</x:f>
        <x:v>4</x:v>
      </x:c>
      <x:c r="T468" s="21"/>
      <x:c r="U468" s="20"/>
      <x:c r="V468" s="19" t="str">
        <x:v>http://kirksvillewebdesign.com/</x:v>
      </x:c>
      <x:c r="W468" s="19" t="str">
        <x:v>https://pro.similarweb.com/#/digitalsuite/websiteanalysis/referrals/*/999/1m?webSource=Total&amp;selectedTab=incomingTraffic&amp;key=lemonsqueezy.com</x:v>
      </x:c>
      <x:c r="X468" s="20" t="n">
        <x:f>IF(Q468="是",0,IFERROR(P468/SUMIFS($P$2:$P$964,$A$2:$A$964,A468,$Q$2:$Q$964,"否"),0))</x:f>
        <x:v>0.015590077536491819</x:v>
      </x:c>
      <x:c r="Y468" s="22" t="str">
        <x:f>IF(OR(M468="",U468=""),"未交叉",IF(M468*U468&gt;0,"同向",IF(M468*U468&lt;0,"背离","一侧持平")))</x:f>
        <x:v>未交叉</x:v>
      </x:c>
    </x:row>
    <x:row r="469">
      <x:c r="A469" s="18" t="str">
        <x:v>lemonsqueezy.com</x:v>
      </x:c>
      <x:c r="B469" s="19" t="str">
        <x:v>支付商主域（混合流量）</x:v>
      </x:c>
      <x:c r="C469" s="19" t="str">
        <x:v>中</x:v>
      </x:c>
      <x:c r="D469" s="19" t="str">
        <x:v>Jul 2026</x:v>
      </x:c>
      <x:c r="E469" s="19" t="n">
        <x:v>26</x:v>
      </x:c>
      <x:c r="F469" s="19" t="str">
        <x:v>diariodegoias.com.br</x:v>
      </x:c>
      <x:c r="G469" s="19" t="str">
        <x:v>News and Media</x:v>
      </x:c>
      <x:c r="H469" s="19" t="str">
        <x:v>内容媒体、线下与实体消费</x:v>
      </x:c>
      <x:c r="I469" s="19" t="str">
        <x:v>Similarweb 行业映射</x:v>
      </x:c>
      <x:c r="J469" s="19" t="n">
        <x:v>288642</x:v>
      </x:c>
      <x:c r="K469" s="20" t="n">
        <x:v>0.0086</x:v>
      </x:c>
      <x:c r="L469" s="19" t="str">
        <x:v>新出现</x:v>
      </x:c>
      <x:c r="M469" s="20"/>
      <x:c r="N469" s="21" t="n">
        <x:v>126914</x:v>
      </x:c>
      <x:c r="O469" s="21" t="n">
        <x:v>1091</x:v>
      </x:c>
      <x:c r="P469" s="21" t="n">
        <x:f>ROUND(N469*K469,0)</x:f>
        <x:v>1091</x:v>
      </x:c>
      <x:c r="Q469" s="19" t="str">
        <x:v>否</x:v>
      </x:c>
      <x:c r="R469" s="19" t="str"/>
      <x:c r="S469" s="19" t="n">
        <x:f>IF(Q469="是",0,MIN(10,2+IF(C469="高",2,1)+IF(K469&gt;=3%,3,IF(K469&gt;=1%,2,1))+IF(L469="新出现",2,IF(M469&gt;=100%,3,IF(M469&gt;0,2,0)))))</x:f>
        <x:v>6</x:v>
      </x:c>
      <x:c r="T469" s="21"/>
      <x:c r="U469" s="20"/>
      <x:c r="V469" s="19" t="str">
        <x:v>http://diariodegoias.com.br/</x:v>
      </x:c>
      <x:c r="W469" s="19" t="str">
        <x:v>https://pro.similarweb.com/#/digitalsuite/websiteanalysis/referrals/*/999/1m?webSource=Total&amp;selectedTab=incomingTraffic&amp;key=lemonsqueezy.com</x:v>
      </x:c>
      <x:c r="X469" s="20" t="n">
        <x:f>IF(Q469="是",0,IFERROR(P469/SUMIFS($P$2:$P$964,$A$2:$A$964,A469,$Q$2:$Q$964,"否"),0))</x:f>
        <x:v>0.01505201291355095</x:v>
      </x:c>
      <x:c r="Y469" s="22" t="str">
        <x:f>IF(OR(M469="",U469=""),"未交叉",IF(M469*U469&gt;0,"同向",IF(M469*U469&lt;0,"背离","一侧持平")))</x:f>
        <x:v>未交叉</x:v>
      </x:c>
    </x:row>
    <x:row r="470">
      <x:c r="A470" s="18" t="str">
        <x:v>lemonsqueezy.com</x:v>
      </x:c>
      <x:c r="B470" s="19" t="str">
        <x:v>支付商主域（混合流量）</x:v>
      </x:c>
      <x:c r="C470" s="19" t="str">
        <x:v>中</x:v>
      </x:c>
      <x:c r="D470" s="19" t="str">
        <x:v>Jul 2026</x:v>
      </x:c>
      <x:c r="E470" s="19" t="n">
        <x:v>27</x:v>
      </x:c>
      <x:c r="F470" s="19" t="str">
        <x:v>bgrdh.com</x:v>
      </x:c>
      <x:c r="G470" s="19" t="str">
        <x:v>Programming and Developer Software</x:v>
      </x:c>
      <x:c r="H470" s="19" t="str">
        <x:v>开发者工具与互联网基础设施</x:v>
      </x:c>
      <x:c r="I470" s="19" t="str">
        <x:v>Similarweb 行业映射</x:v>
      </x:c>
      <x:c r="J470" s="19" t="n">
        <x:v>89865</x:v>
      </x:c>
      <x:c r="K470" s="20" t="n">
        <x:v>0.008199999999999999</x:v>
      </x:c>
      <x:c r="L470" s="19" t="str">
        <x:v>新出现</x:v>
      </x:c>
      <x:c r="M470" s="20"/>
      <x:c r="N470" s="21" t="n">
        <x:v>126914</x:v>
      </x:c>
      <x:c r="O470" s="21" t="n">
        <x:v>1041</x:v>
      </x:c>
      <x:c r="P470" s="21" t="n">
        <x:f>ROUND(N470*K470,0)</x:f>
        <x:v>1041</x:v>
      </x:c>
      <x:c r="Q470" s="19" t="str">
        <x:v>否</x:v>
      </x:c>
      <x:c r="R470" s="19" t="str"/>
      <x:c r="S470" s="19" t="n">
        <x:f>IF(Q470="是",0,MIN(10,2+IF(C470="高",2,1)+IF(K470&gt;=3%,3,IF(K470&gt;=1%,2,1))+IF(L470="新出现",2,IF(M470&gt;=100%,3,IF(M470&gt;0,2,0)))))</x:f>
        <x:v>6</x:v>
      </x:c>
      <x:c r="T470" s="21"/>
      <x:c r="U470" s="20"/>
      <x:c r="V470" s="19" t="str">
        <x:v>http://bgrdh.com/</x:v>
      </x:c>
      <x:c r="W470" s="19" t="str">
        <x:v>https://pro.similarweb.com/#/digitalsuite/websiteanalysis/referrals/*/999/1m?webSource=Total&amp;selectedTab=incomingTraffic&amp;key=lemonsqueezy.com</x:v>
      </x:c>
      <x:c r="X470" s="20" t="n">
        <x:f>IF(Q470="是",0,IFERROR(P470/SUMIFS($P$2:$P$964,$A$2:$A$964,A470,$Q$2:$Q$964,"否"),0))</x:f>
        <x:v>0.014362186473883171</x:v>
      </x:c>
      <x:c r="Y470" s="22" t="str">
        <x:f>IF(OR(M470="",U470=""),"未交叉",IF(M470*U470&gt;0,"同向",IF(M470*U470&lt;0,"背离","一侧持平")))</x:f>
        <x:v>未交叉</x:v>
      </x:c>
    </x:row>
    <x:row r="471">
      <x:c r="A471" s="18" t="str">
        <x:v>lemonsqueezy.com</x:v>
      </x:c>
      <x:c r="B471" s="19" t="str">
        <x:v>支付商主域（混合流量）</x:v>
      </x:c>
      <x:c r="C471" s="19" t="str">
        <x:v>中</x:v>
      </x:c>
      <x:c r="D471" s="19" t="str">
        <x:v>Jul 2026</x:v>
      </x:c>
      <x:c r="E471" s="19" t="n">
        <x:v>28</x:v>
      </x:c>
      <x:c r="F471" s="19" t="str">
        <x:v>plextvshowrandomizer.staticdomains.app</x:v>
      </x:c>
      <x:c r="G471" s="19" t="str">
        <x:v>Unknown</x:v>
      </x:c>
      <x:c r="H471" s="19" t="str">
        <x:v>其他/待核查</x:v>
      </x:c>
      <x:c r="I471" s="19" t="str">
        <x:v>Similarweb 未分类</x:v>
      </x:c>
      <x:c r="J471" s="19"/>
      <x:c r="K471" s="20" t="n">
        <x:v>0.0068000000000000005</x:v>
      </x:c>
      <x:c r="L471" s="19" t="str">
        <x:v>新出现</x:v>
      </x:c>
      <x:c r="M471" s="20"/>
      <x:c r="N471" s="21" t="n">
        <x:v>126914</x:v>
      </x:c>
      <x:c r="O471" s="21" t="n">
        <x:v>863</x:v>
      </x:c>
      <x:c r="P471" s="21" t="n">
        <x:f>ROUND(N471*K471,0)</x:f>
        <x:v>863</x:v>
      </x:c>
      <x:c r="Q471" s="19" t="str">
        <x:v>否</x:v>
      </x:c>
      <x:c r="R471" s="19" t="str"/>
      <x:c r="S471" s="19" t="n">
        <x:f>IF(Q471="是",0,MIN(10,2+IF(C471="高",2,1)+IF(K471&gt;=3%,3,IF(K471&gt;=1%,2,1))+IF(L471="新出现",2,IF(M471&gt;=100%,3,IF(M471&gt;0,2,0)))))</x:f>
        <x:v>6</x:v>
      </x:c>
      <x:c r="T471" s="21"/>
      <x:c r="U471" s="20"/>
      <x:c r="V471" s="19" t="str">
        <x:v>http://plextvshowrandomizer.staticdomains.app/</x:v>
      </x:c>
      <x:c r="W471" s="19" t="str">
        <x:v>https://pro.similarweb.com/#/digitalsuite/websiteanalysis/referrals/*/999/1m?webSource=Total&amp;selectedTab=incomingTraffic&amp;key=lemonsqueezy.com</x:v>
      </x:c>
      <x:c r="X471" s="20" t="n">
        <x:f>IF(Q471="是",0,IFERROR(P471/SUMIFS($P$2:$P$964,$A$2:$A$964,A471,$Q$2:$Q$964,"否"),0))</x:f>
        <x:v>0.011906404348665876</x:v>
      </x:c>
      <x:c r="Y471" s="22" t="str">
        <x:f>IF(OR(M471="",U471=""),"未交叉",IF(M471*U471&gt;0,"同向",IF(M471*U471&lt;0,"背离","一侧持平")))</x:f>
        <x:v>未交叉</x:v>
      </x:c>
    </x:row>
    <x:row r="472">
      <x:c r="A472" s="18" t="str">
        <x:v>lemonsqueezy.com</x:v>
      </x:c>
      <x:c r="B472" s="19" t="str">
        <x:v>支付商主域（混合流量）</x:v>
      </x:c>
      <x:c r="C472" s="19" t="str">
        <x:v>中</x:v>
      </x:c>
      <x:c r="D472" s="19" t="str">
        <x:v>Jul 2026</x:v>
      </x:c>
      <x:c r="E472" s="19" t="n">
        <x:v>29</x:v>
      </x:c>
      <x:c r="F472" s="19" t="str">
        <x:v>beacons.ai</x:v>
      </x:c>
      <x:c r="G472" s="19" t="str">
        <x:v>Graphics Multimedia and Web Design</x:v>
      </x:c>
      <x:c r="H472" s="19" t="str">
        <x:v>AI 工具与应用（未细分）</x:v>
      </x:c>
      <x:c r="I472" s="19" t="str">
        <x:v>域名后缀启发式</x:v>
      </x:c>
      <x:c r="J472" s="19" t="n">
        <x:v>2072</x:v>
      </x:c>
      <x:c r="K472" s="20" t="n">
        <x:v>0.0067</x:v>
      </x:c>
      <x:c r="L472" s="19" t="str">
        <x:v>新出现</x:v>
      </x:c>
      <x:c r="M472" s="20"/>
      <x:c r="N472" s="21" t="n">
        <x:v>126914</x:v>
      </x:c>
      <x:c r="O472" s="21" t="n">
        <x:v>850</x:v>
      </x:c>
      <x:c r="P472" s="21" t="n">
        <x:f>ROUND(N472*K472,0)</x:f>
        <x:v>850</x:v>
      </x:c>
      <x:c r="Q472" s="19" t="str">
        <x:v>否</x:v>
      </x:c>
      <x:c r="R472" s="19" t="str"/>
      <x:c r="S472" s="19" t="n">
        <x:f>IF(Q472="是",0,MIN(10,2+IF(C472="高",2,1)+IF(K472&gt;=3%,3,IF(K472&gt;=1%,2,1))+IF(L472="新出现",2,IF(M472&gt;=100%,3,IF(M472&gt;0,2,0)))))</x:f>
        <x:v>6</x:v>
      </x:c>
      <x:c r="T472" s="21"/>
      <x:c r="U472" s="20"/>
      <x:c r="V472" s="19" t="str">
        <x:v>http://beacons.ai/</x:v>
      </x:c>
      <x:c r="W472" s="19" t="str">
        <x:v>https://pro.similarweb.com/#/digitalsuite/websiteanalysis/referrals/*/999/1m?webSource=Total&amp;selectedTab=incomingTraffic&amp;key=lemonsqueezy.com</x:v>
      </x:c>
      <x:c r="X472" s="20" t="n">
        <x:f>IF(Q472="是",0,IFERROR(P472/SUMIFS($P$2:$P$964,$A$2:$A$964,A472,$Q$2:$Q$964,"否"),0))</x:f>
        <x:v>0.011727049474352253</x:v>
      </x:c>
      <x:c r="Y472" s="22" t="str">
        <x:f>IF(OR(M472="",U472=""),"未交叉",IF(M472*U472&gt;0,"同向",IF(M472*U472&lt;0,"背离","一侧持平")))</x:f>
        <x:v>未交叉</x:v>
      </x:c>
    </x:row>
    <x:row r="473">
      <x:c r="A473" s="18" t="str">
        <x:v>lemonsqueezy.com</x:v>
      </x:c>
      <x:c r="B473" s="19" t="str">
        <x:v>支付商主域（混合流量）</x:v>
      </x:c>
      <x:c r="C473" s="19" t="str">
        <x:v>中</x:v>
      </x:c>
      <x:c r="D473" s="19" t="str">
        <x:v>Jul 2026</x:v>
      </x:c>
      <x:c r="E473" s="19" t="n">
        <x:v>30</x:v>
      </x:c>
      <x:c r="F473" s="19" t="str">
        <x:v>store.j2team.org</x:v>
      </x:c>
      <x:c r="G473" s="19" t="str">
        <x:v>Graphics Multimedia and Web Design</x:v>
      </x:c>
      <x:c r="H473" s="19" t="str">
        <x:v>创作、设计与多媒体工具</x:v>
      </x:c>
      <x:c r="I473" s="19" t="str">
        <x:v>Similarweb 行业映射</x:v>
      </x:c>
      <x:c r="J473" s="19"/>
      <x:c r="K473" s="20" t="n">
        <x:v>0.0063</x:v>
      </x:c>
      <x:c r="L473" s="19" t="str">
        <x:v>下降</x:v>
      </x:c>
      <x:c r="M473" s="20" t="n">
        <x:v>-0.2615</x:v>
      </x:c>
      <x:c r="N473" s="21" t="n">
        <x:v>126914</x:v>
      </x:c>
      <x:c r="O473" s="21" t="n">
        <x:v>800</x:v>
      </x:c>
      <x:c r="P473" s="21" t="n">
        <x:f>ROUND(N473*K473,0)</x:f>
        <x:v>800</x:v>
      </x:c>
      <x:c r="Q473" s="19" t="str">
        <x:v>否</x:v>
      </x:c>
      <x:c r="R473" s="19" t="str"/>
      <x:c r="S473" s="19" t="n">
        <x:f>IF(Q473="是",0,MIN(10,2+IF(C473="高",2,1)+IF(K473&gt;=3%,3,IF(K473&gt;=1%,2,1))+IF(L473="新出现",2,IF(M473&gt;=100%,3,IF(M473&gt;0,2,0)))))</x:f>
        <x:v>4</x:v>
      </x:c>
      <x:c r="T473" s="21"/>
      <x:c r="U473" s="20"/>
      <x:c r="V473" s="19" t="str">
        <x:v>http://store.j2team.org/</x:v>
      </x:c>
      <x:c r="W473" s="19" t="str">
        <x:v>https://pro.similarweb.com/#/digitalsuite/websiteanalysis/referrals/*/999/1m?webSource=Total&amp;selectedTab=incomingTraffic&amp;key=lemonsqueezy.com</x:v>
      </x:c>
      <x:c r="X473" s="20" t="n">
        <x:f>IF(Q473="是",0,IFERROR(P473/SUMIFS($P$2:$P$964,$A$2:$A$964,A473,$Q$2:$Q$964,"否"),0))</x:f>
        <x:v>0.011037223034684473</x:v>
      </x:c>
      <x:c r="Y473" s="22" t="str">
        <x:f>IF(OR(M473="",U473=""),"未交叉",IF(M473*U473&gt;0,"同向",IF(M473*U473&lt;0,"背离","一侧持平")))</x:f>
        <x:v>未交叉</x:v>
      </x:c>
    </x:row>
    <x:row r="474">
      <x:c r="A474" s="18" t="str">
        <x:v>lemonsqueezy.com</x:v>
      </x:c>
      <x:c r="B474" s="19" t="str">
        <x:v>支付商主域（混合流量）</x:v>
      </x:c>
      <x:c r="C474" s="19" t="str">
        <x:v>中</x:v>
      </x:c>
      <x:c r="D474" s="19" t="str">
        <x:v>Jul 2026</x:v>
      </x:c>
      <x:c r="E474" s="19" t="n">
        <x:v>31</x:v>
      </x:c>
      <x:c r="F474" s="19" t="str">
        <x:v>launchpedia.co</x:v>
      </x:c>
      <x:c r="G474" s="19" t="str">
        <x:v>Graphics Multimedia and Web Design</x:v>
      </x:c>
      <x:c r="H474" s="19" t="str">
        <x:v>创作、设计与多媒体工具</x:v>
      </x:c>
      <x:c r="I474" s="19" t="str">
        <x:v>Similarweb 行业映射</x:v>
      </x:c>
      <x:c r="J474" s="19" t="n">
        <x:v>1782195</x:v>
      </x:c>
      <x:c r="K474" s="20" t="n">
        <x:v>0.0063</x:v>
      </x:c>
      <x:c r="L474" s="19" t="str">
        <x:v>上升</x:v>
      </x:c>
      <x:c r="M474" s="20" t="n">
        <x:v>5.1785000000000005</x:v>
      </x:c>
      <x:c r="N474" s="21" t="n">
        <x:v>126914</x:v>
      </x:c>
      <x:c r="O474" s="21" t="n">
        <x:v>800</x:v>
      </x:c>
      <x:c r="P474" s="21" t="n">
        <x:f>ROUND(N474*K474,0)</x:f>
        <x:v>800</x:v>
      </x:c>
      <x:c r="Q474" s="19" t="str">
        <x:v>否</x:v>
      </x:c>
      <x:c r="R474" s="19" t="str"/>
      <x:c r="S474" s="19" t="n">
        <x:f>IF(Q474="是",0,MIN(10,2+IF(C474="高",2,1)+IF(K474&gt;=3%,3,IF(K474&gt;=1%,2,1))+IF(L474="新出现",2,IF(M474&gt;=100%,3,IF(M474&gt;0,2,0)))))</x:f>
        <x:v>7</x:v>
      </x:c>
      <x:c r="T474" s="21"/>
      <x:c r="U474" s="20"/>
      <x:c r="V474" s="19" t="str">
        <x:v>http://launchpedia.co/</x:v>
      </x:c>
      <x:c r="W474" s="19" t="str">
        <x:v>https://pro.similarweb.com/#/digitalsuite/websiteanalysis/referrals/*/999/1m?webSource=Total&amp;selectedTab=incomingTraffic&amp;key=lemonsqueezy.com</x:v>
      </x:c>
      <x:c r="X474" s="20" t="n">
        <x:f>IF(Q474="是",0,IFERROR(P474/SUMIFS($P$2:$P$964,$A$2:$A$964,A474,$Q$2:$Q$964,"否"),0))</x:f>
        <x:v>0.011037223034684473</x:v>
      </x:c>
      <x:c r="Y474" s="22" t="str">
        <x:f>IF(OR(M474="",U474=""),"未交叉",IF(M474*U474&gt;0,"同向",IF(M474*U474&lt;0,"背离","一侧持平")))</x:f>
        <x:v>未交叉</x:v>
      </x:c>
    </x:row>
    <x:row r="475">
      <x:c r="A475" s="18" t="str">
        <x:v>lemonsqueezy.com</x:v>
      </x:c>
      <x:c r="B475" s="19" t="str">
        <x:v>支付商主域（混合流量）</x:v>
      </x:c>
      <x:c r="C475" s="19" t="str">
        <x:v>中</x:v>
      </x:c>
      <x:c r="D475" s="19" t="str">
        <x:v>Jul 2026</x:v>
      </x:c>
      <x:c r="E475" s="19" t="n">
        <x:v>32</x:v>
      </x:c>
      <x:c r="F475" s="19" t="str">
        <x:v>docs.astro.build</x:v>
      </x:c>
      <x:c r="G475" s="19" t="str">
        <x:v>Programming and Developer Software</x:v>
      </x:c>
      <x:c r="H475" s="19" t="str">
        <x:v>开发者工具与互联网基础设施</x:v>
      </x:c>
      <x:c r="I475" s="19" t="str">
        <x:v>Similarweb 行业映射</x:v>
      </x:c>
      <x:c r="J475" s="19"/>
      <x:c r="K475" s="20" t="n">
        <x:v>0.0062</x:v>
      </x:c>
      <x:c r="L475" s="19" t="str">
        <x:v>新出现</x:v>
      </x:c>
      <x:c r="M475" s="20"/>
      <x:c r="N475" s="21" t="n">
        <x:v>126914</x:v>
      </x:c>
      <x:c r="O475" s="21" t="n">
        <x:v>787</x:v>
      </x:c>
      <x:c r="P475" s="21" t="n">
        <x:f>ROUND(N475*K475,0)</x:f>
        <x:v>787</x:v>
      </x:c>
      <x:c r="Q475" s="19" t="str">
        <x:v>否</x:v>
      </x:c>
      <x:c r="R475" s="19" t="str"/>
      <x:c r="S475" s="19" t="n">
        <x:f>IF(Q475="是",0,MIN(10,2+IF(C475="高",2,1)+IF(K475&gt;=3%,3,IF(K475&gt;=1%,2,1))+IF(L475="新出现",2,IF(M475&gt;=100%,3,IF(M475&gt;0,2,0)))))</x:f>
        <x:v>6</x:v>
      </x:c>
      <x:c r="T475" s="21"/>
      <x:c r="U475" s="20"/>
      <x:c r="V475" s="19" t="str">
        <x:v>http://docs.astro.build/</x:v>
      </x:c>
      <x:c r="W475" s="19" t="str">
        <x:v>https://pro.similarweb.com/#/digitalsuite/websiteanalysis/referrals/*/999/1m?webSource=Total&amp;selectedTab=incomingTraffic&amp;key=lemonsqueezy.com</x:v>
      </x:c>
      <x:c r="X475" s="20" t="n">
        <x:f>IF(Q475="是",0,IFERROR(P475/SUMIFS($P$2:$P$964,$A$2:$A$964,A475,$Q$2:$Q$964,"否"),0))</x:f>
        <x:v>0.01085786816037085</x:v>
      </x:c>
      <x:c r="Y475" s="22" t="str">
        <x:f>IF(OR(M475="",U475=""),"未交叉",IF(M475*U475&gt;0,"同向",IF(M475*U475&lt;0,"背离","一侧持平")))</x:f>
        <x:v>未交叉</x:v>
      </x:c>
    </x:row>
    <x:row r="476">
      <x:c r="A476" s="18" t="str">
        <x:v>lemonsqueezy.com</x:v>
      </x:c>
      <x:c r="B476" s="19" t="str">
        <x:v>支付商主域（混合流量）</x:v>
      </x:c>
      <x:c r="C476" s="19" t="str">
        <x:v>中</x:v>
      </x:c>
      <x:c r="D476" s="19" t="str">
        <x:v>Jul 2026</x:v>
      </x:c>
      <x:c r="E476" s="19" t="n">
        <x:v>33</x:v>
      </x:c>
      <x:c r="F476" s="19" t="str">
        <x:v>blacktwist.app</x:v>
      </x:c>
      <x:c r="G476" s="19" t="str">
        <x:v>Graphics Multimedia and Web Design</x:v>
      </x:c>
      <x:c r="H476" s="19" t="str">
        <x:v>创作、设计与多媒体工具</x:v>
      </x:c>
      <x:c r="I476" s="19" t="str">
        <x:v>Similarweb 行业映射</x:v>
      </x:c>
      <x:c r="J476" s="19" t="n">
        <x:v>461322</x:v>
      </x:c>
      <x:c r="K476" s="20" t="n">
        <x:v>0.0062</x:v>
      </x:c>
      <x:c r="L476" s="19" t="str">
        <x:v>新出现</x:v>
      </x:c>
      <x:c r="M476" s="20"/>
      <x:c r="N476" s="21" t="n">
        <x:v>126914</x:v>
      </x:c>
      <x:c r="O476" s="21" t="n">
        <x:v>787</x:v>
      </x:c>
      <x:c r="P476" s="21" t="n">
        <x:f>ROUND(N476*K476,0)</x:f>
        <x:v>787</x:v>
      </x:c>
      <x:c r="Q476" s="19" t="str">
        <x:v>否</x:v>
      </x:c>
      <x:c r="R476" s="19" t="str"/>
      <x:c r="S476" s="19" t="n">
        <x:f>IF(Q476="是",0,MIN(10,2+IF(C476="高",2,1)+IF(K476&gt;=3%,3,IF(K476&gt;=1%,2,1))+IF(L476="新出现",2,IF(M476&gt;=100%,3,IF(M476&gt;0,2,0)))))</x:f>
        <x:v>6</x:v>
      </x:c>
      <x:c r="T476" s="21"/>
      <x:c r="U476" s="20"/>
      <x:c r="V476" s="19" t="str">
        <x:v>http://blacktwist.app/</x:v>
      </x:c>
      <x:c r="W476" s="19" t="str">
        <x:v>https://pro.similarweb.com/#/digitalsuite/websiteanalysis/referrals/*/999/1m?webSource=Total&amp;selectedTab=incomingTraffic&amp;key=lemonsqueezy.com</x:v>
      </x:c>
      <x:c r="X476" s="20" t="n">
        <x:f>IF(Q476="是",0,IFERROR(P476/SUMIFS($P$2:$P$964,$A$2:$A$964,A476,$Q$2:$Q$964,"否"),0))</x:f>
        <x:v>0.01085786816037085</x:v>
      </x:c>
      <x:c r="Y476" s="22" t="str">
        <x:f>IF(OR(M476="",U476=""),"未交叉",IF(M476*U476&gt;0,"同向",IF(M476*U476&lt;0,"背离","一侧持平")))</x:f>
        <x:v>未交叉</x:v>
      </x:c>
    </x:row>
    <x:row r="477">
      <x:c r="A477" s="18" t="str">
        <x:v>lemonsqueezy.com</x:v>
      </x:c>
      <x:c r="B477" s="19" t="str">
        <x:v>支付商主域（混合流量）</x:v>
      </x:c>
      <x:c r="C477" s="19" t="str">
        <x:v>中</x:v>
      </x:c>
      <x:c r="D477" s="19" t="str">
        <x:v>Jul 2026</x:v>
      </x:c>
      <x:c r="E477" s="19" t="n">
        <x:v>34</x:v>
      </x:c>
      <x:c r="F477" s="19" t="str">
        <x:v>onlyforeditor.colormango.com</x:v>
      </x:c>
      <x:c r="G477" s="19" t="str">
        <x:v>Programming and Developer Software</x:v>
      </x:c>
      <x:c r="H477" s="19" t="str">
        <x:v>开发者工具与互联网基础设施</x:v>
      </x:c>
      <x:c r="I477" s="19" t="str">
        <x:v>Similarweb 行业映射</x:v>
      </x:c>
      <x:c r="J477" s="19"/>
      <x:c r="K477" s="20" t="n">
        <x:v>0.0058</x:v>
      </x:c>
      <x:c r="L477" s="19" t="str">
        <x:v>下降</x:v>
      </x:c>
      <x:c r="M477" s="20" t="n">
        <x:v>-0.7245</x:v>
      </x:c>
      <x:c r="N477" s="21" t="n">
        <x:v>126914</x:v>
      </x:c>
      <x:c r="O477" s="21" t="n">
        <x:v>736</x:v>
      </x:c>
      <x:c r="P477" s="21" t="n">
        <x:f>ROUND(N477*K477,0)</x:f>
        <x:v>736</x:v>
      </x:c>
      <x:c r="Q477" s="19" t="str">
        <x:v>否</x:v>
      </x:c>
      <x:c r="R477" s="19" t="str"/>
      <x:c r="S477" s="19" t="n">
        <x:f>IF(Q477="是",0,MIN(10,2+IF(C477="高",2,1)+IF(K477&gt;=3%,3,IF(K477&gt;=1%,2,1))+IF(L477="新出现",2,IF(M477&gt;=100%,3,IF(M477&gt;0,2,0)))))</x:f>
        <x:v>4</x:v>
      </x:c>
      <x:c r="T477" s="21"/>
      <x:c r="U477" s="20"/>
      <x:c r="V477" s="19" t="str">
        <x:v>http://onlyforeditor.colormango.com/</x:v>
      </x:c>
      <x:c r="W477" s="19" t="str">
        <x:v>https://pro.similarweb.com/#/digitalsuite/websiteanalysis/referrals/*/999/1m?webSource=Total&amp;selectedTab=incomingTraffic&amp;key=lemonsqueezy.com</x:v>
      </x:c>
      <x:c r="X477" s="20" t="n">
        <x:f>IF(Q477="是",0,IFERROR(P477/SUMIFS($P$2:$P$964,$A$2:$A$964,A477,$Q$2:$Q$964,"否"),0))</x:f>
        <x:v>0.010154245191909715</x:v>
      </x:c>
      <x:c r="Y477" s="22" t="str">
        <x:f>IF(OR(M477="",U477=""),"未交叉",IF(M477*U477&gt;0,"同向",IF(M477*U477&lt;0,"背离","一侧持平")))</x:f>
        <x:v>未交叉</x:v>
      </x:c>
    </x:row>
    <x:row r="478">
      <x:c r="A478" s="18" t="str">
        <x:v>lemonsqueezy.com</x:v>
      </x:c>
      <x:c r="B478" s="19" t="str">
        <x:v>支付商主域（混合流量）</x:v>
      </x:c>
      <x:c r="C478" s="19" t="str">
        <x:v>中</x:v>
      </x:c>
      <x:c r="D478" s="19" t="str">
        <x:v>Jul 2026</x:v>
      </x:c>
      <x:c r="E478" s="19" t="n">
        <x:v>35</x:v>
      </x:c>
      <x:c r="F478" s="19" t="str">
        <x:v>submit.victrays.com</x:v>
      </x:c>
      <x:c r="G478" s="19" t="str">
        <x:v>Unknown</x:v>
      </x:c>
      <x:c r="H478" s="19" t="str">
        <x:v>其他/待核查</x:v>
      </x:c>
      <x:c r="I478" s="19" t="str">
        <x:v>Similarweb 未分类</x:v>
      </x:c>
      <x:c r="J478" s="19"/>
      <x:c r="K478" s="20" t="n">
        <x:v>0.0055000000000000005</x:v>
      </x:c>
      <x:c r="L478" s="19" t="str">
        <x:v>上升</x:v>
      </x:c>
      <x:c r="M478" s="20" t="n">
        <x:v>2.7317</x:v>
      </x:c>
      <x:c r="N478" s="21" t="n">
        <x:v>126914</x:v>
      </x:c>
      <x:c r="O478" s="21" t="n">
        <x:v>698</x:v>
      </x:c>
      <x:c r="P478" s="21" t="n">
        <x:f>ROUND(N478*K478,0)</x:f>
        <x:v>698</x:v>
      </x:c>
      <x:c r="Q478" s="19" t="str">
        <x:v>否</x:v>
      </x:c>
      <x:c r="R478" s="19" t="str"/>
      <x:c r="S478" s="19" t="n">
        <x:f>IF(Q478="是",0,MIN(10,2+IF(C478="高",2,1)+IF(K478&gt;=3%,3,IF(K478&gt;=1%,2,1))+IF(L478="新出现",2,IF(M478&gt;=100%,3,IF(M478&gt;0,2,0)))))</x:f>
        <x:v>7</x:v>
      </x:c>
      <x:c r="T478" s="21"/>
      <x:c r="U478" s="20"/>
      <x:c r="V478" s="19" t="str">
        <x:v>http://submit.victrays.com/</x:v>
      </x:c>
      <x:c r="W478" s="19" t="str">
        <x:v>https://pro.similarweb.com/#/digitalsuite/websiteanalysis/referrals/*/999/1m?webSource=Total&amp;selectedTab=incomingTraffic&amp;key=lemonsqueezy.com</x:v>
      </x:c>
      <x:c r="X478" s="20" t="n">
        <x:f>IF(Q478="是",0,IFERROR(P478/SUMIFS($P$2:$P$964,$A$2:$A$964,A478,$Q$2:$Q$964,"否"),0))</x:f>
        <x:v>0.009629977097762202</x:v>
      </x:c>
      <x:c r="Y478" s="22" t="str">
        <x:f>IF(OR(M478="",U478=""),"未交叉",IF(M478*U478&gt;0,"同向",IF(M478*U478&lt;0,"背离","一侧持平")))</x:f>
        <x:v>未交叉</x:v>
      </x:c>
    </x:row>
    <x:row r="479">
      <x:c r="A479" s="18" t="str">
        <x:v>lemonsqueezy.com</x:v>
      </x:c>
      <x:c r="B479" s="19" t="str">
        <x:v>支付商主域（混合流量）</x:v>
      </x:c>
      <x:c r="C479" s="19" t="str">
        <x:v>中</x:v>
      </x:c>
      <x:c r="D479" s="19" t="str">
        <x:v>Jul 2026</x:v>
      </x:c>
      <x:c r="E479" s="19" t="n">
        <x:v>36</x:v>
      </x:c>
      <x:c r="F479" s="19" t="str">
        <x:v>hooks.stripe.com</x:v>
      </x:c>
      <x:c r="G479" s="19" t="str">
        <x:v>Computers Electronics and Technology</x:v>
      </x:c>
      <x:c r="H479" s="19" t="str">
        <x:v>通用数字产品与技术服务</x:v>
      </x:c>
      <x:c r="I479" s="19" t="str">
        <x:v>Similarweb 行业映射</x:v>
      </x:c>
      <x:c r="J479" s="19"/>
      <x:c r="K479" s="20" t="n">
        <x:v>0.0053</x:v>
      </x:c>
      <x:c r="L479" s="19" t="str">
        <x:v>上升</x:v>
      </x:c>
      <x:c r="M479" s="20" t="n">
        <x:v>1.0336</x:v>
      </x:c>
      <x:c r="N479" s="21" t="n">
        <x:v>126914</x:v>
      </x:c>
      <x:c r="O479" s="21" t="n">
        <x:v>673</x:v>
      </x:c>
      <x:c r="P479" s="21" t="n">
        <x:f>ROUND(N479*K479,0)</x:f>
        <x:v>673</x:v>
      </x:c>
      <x:c r="Q479" s="19" t="str">
        <x:v>是</x:v>
      </x:c>
      <x:c r="R479" s="19" t="str">
        <x:v>支付平台或其内部域名</x:v>
      </x:c>
      <x:c r="S479" s="19" t="n">
        <x:f>IF(Q479="是",0,MIN(10,2+IF(C479="高",2,1)+IF(K479&gt;=3%,3,IF(K479&gt;=1%,2,1))+IF(L479="新出现",2,IF(M479&gt;=100%,3,IF(M479&gt;0,2,0)))))</x:f>
        <x:v>0</x:v>
      </x:c>
      <x:c r="T479" s="21"/>
      <x:c r="U479" s="20"/>
      <x:c r="V479" s="19" t="str">
        <x:v>http://hooks.stripe.com/</x:v>
      </x:c>
      <x:c r="W479" s="19" t="str">
        <x:v>https://pro.similarweb.com/#/digitalsuite/websiteanalysis/referrals/*/999/1m?webSource=Total&amp;selectedTab=incomingTraffic&amp;key=lemonsqueezy.com</x:v>
      </x:c>
      <x:c r="X479" s="20" t="n">
        <x:f>IF(Q479="是",0,IFERROR(P479/SUMIFS($P$2:$P$964,$A$2:$A$964,A479,$Q$2:$Q$964,"否"),0))</x:f>
        <x:v>0</x:v>
      </x:c>
      <x:c r="Y479" s="22" t="str">
        <x:f>IF(OR(M479="",U479=""),"未交叉",IF(M479*U479&gt;0,"同向",IF(M479*U479&lt;0,"背离","一侧持平")))</x:f>
        <x:v>未交叉</x:v>
      </x:c>
    </x:row>
    <x:row r="480">
      <x:c r="A480" s="18" t="str">
        <x:v>lemonsqueezy.com</x:v>
      </x:c>
      <x:c r="B480" s="19" t="str">
        <x:v>支付商主域（混合流量）</x:v>
      </x:c>
      <x:c r="C480" s="19" t="str">
        <x:v>中</x:v>
      </x:c>
      <x:c r="D480" s="19" t="str">
        <x:v>Jul 2026</x:v>
      </x:c>
      <x:c r="E480" s="19" t="n">
        <x:v>37</x:v>
      </x:c>
      <x:c r="F480" s="19" t="str">
        <x:v>tabler.io</x:v>
      </x:c>
      <x:c r="G480" s="19" t="str">
        <x:v>Programming and Developer Software</x:v>
      </x:c>
      <x:c r="H480" s="19" t="str">
        <x:v>开发者工具与互联网基础设施</x:v>
      </x:c>
      <x:c r="I480" s="19" t="str">
        <x:v>Similarweb 行业映射</x:v>
      </x:c>
      <x:c r="J480" s="19" t="n">
        <x:v>104769</x:v>
      </x:c>
      <x:c r="K480" s="20" t="n">
        <x:v>0.0053</x:v>
      </x:c>
      <x:c r="L480" s="19" t="str">
        <x:v>上升</x:v>
      </x:c>
      <x:c r="M480" s="20" t="n">
        <x:v>1.4579</x:v>
      </x:c>
      <x:c r="N480" s="21" t="n">
        <x:v>126914</x:v>
      </x:c>
      <x:c r="O480" s="21" t="n">
        <x:v>673</x:v>
      </x:c>
      <x:c r="P480" s="21" t="n">
        <x:f>ROUND(N480*K480,0)</x:f>
        <x:v>673</x:v>
      </x:c>
      <x:c r="Q480" s="19" t="str">
        <x:v>否</x:v>
      </x:c>
      <x:c r="R480" s="19" t="str"/>
      <x:c r="S480" s="19" t="n">
        <x:f>IF(Q480="是",0,MIN(10,2+IF(C480="高",2,1)+IF(K480&gt;=3%,3,IF(K480&gt;=1%,2,1))+IF(L480="新出现",2,IF(M480&gt;=100%,3,IF(M480&gt;0,2,0)))))</x:f>
        <x:v>7</x:v>
      </x:c>
      <x:c r="T480" s="21"/>
      <x:c r="U480" s="20"/>
      <x:c r="V480" s="19" t="str">
        <x:v>http://tabler.io/</x:v>
      </x:c>
      <x:c r="W480" s="19" t="str">
        <x:v>https://pro.similarweb.com/#/digitalsuite/websiteanalysis/referrals/*/999/1m?webSource=Total&amp;selectedTab=incomingTraffic&amp;key=lemonsqueezy.com</x:v>
      </x:c>
      <x:c r="X480" s="20" t="n">
        <x:f>IF(Q480="是",0,IFERROR(P480/SUMIFS($P$2:$P$964,$A$2:$A$964,A480,$Q$2:$Q$964,"否"),0))</x:f>
        <x:v>0.009285063877928313</x:v>
      </x:c>
      <x:c r="Y480" s="22" t="str">
        <x:f>IF(OR(M480="",U480=""),"未交叉",IF(M480*U480&gt;0,"同向",IF(M480*U480&lt;0,"背离","一侧持平")))</x:f>
        <x:v>未交叉</x:v>
      </x:c>
    </x:row>
    <x:row r="481">
      <x:c r="A481" s="18" t="str">
        <x:v>lemonsqueezy.com</x:v>
      </x:c>
      <x:c r="B481" s="19" t="str">
        <x:v>支付商主域（混合流量）</x:v>
      </x:c>
      <x:c r="C481" s="19" t="str">
        <x:v>中</x:v>
      </x:c>
      <x:c r="D481" s="19" t="str">
        <x:v>Jul 2026</x:v>
      </x:c>
      <x:c r="E481" s="19" t="n">
        <x:v>38</x:v>
      </x:c>
      <x:c r="F481" s="19" t="str">
        <x:v>prepmasterdigital.com</x:v>
      </x:c>
      <x:c r="G481" s="19" t="str">
        <x:v>Unknown</x:v>
      </x:c>
      <x:c r="H481" s="19" t="str">
        <x:v>其他/待核查</x:v>
      </x:c>
      <x:c r="I481" s="19" t="str">
        <x:v>Similarweb 未分类</x:v>
      </x:c>
      <x:c r="J481" s="19" t="n">
        <x:v>1928780</x:v>
      </x:c>
      <x:c r="K481" s="20" t="n">
        <x:v>0.0052</x:v>
      </x:c>
      <x:c r="L481" s="19" t="str">
        <x:v>新出现</x:v>
      </x:c>
      <x:c r="M481" s="20"/>
      <x:c r="N481" s="21" t="n">
        <x:v>126914</x:v>
      </x:c>
      <x:c r="O481" s="21" t="n">
        <x:v>660</x:v>
      </x:c>
      <x:c r="P481" s="21" t="n">
        <x:f>ROUND(N481*K481,0)</x:f>
        <x:v>660</x:v>
      </x:c>
      <x:c r="Q481" s="19" t="str">
        <x:v>否</x:v>
      </x:c>
      <x:c r="R481" s="19" t="str"/>
      <x:c r="S481" s="19" t="n">
        <x:f>IF(Q481="是",0,MIN(10,2+IF(C481="高",2,1)+IF(K481&gt;=3%,3,IF(K481&gt;=1%,2,1))+IF(L481="新出现",2,IF(M481&gt;=100%,3,IF(M481&gt;0,2,0)))))</x:f>
        <x:v>6</x:v>
      </x:c>
      <x:c r="T481" s="21"/>
      <x:c r="U481" s="20"/>
      <x:c r="V481" s="19" t="str">
        <x:v>http://prepmasterdigital.com/</x:v>
      </x:c>
      <x:c r="W481" s="19" t="str">
        <x:v>https://pro.similarweb.com/#/digitalsuite/websiteanalysis/referrals/*/999/1m?webSource=Total&amp;selectedTab=incomingTraffic&amp;key=lemonsqueezy.com</x:v>
      </x:c>
      <x:c r="X481" s="20" t="n">
        <x:f>IF(Q481="是",0,IFERROR(P481/SUMIFS($P$2:$P$964,$A$2:$A$964,A481,$Q$2:$Q$964,"否"),0))</x:f>
        <x:v>0.00910570900361469</x:v>
      </x:c>
      <x:c r="Y481" s="22" t="str">
        <x:f>IF(OR(M481="",U481=""),"未交叉",IF(M481*U481&gt;0,"同向",IF(M481*U481&lt;0,"背离","一侧持平")))</x:f>
        <x:v>未交叉</x:v>
      </x:c>
    </x:row>
    <x:row r="482">
      <x:c r="A482" s="18" t="str">
        <x:v>lemonsqueezy.com</x:v>
      </x:c>
      <x:c r="B482" s="19" t="str">
        <x:v>支付商主域（混合流量）</x:v>
      </x:c>
      <x:c r="C482" s="19" t="str">
        <x:v>中</x:v>
      </x:c>
      <x:c r="D482" s="19" t="str">
        <x:v>Jul 2026</x:v>
      </x:c>
      <x:c r="E482" s="19" t="n">
        <x:v>39</x:v>
      </x:c>
      <x:c r="F482" s="19" t="str">
        <x:v>sortfeed.com</x:v>
      </x:c>
      <x:c r="G482" s="19" t="str">
        <x:v>Graphics Multimedia and Web Design</x:v>
      </x:c>
      <x:c r="H482" s="19" t="str">
        <x:v>创作、设计与多媒体工具</x:v>
      </x:c>
      <x:c r="I482" s="19" t="str">
        <x:v>Similarweb 行业映射</x:v>
      </x:c>
      <x:c r="J482" s="19" t="n">
        <x:v>462745</x:v>
      </x:c>
      <x:c r="K482" s="20" t="n">
        <x:v>0.0051</x:v>
      </x:c>
      <x:c r="L482" s="19" t="str">
        <x:v>新出现</x:v>
      </x:c>
      <x:c r="M482" s="20"/>
      <x:c r="N482" s="21" t="n">
        <x:v>126914</x:v>
      </x:c>
      <x:c r="O482" s="21" t="n">
        <x:v>647</x:v>
      </x:c>
      <x:c r="P482" s="21" t="n">
        <x:f>ROUND(N482*K482,0)</x:f>
        <x:v>647</x:v>
      </x:c>
      <x:c r="Q482" s="19" t="str">
        <x:v>否</x:v>
      </x:c>
      <x:c r="R482" s="19" t="str"/>
      <x:c r="S482" s="19" t="n">
        <x:f>IF(Q482="是",0,MIN(10,2+IF(C482="高",2,1)+IF(K482&gt;=3%,3,IF(K482&gt;=1%,2,1))+IF(L482="新出现",2,IF(M482&gt;=100%,3,IF(M482&gt;0,2,0)))))</x:f>
        <x:v>6</x:v>
      </x:c>
      <x:c r="T482" s="21"/>
      <x:c r="U482" s="20"/>
      <x:c r="V482" s="19" t="str">
        <x:v>http://sortfeed.com/</x:v>
      </x:c>
      <x:c r="W482" s="19" t="str">
        <x:v>https://pro.similarweb.com/#/digitalsuite/websiteanalysis/referrals/*/999/1m?webSource=Total&amp;selectedTab=incomingTraffic&amp;key=lemonsqueezy.com</x:v>
      </x:c>
      <x:c r="X482" s="20" t="n">
        <x:f>IF(Q482="是",0,IFERROR(P482/SUMIFS($P$2:$P$964,$A$2:$A$964,A482,$Q$2:$Q$964,"否"),0))</x:f>
        <x:v>0.008926354129301067</x:v>
      </x:c>
      <x:c r="Y482" s="22" t="str">
        <x:f>IF(OR(M482="",U482=""),"未交叉",IF(M482*U482&gt;0,"同向",IF(M482*U482&lt;0,"背离","一侧持平")))</x:f>
        <x:v>未交叉</x:v>
      </x:c>
    </x:row>
    <x:row r="483">
      <x:c r="A483" s="18" t="str">
        <x:v>lemonsqueezy.com</x:v>
      </x:c>
      <x:c r="B483" s="19" t="str">
        <x:v>支付商主域（混合流量）</x:v>
      </x:c>
      <x:c r="C483" s="19" t="str">
        <x:v>中</x:v>
      </x:c>
      <x:c r="D483" s="19" t="str">
        <x:v>Jul 2026</x:v>
      </x:c>
      <x:c r="E483" s="19" t="n">
        <x:v>40</x:v>
      </x:c>
      <x:c r="F483" s="19" t="str">
        <x:v>whispertranscribe.com</x:v>
      </x:c>
      <x:c r="G483" s="19" t="str">
        <x:v>Graphics Multimedia and Web Design</x:v>
      </x:c>
      <x:c r="H483" s="19" t="str">
        <x:v>创作、设计与多媒体工具</x:v>
      </x:c>
      <x:c r="I483" s="19" t="str">
        <x:v>Similarweb 行业映射</x:v>
      </x:c>
      <x:c r="J483" s="19" t="n">
        <x:v>344735</x:v>
      </x:c>
      <x:c r="K483" s="20" t="n">
        <x:v>0.004699999999999999</x:v>
      </x:c>
      <x:c r="L483" s="19" t="str">
        <x:v>上升</x:v>
      </x:c>
      <x:c r="M483" s="20" t="n">
        <x:v>0.0096</x:v>
      </x:c>
      <x:c r="N483" s="21" t="n">
        <x:v>126914</x:v>
      </x:c>
      <x:c r="O483" s="21" t="n">
        <x:v>596</x:v>
      </x:c>
      <x:c r="P483" s="21" t="n">
        <x:f>ROUND(N483*K483,0)</x:f>
        <x:v>596</x:v>
      </x:c>
      <x:c r="Q483" s="19" t="str">
        <x:v>否</x:v>
      </x:c>
      <x:c r="R483" s="19" t="str"/>
      <x:c r="S483" s="19" t="n">
        <x:f>IF(Q483="是",0,MIN(10,2+IF(C483="高",2,1)+IF(K483&gt;=3%,3,IF(K483&gt;=1%,2,1))+IF(L483="新出现",2,IF(M483&gt;=100%,3,IF(M483&gt;0,2,0)))))</x:f>
        <x:v>6</x:v>
      </x:c>
      <x:c r="T483" s="21"/>
      <x:c r="U483" s="20"/>
      <x:c r="V483" s="19" t="str">
        <x:v>http://whispertranscribe.com/</x:v>
      </x:c>
      <x:c r="W483" s="19" t="str">
        <x:v>https://pro.similarweb.com/#/digitalsuite/websiteanalysis/referrals/*/999/1m?webSource=Total&amp;selectedTab=incomingTraffic&amp;key=lemonsqueezy.com</x:v>
      </x:c>
      <x:c r="X483" s="20" t="n">
        <x:f>IF(Q483="是",0,IFERROR(P483/SUMIFS($P$2:$P$964,$A$2:$A$964,A483,$Q$2:$Q$964,"否"),0))</x:f>
        <x:v>0.008222731160839932</x:v>
      </x:c>
      <x:c r="Y483" s="22" t="str">
        <x:f>IF(OR(M483="",U483=""),"未交叉",IF(M483*U483&gt;0,"同向",IF(M483*U483&lt;0,"背离","一侧持平")))</x:f>
        <x:v>未交叉</x:v>
      </x:c>
    </x:row>
    <x:row r="484">
      <x:c r="A484" s="18" t="str">
        <x:v>lemonsqueezy.com</x:v>
      </x:c>
      <x:c r="B484" s="19" t="str">
        <x:v>支付商主域（混合流量）</x:v>
      </x:c>
      <x:c r="C484" s="19" t="str">
        <x:v>中</x:v>
      </x:c>
      <x:c r="D484" s="19" t="str">
        <x:v>Jul 2026</x:v>
      </x:c>
      <x:c r="E484" s="19" t="n">
        <x:v>41</x:v>
      </x:c>
      <x:c r="F484" s="19" t="str">
        <x:v>sortpin.com</x:v>
      </x:c>
      <x:c r="G484" s="19" t="str">
        <x:v>Online Marketing</x:v>
      </x:c>
      <x:c r="H484" s="19" t="str">
        <x:v>营销、生产力与商业服务</x:v>
      </x:c>
      <x:c r="I484" s="19" t="str">
        <x:v>Similarweb 行业映射</x:v>
      </x:c>
      <x:c r="J484" s="19" t="n">
        <x:v>1071804</x:v>
      </x:c>
      <x:c r="K484" s="20" t="n">
        <x:v>0.0046</x:v>
      </x:c>
      <x:c r="L484" s="19" t="str">
        <x:v>上升</x:v>
      </x:c>
      <x:c r="M484" s="20" t="n">
        <x:v>42.368</x:v>
      </x:c>
      <x:c r="N484" s="21" t="n">
        <x:v>126914</x:v>
      </x:c>
      <x:c r="O484" s="21" t="n">
        <x:v>584</x:v>
      </x:c>
      <x:c r="P484" s="21" t="n">
        <x:f>ROUND(N484*K484,0)</x:f>
        <x:v>584</x:v>
      </x:c>
      <x:c r="Q484" s="19" t="str">
        <x:v>否</x:v>
      </x:c>
      <x:c r="R484" s="19" t="str"/>
      <x:c r="S484" s="19" t="n">
        <x:f>IF(Q484="是",0,MIN(10,2+IF(C484="高",2,1)+IF(K484&gt;=3%,3,IF(K484&gt;=1%,2,1))+IF(L484="新出现",2,IF(M484&gt;=100%,3,IF(M484&gt;0,2,0)))))</x:f>
        <x:v>7</x:v>
      </x:c>
      <x:c r="T484" s="21"/>
      <x:c r="U484" s="20"/>
      <x:c r="V484" s="19" t="str">
        <x:v>http://sortpin.com/</x:v>
      </x:c>
      <x:c r="W484" s="19" t="str">
        <x:v>https://pro.similarweb.com/#/digitalsuite/websiteanalysis/referrals/*/999/1m?webSource=Total&amp;selectedTab=incomingTraffic&amp;key=lemonsqueezy.com</x:v>
      </x:c>
      <x:c r="X484" s="20" t="n">
        <x:f>IF(Q484="是",0,IFERROR(P484/SUMIFS($P$2:$P$964,$A$2:$A$964,A484,$Q$2:$Q$964,"否"),0))</x:f>
        <x:v>0.008057172815319666</x:v>
      </x:c>
      <x:c r="Y484" s="22" t="str">
        <x:f>IF(OR(M484="",U484=""),"未交叉",IF(M484*U484&gt;0,"同向",IF(M484*U484&lt;0,"背离","一侧持平")))</x:f>
        <x:v>未交叉</x:v>
      </x:c>
    </x:row>
    <x:row r="485">
      <x:c r="A485" s="18" t="str">
        <x:v>lemonsqueezy.com</x:v>
      </x:c>
      <x:c r="B485" s="19" t="str">
        <x:v>支付商主域（混合流量）</x:v>
      </x:c>
      <x:c r="C485" s="19" t="str">
        <x:v>中</x:v>
      </x:c>
      <x:c r="D485" s="19" t="str">
        <x:v>Jul 2026</x:v>
      </x:c>
      <x:c r="E485" s="19" t="n">
        <x:v>42</x:v>
      </x:c>
      <x:c r="F485" s="19" t="str">
        <x:v>llamagen.ai</x:v>
      </x:c>
      <x:c r="G485" s="19" t="str">
        <x:v>Graphics Multimedia and Web Design</x:v>
      </x:c>
      <x:c r="H485" s="19" t="str">
        <x:v>AI 工具与应用（未细分）</x:v>
      </x:c>
      <x:c r="I485" s="19" t="str">
        <x:v>域名后缀启发式</x:v>
      </x:c>
      <x:c r="J485" s="19" t="n">
        <x:v>113537</x:v>
      </x:c>
      <x:c r="K485" s="20" t="n">
        <x:v>0.0043</x:v>
      </x:c>
      <x:c r="L485" s="19" t="str">
        <x:v>下降</x:v>
      </x:c>
      <x:c r="M485" s="20" t="n">
        <x:v>-0.8301000000000001</x:v>
      </x:c>
      <x:c r="N485" s="21" t="n">
        <x:v>126914</x:v>
      </x:c>
      <x:c r="O485" s="21" t="n">
        <x:v>546</x:v>
      </x:c>
      <x:c r="P485" s="21" t="n">
        <x:f>ROUND(N485*K485,0)</x:f>
        <x:v>546</x:v>
      </x:c>
      <x:c r="Q485" s="19" t="str">
        <x:v>否</x:v>
      </x:c>
      <x:c r="R485" s="19" t="str"/>
      <x:c r="S485" s="19" t="n">
        <x:f>IF(Q485="是",0,MIN(10,2+IF(C485="高",2,1)+IF(K485&gt;=3%,3,IF(K485&gt;=1%,2,1))+IF(L485="新出现",2,IF(M485&gt;=100%,3,IF(M485&gt;0,2,0)))))</x:f>
        <x:v>4</x:v>
      </x:c>
      <x:c r="T485" s="21"/>
      <x:c r="U485" s="20"/>
      <x:c r="V485" s="19" t="str">
        <x:v>http://llamagen.ai/</x:v>
      </x:c>
      <x:c r="W485" s="19" t="str">
        <x:v>https://pro.similarweb.com/#/digitalsuite/websiteanalysis/referrals/*/999/1m?webSource=Total&amp;selectedTab=incomingTraffic&amp;key=lemonsqueezy.com</x:v>
      </x:c>
      <x:c r="X485" s="20" t="n">
        <x:f>IF(Q485="是",0,IFERROR(P485/SUMIFS($P$2:$P$964,$A$2:$A$964,A485,$Q$2:$Q$964,"否"),0))</x:f>
        <x:v>0.007532904721172153</x:v>
      </x:c>
      <x:c r="Y485" s="22" t="str">
        <x:f>IF(OR(M485="",U485=""),"未交叉",IF(M485*U485&gt;0,"同向",IF(M485*U485&lt;0,"背离","一侧持平")))</x:f>
        <x:v>未交叉</x:v>
      </x:c>
    </x:row>
    <x:row r="486">
      <x:c r="A486" s="18" t="str">
        <x:v>lemonsqueezy.com</x:v>
      </x:c>
      <x:c r="B486" s="19" t="str">
        <x:v>支付商主域（混合流量）</x:v>
      </x:c>
      <x:c r="C486" s="19" t="str">
        <x:v>中</x:v>
      </x:c>
      <x:c r="D486" s="19" t="str">
        <x:v>Jul 2026</x:v>
      </x:c>
      <x:c r="E486" s="19" t="n">
        <x:v>43</x:v>
      </x:c>
      <x:c r="F486" s="19" t="str">
        <x:v>bio.link</x:v>
      </x:c>
      <x:c r="G486" s="19" t="str">
        <x:v>Graphics Multimedia and Web Design</x:v>
      </x:c>
      <x:c r="H486" s="19" t="str">
        <x:v>创作、设计与多媒体工具</x:v>
      </x:c>
      <x:c r="I486" s="19" t="str">
        <x:v>Similarweb 行业映射</x:v>
      </x:c>
      <x:c r="J486" s="19" t="n">
        <x:v>19438</x:v>
      </x:c>
      <x:c r="K486" s="20" t="n">
        <x:v>0.0042</x:v>
      </x:c>
      <x:c r="L486" s="19" t="str">
        <x:v>下降</x:v>
      </x:c>
      <x:c r="M486" s="20" t="n">
        <x:v>-0.46299999999999997</x:v>
      </x:c>
      <x:c r="N486" s="21" t="n">
        <x:v>126914</x:v>
      </x:c>
      <x:c r="O486" s="21" t="n">
        <x:v>533</x:v>
      </x:c>
      <x:c r="P486" s="21" t="n">
        <x:f>ROUND(N486*K486,0)</x:f>
        <x:v>533</x:v>
      </x:c>
      <x:c r="Q486" s="19" t="str">
        <x:v>否</x:v>
      </x:c>
      <x:c r="R486" s="19" t="str"/>
      <x:c r="S486" s="19" t="n">
        <x:f>IF(Q486="是",0,MIN(10,2+IF(C486="高",2,1)+IF(K486&gt;=3%,3,IF(K486&gt;=1%,2,1))+IF(L486="新出现",2,IF(M486&gt;=100%,3,IF(M486&gt;0,2,0)))))</x:f>
        <x:v>4</x:v>
      </x:c>
      <x:c r="T486" s="21"/>
      <x:c r="U486" s="20"/>
      <x:c r="V486" s="19" t="str">
        <x:v>http://bio.link/</x:v>
      </x:c>
      <x:c r="W486" s="19" t="str">
        <x:v>https://pro.similarweb.com/#/digitalsuite/websiteanalysis/referrals/*/999/1m?webSource=Total&amp;selectedTab=incomingTraffic&amp;key=lemonsqueezy.com</x:v>
      </x:c>
      <x:c r="X486" s="20" t="n">
        <x:f>IF(Q486="是",0,IFERROR(P486/SUMIFS($P$2:$P$964,$A$2:$A$964,A486,$Q$2:$Q$964,"否"),0))</x:f>
        <x:v>0.00735354984685853</x:v>
      </x:c>
      <x:c r="Y486" s="22" t="str">
        <x:f>IF(OR(M486="",U486=""),"未交叉",IF(M486*U486&gt;0,"同向",IF(M486*U486&lt;0,"背离","一侧持平")))</x:f>
        <x:v>未交叉</x:v>
      </x:c>
    </x:row>
    <x:row r="487">
      <x:c r="A487" s="18" t="str">
        <x:v>lemonsqueezy.com</x:v>
      </x:c>
      <x:c r="B487" s="19" t="str">
        <x:v>支付商主域（混合流量）</x:v>
      </x:c>
      <x:c r="C487" s="19" t="str">
        <x:v>中</x:v>
      </x:c>
      <x:c r="D487" s="19" t="str">
        <x:v>Jul 2026</x:v>
      </x:c>
      <x:c r="E487" s="19" t="n">
        <x:v>44</x:v>
      </x:c>
      <x:c r="F487" s="19" t="str">
        <x:v>munjiiz.com</x:v>
      </x:c>
      <x:c r="G487" s="19" t="str">
        <x:v>Unknown</x:v>
      </x:c>
      <x:c r="H487" s="19" t="str">
        <x:v>其他/待核查</x:v>
      </x:c>
      <x:c r="I487" s="19" t="str">
        <x:v>Similarweb 未分类</x:v>
      </x:c>
      <x:c r="J487" s="19"/>
      <x:c r="K487" s="20" t="n">
        <x:v>0.004</x:v>
      </x:c>
      <x:c r="L487" s="19" t="str">
        <x:v>新出现</x:v>
      </x:c>
      <x:c r="M487" s="20"/>
      <x:c r="N487" s="21" t="n">
        <x:v>126914</x:v>
      </x:c>
      <x:c r="O487" s="21" t="n">
        <x:v>508</x:v>
      </x:c>
      <x:c r="P487" s="21" t="n">
        <x:f>ROUND(N487*K487,0)</x:f>
        <x:v>508</x:v>
      </x:c>
      <x:c r="Q487" s="19" t="str">
        <x:v>否</x:v>
      </x:c>
      <x:c r="R487" s="19" t="str"/>
      <x:c r="S487" s="19" t="n">
        <x:f>IF(Q487="是",0,MIN(10,2+IF(C487="高",2,1)+IF(K487&gt;=3%,3,IF(K487&gt;=1%,2,1))+IF(L487="新出现",2,IF(M487&gt;=100%,3,IF(M487&gt;0,2,0)))))</x:f>
        <x:v>6</x:v>
      </x:c>
      <x:c r="T487" s="21"/>
      <x:c r="U487" s="20"/>
      <x:c r="V487" s="19" t="str">
        <x:v>http://munjiiz.com/</x:v>
      </x:c>
      <x:c r="W487" s="19" t="str">
        <x:v>https://pro.similarweb.com/#/digitalsuite/websiteanalysis/referrals/*/999/1m?webSource=Total&amp;selectedTab=incomingTraffic&amp;key=lemonsqueezy.com</x:v>
      </x:c>
      <x:c r="X487" s="20" t="n">
        <x:f>IF(Q487="是",0,IFERROR(P487/SUMIFS($P$2:$P$964,$A$2:$A$964,A487,$Q$2:$Q$964,"否"),0))</x:f>
        <x:v>0.007008636627024641</x:v>
      </x:c>
      <x:c r="Y487" s="22" t="str">
        <x:f>IF(OR(M487="",U487=""),"未交叉",IF(M487*U487&gt;0,"同向",IF(M487*U487&lt;0,"背离","一侧持平")))</x:f>
        <x:v>未交叉</x:v>
      </x:c>
    </x:row>
    <x:row r="488">
      <x:c r="A488" s="18" t="str">
        <x:v>lemonsqueezy.com</x:v>
      </x:c>
      <x:c r="B488" s="19" t="str">
        <x:v>支付商主域（混合流量）</x:v>
      </x:c>
      <x:c r="C488" s="19" t="str">
        <x:v>中</x:v>
      </x:c>
      <x:c r="D488" s="19" t="str">
        <x:v>Jul 2026</x:v>
      </x:c>
      <x:c r="E488" s="19" t="n">
        <x:v>45</x:v>
      </x:c>
      <x:c r="F488" s="19" t="str">
        <x:v>getsocialclaw.com</x:v>
      </x:c>
      <x:c r="G488" s="19" t="str">
        <x:v>Unknown</x:v>
      </x:c>
      <x:c r="H488" s="19" t="str">
        <x:v>其他/待核查</x:v>
      </x:c>
      <x:c r="I488" s="19" t="str">
        <x:v>Similarweb 未分类</x:v>
      </x:c>
      <x:c r="J488" s="19" t="n">
        <x:v>1831795</x:v>
      </x:c>
      <x:c r="K488" s="20" t="n">
        <x:v>0.0038</x:v>
      </x:c>
      <x:c r="L488" s="19" t="str">
        <x:v>新出现</x:v>
      </x:c>
      <x:c r="M488" s="20"/>
      <x:c r="N488" s="21" t="n">
        <x:v>126914</x:v>
      </x:c>
      <x:c r="O488" s="21" t="n">
        <x:v>482</x:v>
      </x:c>
      <x:c r="P488" s="21" t="n">
        <x:f>ROUND(N488*K488,0)</x:f>
        <x:v>482</x:v>
      </x:c>
      <x:c r="Q488" s="19" t="str">
        <x:v>否</x:v>
      </x:c>
      <x:c r="R488" s="19" t="str"/>
      <x:c r="S488" s="19" t="n">
        <x:f>IF(Q488="是",0,MIN(10,2+IF(C488="高",2,1)+IF(K488&gt;=3%,3,IF(K488&gt;=1%,2,1))+IF(L488="新出现",2,IF(M488&gt;=100%,3,IF(M488&gt;0,2,0)))))</x:f>
        <x:v>6</x:v>
      </x:c>
      <x:c r="T488" s="21"/>
      <x:c r="U488" s="20"/>
      <x:c r="V488" s="19" t="str">
        <x:v>http://getsocialclaw.com/</x:v>
      </x:c>
      <x:c r="W488" s="19" t="str">
        <x:v>https://pro.similarweb.com/#/digitalsuite/websiteanalysis/referrals/*/999/1m?webSource=Total&amp;selectedTab=incomingTraffic&amp;key=lemonsqueezy.com</x:v>
      </x:c>
      <x:c r="X488" s="20" t="n">
        <x:f>IF(Q488="是",0,IFERROR(P488/SUMIFS($P$2:$P$964,$A$2:$A$964,A488,$Q$2:$Q$964,"否"),0))</x:f>
        <x:v>0.006649926878397395</x:v>
      </x:c>
      <x:c r="Y488" s="22" t="str">
        <x:f>IF(OR(M488="",U488=""),"未交叉",IF(M488*U488&gt;0,"同向",IF(M488*U488&lt;0,"背离","一侧持平")))</x:f>
        <x:v>未交叉</x:v>
      </x:c>
    </x:row>
    <x:row r="489">
      <x:c r="A489" s="18" t="str">
        <x:v>lemonsqueezy.com</x:v>
      </x:c>
      <x:c r="B489" s="19" t="str">
        <x:v>支付商主域（混合流量）</x:v>
      </x:c>
      <x:c r="C489" s="19" t="str">
        <x:v>中</x:v>
      </x:c>
      <x:c r="D489" s="19" t="str">
        <x:v>Jul 2026</x:v>
      </x:c>
      <x:c r="E489" s="19" t="n">
        <x:v>46</x:v>
      </x:c>
      <x:c r="F489" s="19" t="str">
        <x:v>join.funneloftheweek.com</x:v>
      </x:c>
      <x:c r="G489" s="19" t="str">
        <x:v>Online Marketing</x:v>
      </x:c>
      <x:c r="H489" s="19" t="str">
        <x:v>营销、生产力与商业服务</x:v>
      </x:c>
      <x:c r="I489" s="19" t="str">
        <x:v>Similarweb 行业映射</x:v>
      </x:c>
      <x:c r="J489" s="19"/>
      <x:c r="K489" s="20" t="n">
        <x:v>0.0038</x:v>
      </x:c>
      <x:c r="L489" s="19" t="str">
        <x:v>上升</x:v>
      </x:c>
      <x:c r="M489" s="20" t="n">
        <x:v>0.9776</x:v>
      </x:c>
      <x:c r="N489" s="21" t="n">
        <x:v>126914</x:v>
      </x:c>
      <x:c r="O489" s="21" t="n">
        <x:v>482</x:v>
      </x:c>
      <x:c r="P489" s="21" t="n">
        <x:f>ROUND(N489*K489,0)</x:f>
        <x:v>482</x:v>
      </x:c>
      <x:c r="Q489" s="19" t="str">
        <x:v>否</x:v>
      </x:c>
      <x:c r="R489" s="19" t="str"/>
      <x:c r="S489" s="19" t="n">
        <x:f>IF(Q489="是",0,MIN(10,2+IF(C489="高",2,1)+IF(K489&gt;=3%,3,IF(K489&gt;=1%,2,1))+IF(L489="新出现",2,IF(M489&gt;=100%,3,IF(M489&gt;0,2,0)))))</x:f>
        <x:v>6</x:v>
      </x:c>
      <x:c r="T489" s="21"/>
      <x:c r="U489" s="20"/>
      <x:c r="V489" s="19" t="str">
        <x:v>http://join.funneloftheweek.com/</x:v>
      </x:c>
      <x:c r="W489" s="19" t="str">
        <x:v>https://pro.similarweb.com/#/digitalsuite/websiteanalysis/referrals/*/999/1m?webSource=Total&amp;selectedTab=incomingTraffic&amp;key=lemonsqueezy.com</x:v>
      </x:c>
      <x:c r="X489" s="20" t="n">
        <x:f>IF(Q489="是",0,IFERROR(P489/SUMIFS($P$2:$P$964,$A$2:$A$964,A489,$Q$2:$Q$964,"否"),0))</x:f>
        <x:v>0.006649926878397395</x:v>
      </x:c>
      <x:c r="Y489" s="22" t="str">
        <x:f>IF(OR(M489="",U489=""),"未交叉",IF(M489*U489&gt;0,"同向",IF(M489*U489&lt;0,"背离","一侧持平")))</x:f>
        <x:v>未交叉</x:v>
      </x:c>
    </x:row>
    <x:row r="490">
      <x:c r="A490" s="18" t="str">
        <x:v>lemonsqueezy.com</x:v>
      </x:c>
      <x:c r="B490" s="19" t="str">
        <x:v>支付商主域（混合流量）</x:v>
      </x:c>
      <x:c r="C490" s="19" t="str">
        <x:v>中</x:v>
      </x:c>
      <x:c r="D490" s="19" t="str">
        <x:v>Jul 2026</x:v>
      </x:c>
      <x:c r="E490" s="19" t="n">
        <x:v>47</x:v>
      </x:c>
      <x:c r="F490" s="19" t="str">
        <x:v>store.fidelityfuze.com</x:v>
      </x:c>
      <x:c r="G490" s="19" t="str">
        <x:v>Unknown</x:v>
      </x:c>
      <x:c r="H490" s="19" t="str">
        <x:v>其他/待核查</x:v>
      </x:c>
      <x:c r="I490" s="19" t="str">
        <x:v>Similarweb 未分类</x:v>
      </x:c>
      <x:c r="J490" s="19"/>
      <x:c r="K490" s="20" t="n">
        <x:v>0.0038</x:v>
      </x:c>
      <x:c r="L490" s="19" t="str">
        <x:v>新出现</x:v>
      </x:c>
      <x:c r="M490" s="20"/>
      <x:c r="N490" s="21" t="n">
        <x:v>126914</x:v>
      </x:c>
      <x:c r="O490" s="21" t="n">
        <x:v>482</x:v>
      </x:c>
      <x:c r="P490" s="21" t="n">
        <x:f>ROUND(N490*K490,0)</x:f>
        <x:v>482</x:v>
      </x:c>
      <x:c r="Q490" s="19" t="str">
        <x:v>否</x:v>
      </x:c>
      <x:c r="R490" s="19" t="str"/>
      <x:c r="S490" s="19" t="n">
        <x:f>IF(Q490="是",0,MIN(10,2+IF(C490="高",2,1)+IF(K490&gt;=3%,3,IF(K490&gt;=1%,2,1))+IF(L490="新出现",2,IF(M490&gt;=100%,3,IF(M490&gt;0,2,0)))))</x:f>
        <x:v>6</x:v>
      </x:c>
      <x:c r="T490" s="21"/>
      <x:c r="U490" s="20"/>
      <x:c r="V490" s="19" t="str">
        <x:v>http://store.fidelityfuze.com/</x:v>
      </x:c>
      <x:c r="W490" s="19" t="str">
        <x:v>https://pro.similarweb.com/#/digitalsuite/websiteanalysis/referrals/*/999/1m?webSource=Total&amp;selectedTab=incomingTraffic&amp;key=lemonsqueezy.com</x:v>
      </x:c>
      <x:c r="X490" s="20" t="n">
        <x:f>IF(Q490="是",0,IFERROR(P490/SUMIFS($P$2:$P$964,$A$2:$A$964,A490,$Q$2:$Q$964,"否"),0))</x:f>
        <x:v>0.006649926878397395</x:v>
      </x:c>
      <x:c r="Y490" s="22" t="str">
        <x:f>IF(OR(M490="",U490=""),"未交叉",IF(M490*U490&gt;0,"同向",IF(M490*U490&lt;0,"背离","一侧持平")))</x:f>
        <x:v>未交叉</x:v>
      </x:c>
    </x:row>
    <x:row r="491">
      <x:c r="A491" s="18" t="str">
        <x:v>lemonsqueezy.com</x:v>
      </x:c>
      <x:c r="B491" s="19" t="str">
        <x:v>支付商主域（混合流量）</x:v>
      </x:c>
      <x:c r="C491" s="19" t="str">
        <x:v>中</x:v>
      </x:c>
      <x:c r="D491" s="19" t="str">
        <x:v>Jul 2026</x:v>
      </x:c>
      <x:c r="E491" s="19" t="n">
        <x:v>48</x:v>
      </x:c>
      <x:c r="F491" s="19" t="str">
        <x:v>store.api4.ai</x:v>
      </x:c>
      <x:c r="G491" s="19" t="str">
        <x:v>Unknown</x:v>
      </x:c>
      <x:c r="H491" s="19" t="str">
        <x:v>AI 工具与应用（未细分）</x:v>
      </x:c>
      <x:c r="I491" s="19" t="str">
        <x:v>域名后缀启发式</x:v>
      </x:c>
      <x:c r="J491" s="19"/>
      <x:c r="K491" s="20" t="n">
        <x:v>0.0038</x:v>
      </x:c>
      <x:c r="L491" s="19" t="str">
        <x:v>新出现</x:v>
      </x:c>
      <x:c r="M491" s="20"/>
      <x:c r="N491" s="21" t="n">
        <x:v>126914</x:v>
      </x:c>
      <x:c r="O491" s="21" t="n">
        <x:v>482</x:v>
      </x:c>
      <x:c r="P491" s="21" t="n">
        <x:f>ROUND(N491*K491,0)</x:f>
        <x:v>482</x:v>
      </x:c>
      <x:c r="Q491" s="19" t="str">
        <x:v>否</x:v>
      </x:c>
      <x:c r="R491" s="19" t="str"/>
      <x:c r="S491" s="19" t="n">
        <x:f>IF(Q491="是",0,MIN(10,2+IF(C491="高",2,1)+IF(K491&gt;=3%,3,IF(K491&gt;=1%,2,1))+IF(L491="新出现",2,IF(M491&gt;=100%,3,IF(M491&gt;0,2,0)))))</x:f>
        <x:v>6</x:v>
      </x:c>
      <x:c r="T491" s="21"/>
      <x:c r="U491" s="20"/>
      <x:c r="V491" s="19" t="str">
        <x:v>http://store.api4.ai/</x:v>
      </x:c>
      <x:c r="W491" s="19" t="str">
        <x:v>https://pro.similarweb.com/#/digitalsuite/websiteanalysis/referrals/*/999/1m?webSource=Total&amp;selectedTab=incomingTraffic&amp;key=lemonsqueezy.com</x:v>
      </x:c>
      <x:c r="X491" s="20" t="n">
        <x:f>IF(Q491="是",0,IFERROR(P491/SUMIFS($P$2:$P$964,$A$2:$A$964,A491,$Q$2:$Q$964,"否"),0))</x:f>
        <x:v>0.006649926878397395</x:v>
      </x:c>
      <x:c r="Y491" s="22" t="str">
        <x:f>IF(OR(M491="",U491=""),"未交叉",IF(M491*U491&gt;0,"同向",IF(M491*U491&lt;0,"背离","一侧持平")))</x:f>
        <x:v>未交叉</x:v>
      </x:c>
    </x:row>
    <x:row r="492">
      <x:c r="A492" s="18" t="str">
        <x:v>lemonsqueezy.com</x:v>
      </x:c>
      <x:c r="B492" s="19" t="str">
        <x:v>支付商主域（混合流量）</x:v>
      </x:c>
      <x:c r="C492" s="19" t="str">
        <x:v>中</x:v>
      </x:c>
      <x:c r="D492" s="19" t="str">
        <x:v>Jul 2026</x:v>
      </x:c>
      <x:c r="E492" s="19" t="n">
        <x:v>49</x:v>
      </x:c>
      <x:c r="F492" s="19" t="str">
        <x:v>ls.revid.ai</x:v>
      </x:c>
      <x:c r="G492" s="19" t="str">
        <x:v>Unknown</x:v>
      </x:c>
      <x:c r="H492" s="19" t="str">
        <x:v>AI 工具与应用（未细分）</x:v>
      </x:c>
      <x:c r="I492" s="19" t="str">
        <x:v>域名后缀启发式</x:v>
      </x:c>
      <x:c r="J492" s="19"/>
      <x:c r="K492" s="20" t="n">
        <x:v>0.0038</x:v>
      </x:c>
      <x:c r="L492" s="19" t="str">
        <x:v>上升</x:v>
      </x:c>
      <x:c r="M492" s="20" t="n">
        <x:v>2.2353</x:v>
      </x:c>
      <x:c r="N492" s="21" t="n">
        <x:v>126914</x:v>
      </x:c>
      <x:c r="O492" s="21" t="n">
        <x:v>482</x:v>
      </x:c>
      <x:c r="P492" s="21" t="n">
        <x:f>ROUND(N492*K492,0)</x:f>
        <x:v>482</x:v>
      </x:c>
      <x:c r="Q492" s="19" t="str">
        <x:v>否</x:v>
      </x:c>
      <x:c r="R492" s="19" t="str"/>
      <x:c r="S492" s="19" t="n">
        <x:f>IF(Q492="是",0,MIN(10,2+IF(C492="高",2,1)+IF(K492&gt;=3%,3,IF(K492&gt;=1%,2,1))+IF(L492="新出现",2,IF(M492&gt;=100%,3,IF(M492&gt;0,2,0)))))</x:f>
        <x:v>7</x:v>
      </x:c>
      <x:c r="T492" s="21"/>
      <x:c r="U492" s="20"/>
      <x:c r="V492" s="19" t="str">
        <x:v>http://ls.revid.ai/</x:v>
      </x:c>
      <x:c r="W492" s="19" t="str">
        <x:v>https://pro.similarweb.com/#/digitalsuite/websiteanalysis/referrals/*/999/1m?webSource=Total&amp;selectedTab=incomingTraffic&amp;key=lemonsqueezy.com</x:v>
      </x:c>
      <x:c r="X492" s="20" t="n">
        <x:f>IF(Q492="是",0,IFERROR(P492/SUMIFS($P$2:$P$964,$A$2:$A$964,A492,$Q$2:$Q$964,"否"),0))</x:f>
        <x:v>0.006649926878397395</x:v>
      </x:c>
      <x:c r="Y492" s="22" t="str">
        <x:f>IF(OR(M492="",U492=""),"未交叉",IF(M492*U492&gt;0,"同向",IF(M492*U492&lt;0,"背离","一侧持平")))</x:f>
        <x:v>未交叉</x:v>
      </x:c>
    </x:row>
    <x:row r="493">
      <x:c r="A493" s="18" t="str">
        <x:v>lemonsqueezy.com</x:v>
      </x:c>
      <x:c r="B493" s="19" t="str">
        <x:v>支付商主域（混合流量）</x:v>
      </x:c>
      <x:c r="C493" s="19" t="str">
        <x:v>中</x:v>
      </x:c>
      <x:c r="D493" s="19" t="str">
        <x:v>Jul 2026</x:v>
      </x:c>
      <x:c r="E493" s="19" t="n">
        <x:v>50</x:v>
      </x:c>
      <x:c r="F493" s="19" t="str">
        <x:v>chungdoi.com</x:v>
      </x:c>
      <x:c r="G493" s="19" t="str">
        <x:v>Unknown</x:v>
      </x:c>
      <x:c r="H493" s="19" t="str">
        <x:v>其他/待核查</x:v>
      </x:c>
      <x:c r="I493" s="19" t="str">
        <x:v>Similarweb 未分类</x:v>
      </x:c>
      <x:c r="J493" s="19" t="n">
        <x:v>416459</x:v>
      </x:c>
      <x:c r="K493" s="20" t="n">
        <x:v>0.0037</x:v>
      </x:c>
      <x:c r="L493" s="19" t="str">
        <x:v>新出现</x:v>
      </x:c>
      <x:c r="M493" s="20"/>
      <x:c r="N493" s="21" t="n">
        <x:v>126914</x:v>
      </x:c>
      <x:c r="O493" s="21" t="n">
        <x:v>470</x:v>
      </x:c>
      <x:c r="P493" s="21" t="n">
        <x:f>ROUND(N493*K493,0)</x:f>
        <x:v>470</x:v>
      </x:c>
      <x:c r="Q493" s="19" t="str">
        <x:v>否</x:v>
      </x:c>
      <x:c r="R493" s="19" t="str"/>
      <x:c r="S493" s="19" t="n">
        <x:f>IF(Q493="是",0,MIN(10,2+IF(C493="高",2,1)+IF(K493&gt;=3%,3,IF(K493&gt;=1%,2,1))+IF(L493="新出现",2,IF(M493&gt;=100%,3,IF(M493&gt;0,2,0)))))</x:f>
        <x:v>6</x:v>
      </x:c>
      <x:c r="T493" s="21"/>
      <x:c r="U493" s="20"/>
      <x:c r="V493" s="19" t="str">
        <x:v>http://chungdoi.com/</x:v>
      </x:c>
      <x:c r="W493" s="19" t="str">
        <x:v>https://pro.similarweb.com/#/digitalsuite/websiteanalysis/referrals/*/999/1m?webSource=Total&amp;selectedTab=incomingTraffic&amp;key=lemonsqueezy.com</x:v>
      </x:c>
      <x:c r="X493" s="20" t="n">
        <x:f>IF(Q493="是",0,IFERROR(P493/SUMIFS($P$2:$P$964,$A$2:$A$964,A493,$Q$2:$Q$964,"否"),0))</x:f>
        <x:v>0.006484368532877128</x:v>
      </x:c>
      <x:c r="Y493" s="22" t="str">
        <x:f>IF(OR(M493="",U493=""),"未交叉",IF(M493*U493&gt;0,"同向",IF(M493*U493&lt;0,"背离","一侧持平")))</x:f>
        <x:v>未交叉</x:v>
      </x:c>
    </x:row>
    <x:row r="494">
      <x:c r="A494" s="18" t="str">
        <x:v>lemonsqueezy.com</x:v>
      </x:c>
      <x:c r="B494" s="19" t="str">
        <x:v>支付商主域（混合流量）</x:v>
      </x:c>
      <x:c r="C494" s="19" t="str">
        <x:v>中</x:v>
      </x:c>
      <x:c r="D494" s="19" t="str">
        <x:v>Jul 2026</x:v>
      </x:c>
      <x:c r="E494" s="19" t="n">
        <x:v>51</x:v>
      </x:c>
      <x:c r="F494" s="19" t="str">
        <x:v>paypal.com</x:v>
      </x:c>
      <x:c r="G494" s="19" t="str">
        <x:v>Banking Credit and Lending</x:v>
      </x:c>
      <x:c r="H494" s="19" t="str">
        <x:v>金融、支付与交易服务</x:v>
      </x:c>
      <x:c r="I494" s="19" t="str">
        <x:v>Similarweb 行业映射</x:v>
      </x:c>
      <x:c r="J494" s="19" t="n">
        <x:v>70</x:v>
      </x:c>
      <x:c r="K494" s="20" t="n">
        <x:v>0.0034999999999999996</x:v>
      </x:c>
      <x:c r="L494" s="19" t="str">
        <x:v>上升</x:v>
      </x:c>
      <x:c r="M494" s="20" t="n">
        <x:v>0.14980000000000002</x:v>
      </x:c>
      <x:c r="N494" s="21" t="n">
        <x:v>126914</x:v>
      </x:c>
      <x:c r="O494" s="21" t="n">
        <x:v>444</x:v>
      </x:c>
      <x:c r="P494" s="21" t="n">
        <x:f>ROUND(N494*K494,0)</x:f>
        <x:v>444</x:v>
      </x:c>
      <x:c r="Q494" s="19" t="str">
        <x:v>是</x:v>
      </x:c>
      <x:c r="R494" s="19" t="str">
        <x:v>支付平台、自引荐或流量中介</x:v>
      </x:c>
      <x:c r="S494" s="19" t="n">
        <x:f>IF(Q494="是",0,MIN(10,2+IF(C494="高",2,1)+IF(K494&gt;=3%,3,IF(K494&gt;=1%,2,1))+IF(L494="新出现",2,IF(M494&gt;=100%,3,IF(M494&gt;0,2,0)))))</x:f>
        <x:v>0</x:v>
      </x:c>
      <x:c r="T494" s="21"/>
      <x:c r="U494" s="20"/>
      <x:c r="V494" s="19" t="str">
        <x:v>http://paypal.com/</x:v>
      </x:c>
      <x:c r="W494" s="19" t="str">
        <x:v>https://pro.similarweb.com/#/digitalsuite/websiteanalysis/referrals/*/999/1m?webSource=Total&amp;selectedTab=incomingTraffic&amp;key=lemonsqueezy.com</x:v>
      </x:c>
      <x:c r="X494" s="20" t="n">
        <x:f>IF(Q494="是",0,IFERROR(P494/SUMIFS($P$2:$P$964,$A$2:$A$964,A494,$Q$2:$Q$964,"否"),0))</x:f>
        <x:v>0</x:v>
      </x:c>
      <x:c r="Y494" s="22" t="str">
        <x:f>IF(OR(M494="",U494=""),"未交叉",IF(M494*U494&gt;0,"同向",IF(M494*U494&lt;0,"背离","一侧持平")))</x:f>
        <x:v>未交叉</x:v>
      </x:c>
    </x:row>
    <x:row r="495">
      <x:c r="A495" s="18" t="str">
        <x:v>lemonsqueezy.com</x:v>
      </x:c>
      <x:c r="B495" s="19" t="str">
        <x:v>支付商主域（混合流量）</x:v>
      </x:c>
      <x:c r="C495" s="19" t="str">
        <x:v>中</x:v>
      </x:c>
      <x:c r="D495" s="19" t="str">
        <x:v>Jul 2026</x:v>
      </x:c>
      <x:c r="E495" s="19" t="n">
        <x:v>52</x:v>
      </x:c>
      <x:c r="F495" s="19" t="str">
        <x:v>shipfa.st</x:v>
      </x:c>
      <x:c r="G495" s="19" t="str">
        <x:v>Graphics Multimedia and Web Design</x:v>
      </x:c>
      <x:c r="H495" s="19" t="str">
        <x:v>创作、设计与多媒体工具</x:v>
      </x:c>
      <x:c r="I495" s="19" t="str">
        <x:v>Similarweb 行业映射</x:v>
      </x:c>
      <x:c r="J495" s="19" t="n">
        <x:v>625065</x:v>
      </x:c>
      <x:c r="K495" s="20" t="n">
        <x:v>0.0034999999999999996</x:v>
      </x:c>
      <x:c r="L495" s="19" t="str">
        <x:v>上升</x:v>
      </x:c>
      <x:c r="M495" s="20" t="n">
        <x:v>4.8983</x:v>
      </x:c>
      <x:c r="N495" s="21" t="n">
        <x:v>126914</x:v>
      </x:c>
      <x:c r="O495" s="21" t="n">
        <x:v>444</x:v>
      </x:c>
      <x:c r="P495" s="21" t="n">
        <x:f>ROUND(N495*K495,0)</x:f>
        <x:v>444</x:v>
      </x:c>
      <x:c r="Q495" s="19" t="str">
        <x:v>否</x:v>
      </x:c>
      <x:c r="R495" s="19" t="str"/>
      <x:c r="S495" s="19" t="n">
        <x:f>IF(Q495="是",0,MIN(10,2+IF(C495="高",2,1)+IF(K495&gt;=3%,3,IF(K495&gt;=1%,2,1))+IF(L495="新出现",2,IF(M495&gt;=100%,3,IF(M495&gt;0,2,0)))))</x:f>
        <x:v>7</x:v>
      </x:c>
      <x:c r="T495" s="21"/>
      <x:c r="U495" s="20"/>
      <x:c r="V495" s="19" t="str">
        <x:v>http://shipfa.st/</x:v>
      </x:c>
      <x:c r="W495" s="19" t="str">
        <x:v>https://pro.similarweb.com/#/digitalsuite/websiteanalysis/referrals/*/999/1m?webSource=Total&amp;selectedTab=incomingTraffic&amp;key=lemonsqueezy.com</x:v>
      </x:c>
      <x:c r="X495" s="20" t="n">
        <x:f>IF(Q495="是",0,IFERROR(P495/SUMIFS($P$2:$P$964,$A$2:$A$964,A495,$Q$2:$Q$964,"否"),0))</x:f>
        <x:v>0.006125658784249883</x:v>
      </x:c>
      <x:c r="Y495" s="22" t="str">
        <x:f>IF(OR(M495="",U495=""),"未交叉",IF(M495*U495&gt;0,"同向",IF(M495*U495&lt;0,"背离","一侧持平")))</x:f>
        <x:v>未交叉</x:v>
      </x:c>
    </x:row>
    <x:row r="496">
      <x:c r="A496" s="18" t="str">
        <x:v>lemonsqueezy.com</x:v>
      </x:c>
      <x:c r="B496" s="19" t="str">
        <x:v>支付商主域（混合流量）</x:v>
      </x:c>
      <x:c r="C496" s="19" t="str">
        <x:v>中</x:v>
      </x:c>
      <x:c r="D496" s="19" t="str">
        <x:v>Jul 2026</x:v>
      </x:c>
      <x:c r="E496" s="19" t="n">
        <x:v>53</x:v>
      </x:c>
      <x:c r="F496" s="19" t="str">
        <x:v>greyscalelabs.com</x:v>
      </x:c>
      <x:c r="G496" s="19" t="str">
        <x:v>Social Networks and Online Communities</x:v>
      </x:c>
      <x:c r="H496" s="19" t="str">
        <x:v>其他/待核查</x:v>
      </x:c>
      <x:c r="I496" s="19" t="str">
        <x:v>保守归类</x:v>
      </x:c>
      <x:c r="J496" s="19" t="n">
        <x:v>2909640</x:v>
      </x:c>
      <x:c r="K496" s="20" t="n">
        <x:v>0.0034000000000000002</x:v>
      </x:c>
      <x:c r="L496" s="19" t="str">
        <x:v>新出现</x:v>
      </x:c>
      <x:c r="M496" s="20"/>
      <x:c r="N496" s="21" t="n">
        <x:v>126914</x:v>
      </x:c>
      <x:c r="O496" s="21" t="n">
        <x:v>432</x:v>
      </x:c>
      <x:c r="P496" s="21" t="n">
        <x:f>ROUND(N496*K496,0)</x:f>
        <x:v>432</x:v>
      </x:c>
      <x:c r="Q496" s="19" t="str">
        <x:v>否</x:v>
      </x:c>
      <x:c r="R496" s="19" t="str"/>
      <x:c r="S496" s="19" t="n">
        <x:f>IF(Q496="是",0,MIN(10,2+IF(C496="高",2,1)+IF(K496&gt;=3%,3,IF(K496&gt;=1%,2,1))+IF(L496="新出现",2,IF(M496&gt;=100%,3,IF(M496&gt;0,2,0)))))</x:f>
        <x:v>6</x:v>
      </x:c>
      <x:c r="T496" s="21"/>
      <x:c r="U496" s="20"/>
      <x:c r="V496" s="19" t="str">
        <x:v>http://greyscalelabs.com/</x:v>
      </x:c>
      <x:c r="W496" s="19" t="str">
        <x:v>https://pro.similarweb.com/#/digitalsuite/websiteanalysis/referrals/*/999/1m?webSource=Total&amp;selectedTab=incomingTraffic&amp;key=lemonsqueezy.com</x:v>
      </x:c>
      <x:c r="X496" s="20" t="n">
        <x:f>IF(Q496="是",0,IFERROR(P496/SUMIFS($P$2:$P$964,$A$2:$A$964,A496,$Q$2:$Q$964,"否"),0))</x:f>
        <x:v>0.005960100438729615</x:v>
      </x:c>
      <x:c r="Y496" s="22" t="str">
        <x:f>IF(OR(M496="",U496=""),"未交叉",IF(M496*U496&gt;0,"同向",IF(M496*U496&lt;0,"背离","一侧持平")))</x:f>
        <x:v>未交叉</x:v>
      </x:c>
    </x:row>
    <x:row r="497">
      <x:c r="A497" s="18" t="str">
        <x:v>lemonsqueezy.com</x:v>
      </x:c>
      <x:c r="B497" s="19" t="str">
        <x:v>支付商主域（混合流量）</x:v>
      </x:c>
      <x:c r="C497" s="19" t="str">
        <x:v>中</x:v>
      </x:c>
      <x:c r="D497" s="19" t="str">
        <x:v>Jul 2026</x:v>
      </x:c>
      <x:c r="E497" s="19" t="n">
        <x:v>54</x:v>
      </x:c>
      <x:c r="F497" s="19" t="str">
        <x:v>aiaffiliateindex.com</x:v>
      </x:c>
      <x:c r="G497" s="19" t="str">
        <x:v>Unknown</x:v>
      </x:c>
      <x:c r="H497" s="19" t="str">
        <x:v>其他/待核查</x:v>
      </x:c>
      <x:c r="I497" s="19" t="str">
        <x:v>Similarweb 未分类</x:v>
      </x:c>
      <x:c r="J497" s="19"/>
      <x:c r="K497" s="20" t="n">
        <x:v>0.0034000000000000002</x:v>
      </x:c>
      <x:c r="L497" s="19" t="str">
        <x:v>新出现</x:v>
      </x:c>
      <x:c r="M497" s="20"/>
      <x:c r="N497" s="21" t="n">
        <x:v>126914</x:v>
      </x:c>
      <x:c r="O497" s="21" t="n">
        <x:v>432</x:v>
      </x:c>
      <x:c r="P497" s="21" t="n">
        <x:f>ROUND(N497*K497,0)</x:f>
        <x:v>432</x:v>
      </x:c>
      <x:c r="Q497" s="19" t="str">
        <x:v>否</x:v>
      </x:c>
      <x:c r="R497" s="19" t="str"/>
      <x:c r="S497" s="19" t="n">
        <x:f>IF(Q497="是",0,MIN(10,2+IF(C497="高",2,1)+IF(K497&gt;=3%,3,IF(K497&gt;=1%,2,1))+IF(L497="新出现",2,IF(M497&gt;=100%,3,IF(M497&gt;0,2,0)))))</x:f>
        <x:v>6</x:v>
      </x:c>
      <x:c r="T497" s="21"/>
      <x:c r="U497" s="20"/>
      <x:c r="V497" s="19" t="str">
        <x:v>http://aiaffiliateindex.com/</x:v>
      </x:c>
      <x:c r="W497" s="19" t="str">
        <x:v>https://pro.similarweb.com/#/digitalsuite/websiteanalysis/referrals/*/999/1m?webSource=Total&amp;selectedTab=incomingTraffic&amp;key=lemonsqueezy.com</x:v>
      </x:c>
      <x:c r="X497" s="20" t="n">
        <x:f>IF(Q497="是",0,IFERROR(P497/SUMIFS($P$2:$P$964,$A$2:$A$964,A497,$Q$2:$Q$964,"否"),0))</x:f>
        <x:v>0.005960100438729615</x:v>
      </x:c>
      <x:c r="Y497" s="22" t="str">
        <x:f>IF(OR(M497="",U497=""),"未交叉",IF(M497*U497&gt;0,"同向",IF(M497*U497&lt;0,"背离","一侧持平")))</x:f>
        <x:v>未交叉</x:v>
      </x:c>
    </x:row>
    <x:row r="498">
      <x:c r="A498" s="18" t="str">
        <x:v>lemonsqueezy.com</x:v>
      </x:c>
      <x:c r="B498" s="19" t="str">
        <x:v>支付商主域（混合流量）</x:v>
      </x:c>
      <x:c r="C498" s="19" t="str">
        <x:v>中</x:v>
      </x:c>
      <x:c r="D498" s="19" t="str">
        <x:v>Jul 2026</x:v>
      </x:c>
      <x:c r="E498" s="19" t="n">
        <x:v>55</x:v>
      </x:c>
      <x:c r="F498" s="19" t="str">
        <x:v>saasframe.io</x:v>
      </x:c>
      <x:c r="G498" s="19" t="str">
        <x:v>Computers Electronics and Technology</x:v>
      </x:c>
      <x:c r="H498" s="19" t="str">
        <x:v>通用数字产品与技术服务</x:v>
      </x:c>
      <x:c r="I498" s="19" t="str">
        <x:v>Similarweb 行业映射</x:v>
      </x:c>
      <x:c r="J498" s="19" t="n">
        <x:v>380789</x:v>
      </x:c>
      <x:c r="K498" s="20" t="n">
        <x:v>0.0034000000000000002</x:v>
      </x:c>
      <x:c r="L498" s="19" t="str">
        <x:v>新出现</x:v>
      </x:c>
      <x:c r="M498" s="20"/>
      <x:c r="N498" s="21" t="n">
        <x:v>126914</x:v>
      </x:c>
      <x:c r="O498" s="21" t="n">
        <x:v>432</x:v>
      </x:c>
      <x:c r="P498" s="21" t="n">
        <x:f>ROUND(N498*K498,0)</x:f>
        <x:v>432</x:v>
      </x:c>
      <x:c r="Q498" s="19" t="str">
        <x:v>否</x:v>
      </x:c>
      <x:c r="R498" s="19" t="str"/>
      <x:c r="S498" s="19" t="n">
        <x:f>IF(Q498="是",0,MIN(10,2+IF(C498="高",2,1)+IF(K498&gt;=3%,3,IF(K498&gt;=1%,2,1))+IF(L498="新出现",2,IF(M498&gt;=100%,3,IF(M498&gt;0,2,0)))))</x:f>
        <x:v>6</x:v>
      </x:c>
      <x:c r="T498" s="21"/>
      <x:c r="U498" s="20"/>
      <x:c r="V498" s="19" t="str">
        <x:v>http://saasframe.io/</x:v>
      </x:c>
      <x:c r="W498" s="19" t="str">
        <x:v>https://pro.similarweb.com/#/digitalsuite/websiteanalysis/referrals/*/999/1m?webSource=Total&amp;selectedTab=incomingTraffic&amp;key=lemonsqueezy.com</x:v>
      </x:c>
      <x:c r="X498" s="20" t="n">
        <x:f>IF(Q498="是",0,IFERROR(P498/SUMIFS($P$2:$P$964,$A$2:$A$964,A498,$Q$2:$Q$964,"否"),0))</x:f>
        <x:v>0.005960100438729615</x:v>
      </x:c>
      <x:c r="Y498" s="22" t="str">
        <x:f>IF(OR(M498="",U498=""),"未交叉",IF(M498*U498&gt;0,"同向",IF(M498*U498&lt;0,"背离","一侧持平")))</x:f>
        <x:v>未交叉</x:v>
      </x:c>
    </x:row>
    <x:row r="499">
      <x:c r="A499" s="18" t="str">
        <x:v>lemonsqueezy.com</x:v>
      </x:c>
      <x:c r="B499" s="19" t="str">
        <x:v>支付商主域（混合流量）</x:v>
      </x:c>
      <x:c r="C499" s="19" t="str">
        <x:v>中</x:v>
      </x:c>
      <x:c r="D499" s="19" t="str">
        <x:v>Jul 2026</x:v>
      </x:c>
      <x:c r="E499" s="19" t="n">
        <x:v>56</x:v>
      </x:c>
      <x:c r="F499" s="19" t="str">
        <x:v>reddevs.com</x:v>
      </x:c>
      <x:c r="G499" s="19" t="str">
        <x:v>Unknown</x:v>
      </x:c>
      <x:c r="H499" s="19" t="str">
        <x:v>其他/待核查</x:v>
      </x:c>
      <x:c r="I499" s="19" t="str">
        <x:v>Similarweb 未分类</x:v>
      </x:c>
      <x:c r="J499" s="19"/>
      <x:c r="K499" s="20" t="n">
        <x:v>0.0034000000000000002</x:v>
      </x:c>
      <x:c r="L499" s="19" t="str">
        <x:v>新出现</x:v>
      </x:c>
      <x:c r="M499" s="20"/>
      <x:c r="N499" s="21" t="n">
        <x:v>126914</x:v>
      </x:c>
      <x:c r="O499" s="21" t="n">
        <x:v>432</x:v>
      </x:c>
      <x:c r="P499" s="21" t="n">
        <x:f>ROUND(N499*K499,0)</x:f>
        <x:v>432</x:v>
      </x:c>
      <x:c r="Q499" s="19" t="str">
        <x:v>否</x:v>
      </x:c>
      <x:c r="R499" s="19" t="str"/>
      <x:c r="S499" s="19" t="n">
        <x:f>IF(Q499="是",0,MIN(10,2+IF(C499="高",2,1)+IF(K499&gt;=3%,3,IF(K499&gt;=1%,2,1))+IF(L499="新出现",2,IF(M499&gt;=100%,3,IF(M499&gt;0,2,0)))))</x:f>
        <x:v>6</x:v>
      </x:c>
      <x:c r="T499" s="21"/>
      <x:c r="U499" s="20"/>
      <x:c r="V499" s="19" t="str">
        <x:v>http://reddevs.com/</x:v>
      </x:c>
      <x:c r="W499" s="19" t="str">
        <x:v>https://pro.similarweb.com/#/digitalsuite/websiteanalysis/referrals/*/999/1m?webSource=Total&amp;selectedTab=incomingTraffic&amp;key=lemonsqueezy.com</x:v>
      </x:c>
      <x:c r="X499" s="20" t="n">
        <x:f>IF(Q499="是",0,IFERROR(P499/SUMIFS($P$2:$P$964,$A$2:$A$964,A499,$Q$2:$Q$964,"否"),0))</x:f>
        <x:v>0.005960100438729615</x:v>
      </x:c>
      <x:c r="Y499" s="22" t="str">
        <x:f>IF(OR(M499="",U499=""),"未交叉",IF(M499*U499&gt;0,"同向",IF(M499*U499&lt;0,"背离","一侧持平")))</x:f>
        <x:v>未交叉</x:v>
      </x:c>
    </x:row>
    <x:row r="500">
      <x:c r="A500" s="18" t="str">
        <x:v>lemonsqueezy.com</x:v>
      </x:c>
      <x:c r="B500" s="19" t="str">
        <x:v>支付商主域（混合流量）</x:v>
      </x:c>
      <x:c r="C500" s="19" t="str">
        <x:v>中</x:v>
      </x:c>
      <x:c r="D500" s="19" t="str">
        <x:v>Jul 2026</x:v>
      </x:c>
      <x:c r="E500" s="19" t="n">
        <x:v>57</x:v>
      </x:c>
      <x:c r="F500" s="19" t="str">
        <x:v>sofiaclevit.substack.com</x:v>
      </x:c>
      <x:c r="G500" s="19" t="str">
        <x:v>Accommodation and Hotels</x:v>
      </x:c>
      <x:c r="H500" s="19" t="str">
        <x:v>其他/待核查</x:v>
      </x:c>
      <x:c r="I500" s="19" t="str">
        <x:v>保守归类</x:v>
      </x:c>
      <x:c r="J500" s="19"/>
      <x:c r="K500" s="20" t="n">
        <x:v>0.0033</x:v>
      </x:c>
      <x:c r="L500" s="19" t="str">
        <x:v>新出现</x:v>
      </x:c>
      <x:c r="M500" s="20"/>
      <x:c r="N500" s="21" t="n">
        <x:v>126914</x:v>
      </x:c>
      <x:c r="O500" s="21" t="n">
        <x:v>419</x:v>
      </x:c>
      <x:c r="P500" s="21" t="n">
        <x:f>ROUND(N500*K500,0)</x:f>
        <x:v>419</x:v>
      </x:c>
      <x:c r="Q500" s="19" t="str">
        <x:v>否</x:v>
      </x:c>
      <x:c r="R500" s="19" t="str"/>
      <x:c r="S500" s="19" t="n">
        <x:f>IF(Q500="是",0,MIN(10,2+IF(C500="高",2,1)+IF(K500&gt;=3%,3,IF(K500&gt;=1%,2,1))+IF(L500="新出现",2,IF(M500&gt;=100%,3,IF(M500&gt;0,2,0)))))</x:f>
        <x:v>6</x:v>
      </x:c>
      <x:c r="T500" s="21"/>
      <x:c r="U500" s="20"/>
      <x:c r="V500" s="19" t="str">
        <x:v>http://sofiaclevit.substack.com/</x:v>
      </x:c>
      <x:c r="W500" s="19" t="str">
        <x:v>https://pro.similarweb.com/#/digitalsuite/websiteanalysis/referrals/*/999/1m?webSource=Total&amp;selectedTab=incomingTraffic&amp;key=lemonsqueezy.com</x:v>
      </x:c>
      <x:c r="X500" s="20" t="n">
        <x:f>IF(Q500="是",0,IFERROR(P500/SUMIFS($P$2:$P$964,$A$2:$A$964,A500,$Q$2:$Q$964,"否"),0))</x:f>
        <x:v>0.005780745564415993</x:v>
      </x:c>
      <x:c r="Y500" s="22" t="str">
        <x:f>IF(OR(M500="",U500=""),"未交叉",IF(M500*U500&gt;0,"同向",IF(M500*U500&lt;0,"背离","一侧持平")))</x:f>
        <x:v>未交叉</x:v>
      </x:c>
    </x:row>
    <x:row r="501">
      <x:c r="A501" s="18" t="str">
        <x:v>lemonsqueezy.com</x:v>
      </x:c>
      <x:c r="B501" s="19" t="str">
        <x:v>支付商主域（混合流量）</x:v>
      </x:c>
      <x:c r="C501" s="19" t="str">
        <x:v>中</x:v>
      </x:c>
      <x:c r="D501" s="19" t="str">
        <x:v>Jul 2026</x:v>
      </x:c>
      <x:c r="E501" s="19" t="n">
        <x:v>58</x:v>
      </x:c>
      <x:c r="F501" s="19" t="str">
        <x:v>aptabase.com</x:v>
      </x:c>
      <x:c r="G501" s="19" t="str">
        <x:v>Programming and Developer Software</x:v>
      </x:c>
      <x:c r="H501" s="19" t="str">
        <x:v>开发者工具与互联网基础设施</x:v>
      </x:c>
      <x:c r="I501" s="19" t="str">
        <x:v>Similarweb 行业映射</x:v>
      </x:c>
      <x:c r="J501" s="19" t="n">
        <x:v>861477</x:v>
      </x:c>
      <x:c r="K501" s="20" t="n">
        <x:v>0.0033</x:v>
      </x:c>
      <x:c r="L501" s="19" t="str">
        <x:v>下降</x:v>
      </x:c>
      <x:c r="M501" s="20" t="n">
        <x:v>-0.6591</x:v>
      </x:c>
      <x:c r="N501" s="21" t="n">
        <x:v>126914</x:v>
      </x:c>
      <x:c r="O501" s="21" t="n">
        <x:v>419</x:v>
      </x:c>
      <x:c r="P501" s="21" t="n">
        <x:f>ROUND(N501*K501,0)</x:f>
        <x:v>419</x:v>
      </x:c>
      <x:c r="Q501" s="19" t="str">
        <x:v>否</x:v>
      </x:c>
      <x:c r="R501" s="19" t="str"/>
      <x:c r="S501" s="19" t="n">
        <x:f>IF(Q501="是",0,MIN(10,2+IF(C501="高",2,1)+IF(K501&gt;=3%,3,IF(K501&gt;=1%,2,1))+IF(L501="新出现",2,IF(M501&gt;=100%,3,IF(M501&gt;0,2,0)))))</x:f>
        <x:v>4</x:v>
      </x:c>
      <x:c r="T501" s="21"/>
      <x:c r="U501" s="20"/>
      <x:c r="V501" s="19" t="str">
        <x:v>http://aptabase.com/</x:v>
      </x:c>
      <x:c r="W501" s="19" t="str">
        <x:v>https://pro.similarweb.com/#/digitalsuite/websiteanalysis/referrals/*/999/1m?webSource=Total&amp;selectedTab=incomingTraffic&amp;key=lemonsqueezy.com</x:v>
      </x:c>
      <x:c r="X501" s="20" t="n">
        <x:f>IF(Q501="是",0,IFERROR(P501/SUMIFS($P$2:$P$964,$A$2:$A$964,A501,$Q$2:$Q$964,"否"),0))</x:f>
        <x:v>0.005780745564415993</x:v>
      </x:c>
      <x:c r="Y501" s="22" t="str">
        <x:f>IF(OR(M501="",U501=""),"未交叉",IF(M501*U501&gt;0,"同向",IF(M501*U501&lt;0,"背离","一侧持平")))</x:f>
        <x:v>未交叉</x:v>
      </x:c>
    </x:row>
    <x:row r="502">
      <x:c r="A502" s="18" t="str">
        <x:v>lemonsqueezy.com</x:v>
      </x:c>
      <x:c r="B502" s="19" t="str">
        <x:v>支付商主域（混合流量）</x:v>
      </x:c>
      <x:c r="C502" s="19" t="str">
        <x:v>中</x:v>
      </x:c>
      <x:c r="D502" s="19" t="str">
        <x:v>Jul 2026</x:v>
      </x:c>
      <x:c r="E502" s="19" t="n">
        <x:v>59</x:v>
      </x:c>
      <x:c r="F502" s="19" t="str">
        <x:v>shop.houzez.co</x:v>
      </x:c>
      <x:c r="G502" s="19" t="str">
        <x:v>Unknown</x:v>
      </x:c>
      <x:c r="H502" s="19" t="str">
        <x:v>其他/待核查</x:v>
      </x:c>
      <x:c r="I502" s="19" t="str">
        <x:v>Similarweb 未分类</x:v>
      </x:c>
      <x:c r="J502" s="19"/>
      <x:c r="K502" s="20" t="n">
        <x:v>0.0032</x:v>
      </x:c>
      <x:c r="L502" s="19" t="str">
        <x:v>新出现</x:v>
      </x:c>
      <x:c r="M502" s="20"/>
      <x:c r="N502" s="21" t="n">
        <x:v>126914</x:v>
      </x:c>
      <x:c r="O502" s="21" t="n">
        <x:v>406</x:v>
      </x:c>
      <x:c r="P502" s="21" t="n">
        <x:f>ROUND(N502*K502,0)</x:f>
        <x:v>406</x:v>
      </x:c>
      <x:c r="Q502" s="19" t="str">
        <x:v>否</x:v>
      </x:c>
      <x:c r="R502" s="19" t="str"/>
      <x:c r="S502" s="19" t="n">
        <x:f>IF(Q502="是",0,MIN(10,2+IF(C502="高",2,1)+IF(K502&gt;=3%,3,IF(K502&gt;=1%,2,1))+IF(L502="新出现",2,IF(M502&gt;=100%,3,IF(M502&gt;0,2,0)))))</x:f>
        <x:v>6</x:v>
      </x:c>
      <x:c r="T502" s="21"/>
      <x:c r="U502" s="20"/>
      <x:c r="V502" s="19" t="str">
        <x:v>http://shop.houzez.co/</x:v>
      </x:c>
      <x:c r="W502" s="19" t="str">
        <x:v>https://pro.similarweb.com/#/digitalsuite/websiteanalysis/referrals/*/999/1m?webSource=Total&amp;selectedTab=incomingTraffic&amp;key=lemonsqueezy.com</x:v>
      </x:c>
      <x:c r="X502" s="20" t="n">
        <x:f>IF(Q502="是",0,IFERROR(P502/SUMIFS($P$2:$P$964,$A$2:$A$964,A502,$Q$2:$Q$964,"否"),0))</x:f>
        <x:v>0.005601390690102371</x:v>
      </x:c>
      <x:c r="Y502" s="22" t="str">
        <x:f>IF(OR(M502="",U502=""),"未交叉",IF(M502*U502&gt;0,"同向",IF(M502*U502&lt;0,"背离","一侧持平")))</x:f>
        <x:v>未交叉</x:v>
      </x:c>
    </x:row>
    <x:row r="503">
      <x:c r="A503" s="18" t="str">
        <x:v>lemonsqueezy.com</x:v>
      </x:c>
      <x:c r="B503" s="19" t="str">
        <x:v>支付商主域（混合流量）</x:v>
      </x:c>
      <x:c r="C503" s="19" t="str">
        <x:v>中</x:v>
      </x:c>
      <x:c r="D503" s="19" t="str">
        <x:v>Jul 2026</x:v>
      </x:c>
      <x:c r="E503" s="19" t="n">
        <x:v>60</x:v>
      </x:c>
      <x:c r="F503" s="19" t="str">
        <x:v>docs.chatvideopro.com</x:v>
      </x:c>
      <x:c r="G503" s="19" t="str">
        <x:v>Unknown</x:v>
      </x:c>
      <x:c r="H503" s="19" t="str">
        <x:v>其他/待核查</x:v>
      </x:c>
      <x:c r="I503" s="19" t="str">
        <x:v>Similarweb 未分类</x:v>
      </x:c>
      <x:c r="J503" s="19"/>
      <x:c r="K503" s="20" t="n">
        <x:v>0.0032</x:v>
      </x:c>
      <x:c r="L503" s="19" t="str">
        <x:v>新出现</x:v>
      </x:c>
      <x:c r="M503" s="20"/>
      <x:c r="N503" s="21" t="n">
        <x:v>126914</x:v>
      </x:c>
      <x:c r="O503" s="21" t="n">
        <x:v>406</x:v>
      </x:c>
      <x:c r="P503" s="21" t="n">
        <x:f>ROUND(N503*K503,0)</x:f>
        <x:v>406</x:v>
      </x:c>
      <x:c r="Q503" s="19" t="str">
        <x:v>否</x:v>
      </x:c>
      <x:c r="R503" s="19" t="str"/>
      <x:c r="S503" s="19" t="n">
        <x:f>IF(Q503="是",0,MIN(10,2+IF(C503="高",2,1)+IF(K503&gt;=3%,3,IF(K503&gt;=1%,2,1))+IF(L503="新出现",2,IF(M503&gt;=100%,3,IF(M503&gt;0,2,0)))))</x:f>
        <x:v>6</x:v>
      </x:c>
      <x:c r="T503" s="21"/>
      <x:c r="U503" s="20"/>
      <x:c r="V503" s="19" t="str">
        <x:v>http://docs.chatvideopro.com/</x:v>
      </x:c>
      <x:c r="W503" s="19" t="str">
        <x:v>https://pro.similarweb.com/#/digitalsuite/websiteanalysis/referrals/*/999/1m?webSource=Total&amp;selectedTab=incomingTraffic&amp;key=lemonsqueezy.com</x:v>
      </x:c>
      <x:c r="X503" s="20" t="n">
        <x:f>IF(Q503="是",0,IFERROR(P503/SUMIFS($P$2:$P$964,$A$2:$A$964,A503,$Q$2:$Q$964,"否"),0))</x:f>
        <x:v>0.005601390690102371</x:v>
      </x:c>
      <x:c r="Y503" s="22" t="str">
        <x:f>IF(OR(M503="",U503=""),"未交叉",IF(M503*U503&gt;0,"同向",IF(M503*U503&lt;0,"背离","一侧持平")))</x:f>
        <x:v>未交叉</x:v>
      </x:c>
    </x:row>
    <x:row r="504">
      <x:c r="A504" s="18" t="str">
        <x:v>lemonsqueezy.com</x:v>
      </x:c>
      <x:c r="B504" s="19" t="str">
        <x:v>支付商主域（混合流量）</x:v>
      </x:c>
      <x:c r="C504" s="19" t="str">
        <x:v>中</x:v>
      </x:c>
      <x:c r="D504" s="19" t="str">
        <x:v>Jul 2026</x:v>
      </x:c>
      <x:c r="E504" s="19" t="n">
        <x:v>61</x:v>
      </x:c>
      <x:c r="F504" s="19" t="str">
        <x:v>shop.sinuslabs.io</x:v>
      </x:c>
      <x:c r="G504" s="19" t="str">
        <x:v>Unknown</x:v>
      </x:c>
      <x:c r="H504" s="19" t="str">
        <x:v>其他/待核查</x:v>
      </x:c>
      <x:c r="I504" s="19" t="str">
        <x:v>Similarweb 未分类</x:v>
      </x:c>
      <x:c r="J504" s="19" t="n">
        <x:v>14848628</x:v>
      </x:c>
      <x:c r="K504" s="20" t="n">
        <x:v>0.0031</x:v>
      </x:c>
      <x:c r="L504" s="19" t="str">
        <x:v>上升</x:v>
      </x:c>
      <x:c r="M504" s="20" t="n">
        <x:v>0.6284000000000001</x:v>
      </x:c>
      <x:c r="N504" s="21" t="n">
        <x:v>126914</x:v>
      </x:c>
      <x:c r="O504" s="21" t="n">
        <x:v>393</x:v>
      </x:c>
      <x:c r="P504" s="21" t="n">
        <x:f>ROUND(N504*K504,0)</x:f>
        <x:v>393</x:v>
      </x:c>
      <x:c r="Q504" s="19" t="str">
        <x:v>否</x:v>
      </x:c>
      <x:c r="R504" s="19" t="str"/>
      <x:c r="S504" s="19" t="n">
        <x:f>IF(Q504="是",0,MIN(10,2+IF(C504="高",2,1)+IF(K504&gt;=3%,3,IF(K504&gt;=1%,2,1))+IF(L504="新出现",2,IF(M504&gt;=100%,3,IF(M504&gt;0,2,0)))))</x:f>
        <x:v>6</x:v>
      </x:c>
      <x:c r="T504" s="21"/>
      <x:c r="U504" s="20"/>
      <x:c r="V504" s="19" t="str">
        <x:v>http://shop.sinuslabs.io/</x:v>
      </x:c>
      <x:c r="W504" s="19" t="str">
        <x:v>https://pro.similarweb.com/#/digitalsuite/websiteanalysis/referrals/*/999/1m?webSource=Total&amp;selectedTab=incomingTraffic&amp;key=lemonsqueezy.com</x:v>
      </x:c>
      <x:c r="X504" s="20" t="n">
        <x:f>IF(Q504="是",0,IFERROR(P504/SUMIFS($P$2:$P$964,$A$2:$A$964,A504,$Q$2:$Q$964,"否"),0))</x:f>
        <x:v>0.005422035815788748</x:v>
      </x:c>
      <x:c r="Y504" s="22" t="str">
        <x:f>IF(OR(M504="",U504=""),"未交叉",IF(M504*U504&gt;0,"同向",IF(M504*U504&lt;0,"背离","一侧持平")))</x:f>
        <x:v>未交叉</x:v>
      </x:c>
    </x:row>
    <x:row r="505">
      <x:c r="A505" s="18" t="str">
        <x:v>lemonsqueezy.com</x:v>
      </x:c>
      <x:c r="B505" s="19" t="str">
        <x:v>支付商主域（混合流量）</x:v>
      </x:c>
      <x:c r="C505" s="19" t="str">
        <x:v>中</x:v>
      </x:c>
      <x:c r="D505" s="19" t="str">
        <x:v>Jul 2026</x:v>
      </x:c>
      <x:c r="E505" s="19" t="n">
        <x:v>62</x:v>
      </x:c>
      <x:c r="F505" s="19" t="str">
        <x:v>pitchdeckguide.com</x:v>
      </x:c>
      <x:c r="G505" s="19" t="str">
        <x:v>Unknown</x:v>
      </x:c>
      <x:c r="H505" s="19" t="str">
        <x:v>其他/待核查</x:v>
      </x:c>
      <x:c r="I505" s="19" t="str">
        <x:v>Similarweb 未分类</x:v>
      </x:c>
      <x:c r="J505" s="19"/>
      <x:c r="K505" s="20" t="n">
        <x:v>0.0031</x:v>
      </x:c>
      <x:c r="L505" s="19" t="str">
        <x:v>新出现</x:v>
      </x:c>
      <x:c r="M505" s="20"/>
      <x:c r="N505" s="21" t="n">
        <x:v>126914</x:v>
      </x:c>
      <x:c r="O505" s="21" t="n">
        <x:v>393</x:v>
      </x:c>
      <x:c r="P505" s="21" t="n">
        <x:f>ROUND(N505*K505,0)</x:f>
        <x:v>393</x:v>
      </x:c>
      <x:c r="Q505" s="19" t="str">
        <x:v>否</x:v>
      </x:c>
      <x:c r="R505" s="19" t="str"/>
      <x:c r="S505" s="19" t="n">
        <x:f>IF(Q505="是",0,MIN(10,2+IF(C505="高",2,1)+IF(K505&gt;=3%,3,IF(K505&gt;=1%,2,1))+IF(L505="新出现",2,IF(M505&gt;=100%,3,IF(M505&gt;0,2,0)))))</x:f>
        <x:v>6</x:v>
      </x:c>
      <x:c r="T505" s="21"/>
      <x:c r="U505" s="20"/>
      <x:c r="V505" s="19" t="str">
        <x:v>http://pitchdeckguide.com/</x:v>
      </x:c>
      <x:c r="W505" s="19" t="str">
        <x:v>https://pro.similarweb.com/#/digitalsuite/websiteanalysis/referrals/*/999/1m?webSource=Total&amp;selectedTab=incomingTraffic&amp;key=lemonsqueezy.com</x:v>
      </x:c>
      <x:c r="X505" s="20" t="n">
        <x:f>IF(Q505="是",0,IFERROR(P505/SUMIFS($P$2:$P$964,$A$2:$A$964,A505,$Q$2:$Q$964,"否"),0))</x:f>
        <x:v>0.005422035815788748</x:v>
      </x:c>
      <x:c r="Y505" s="22" t="str">
        <x:f>IF(OR(M505="",U505=""),"未交叉",IF(M505*U505&gt;0,"同向",IF(M505*U505&lt;0,"背离","一侧持平")))</x:f>
        <x:v>未交叉</x:v>
      </x:c>
    </x:row>
    <x:row r="506">
      <x:c r="A506" s="18" t="str">
        <x:v>lemonsqueezy.com</x:v>
      </x:c>
      <x:c r="B506" s="19" t="str">
        <x:v>支付商主域（混合流量）</x:v>
      </x:c>
      <x:c r="C506" s="19" t="str">
        <x:v>中</x:v>
      </x:c>
      <x:c r="D506" s="19" t="str">
        <x:v>Jul 2026</x:v>
      </x:c>
      <x:c r="E506" s="19" t="n">
        <x:v>63</x:v>
      </x:c>
      <x:c r="F506" s="19" t="str">
        <x:v>creatorz.pro</x:v>
      </x:c>
      <x:c r="G506" s="19" t="str">
        <x:v>Unknown</x:v>
      </x:c>
      <x:c r="H506" s="19" t="str">
        <x:v>其他/待核查</x:v>
      </x:c>
      <x:c r="I506" s="19" t="str">
        <x:v>Similarweb 未分类</x:v>
      </x:c>
      <x:c r="J506" s="19" t="n">
        <x:v>6695025</x:v>
      </x:c>
      <x:c r="K506" s="20" t="n">
        <x:v>0.003</x:v>
      </x:c>
      <x:c r="L506" s="19" t="str">
        <x:v>新出现</x:v>
      </x:c>
      <x:c r="M506" s="20"/>
      <x:c r="N506" s="21" t="n">
        <x:v>126914</x:v>
      </x:c>
      <x:c r="O506" s="21" t="n">
        <x:v>381</x:v>
      </x:c>
      <x:c r="P506" s="21" t="n">
        <x:f>ROUND(N506*K506,0)</x:f>
        <x:v>381</x:v>
      </x:c>
      <x:c r="Q506" s="19" t="str">
        <x:v>否</x:v>
      </x:c>
      <x:c r="R506" s="19" t="str"/>
      <x:c r="S506" s="19" t="n">
        <x:f>IF(Q506="是",0,MIN(10,2+IF(C506="高",2,1)+IF(K506&gt;=3%,3,IF(K506&gt;=1%,2,1))+IF(L506="新出现",2,IF(M506&gt;=100%,3,IF(M506&gt;0,2,0)))))</x:f>
        <x:v>6</x:v>
      </x:c>
      <x:c r="T506" s="21"/>
      <x:c r="U506" s="20"/>
      <x:c r="V506" s="19" t="str">
        <x:v>http://creatorz.pro/</x:v>
      </x:c>
      <x:c r="W506" s="19" t="str">
        <x:v>https://pro.similarweb.com/#/digitalsuite/websiteanalysis/referrals/*/999/1m?webSource=Total&amp;selectedTab=incomingTraffic&amp;key=lemonsqueezy.com</x:v>
      </x:c>
      <x:c r="X506" s="20" t="n">
        <x:f>IF(Q506="是",0,IFERROR(P506/SUMIFS($P$2:$P$964,$A$2:$A$964,A506,$Q$2:$Q$964,"否"),0))</x:f>
        <x:v>0.00525647747026848</x:v>
      </x:c>
      <x:c r="Y506" s="22" t="str">
        <x:f>IF(OR(M506="",U506=""),"未交叉",IF(M506*U506&gt;0,"同向",IF(M506*U506&lt;0,"背离","一侧持平")))</x:f>
        <x:v>未交叉</x:v>
      </x:c>
    </x:row>
    <x:row r="507">
      <x:c r="A507" s="18" t="str">
        <x:v>lemonsqueezy.com</x:v>
      </x:c>
      <x:c r="B507" s="19" t="str">
        <x:v>支付商主域（混合流量）</x:v>
      </x:c>
      <x:c r="C507" s="19" t="str">
        <x:v>中</x:v>
      </x:c>
      <x:c r="D507" s="19" t="str">
        <x:v>Jul 2026</x:v>
      </x:c>
      <x:c r="E507" s="19" t="n">
        <x:v>64</x:v>
      </x:c>
      <x:c r="F507" s="19" t="str">
        <x:v>goquizit.com</x:v>
      </x:c>
      <x:c r="G507" s="19" t="str">
        <x:v>Unknown</x:v>
      </x:c>
      <x:c r="H507" s="19" t="str">
        <x:v>其他/待核查</x:v>
      </x:c>
      <x:c r="I507" s="19" t="str">
        <x:v>Similarweb 未分类</x:v>
      </x:c>
      <x:c r="J507" s="19" t="n">
        <x:v>3816116</x:v>
      </x:c>
      <x:c r="K507" s="20" t="n">
        <x:v>0.003</x:v>
      </x:c>
      <x:c r="L507" s="19" t="str">
        <x:v>新出现</x:v>
      </x:c>
      <x:c r="M507" s="20"/>
      <x:c r="N507" s="21" t="n">
        <x:v>126914</x:v>
      </x:c>
      <x:c r="O507" s="21" t="n">
        <x:v>381</x:v>
      </x:c>
      <x:c r="P507" s="21" t="n">
        <x:f>ROUND(N507*K507,0)</x:f>
        <x:v>381</x:v>
      </x:c>
      <x:c r="Q507" s="19" t="str">
        <x:v>否</x:v>
      </x:c>
      <x:c r="R507" s="19" t="str"/>
      <x:c r="S507" s="19" t="n">
        <x:f>IF(Q507="是",0,MIN(10,2+IF(C507="高",2,1)+IF(K507&gt;=3%,3,IF(K507&gt;=1%,2,1))+IF(L507="新出现",2,IF(M507&gt;=100%,3,IF(M507&gt;0,2,0)))))</x:f>
        <x:v>6</x:v>
      </x:c>
      <x:c r="T507" s="21"/>
      <x:c r="U507" s="20"/>
      <x:c r="V507" s="19" t="str">
        <x:v>http://goquizit.com/</x:v>
      </x:c>
      <x:c r="W507" s="19" t="str">
        <x:v>https://pro.similarweb.com/#/digitalsuite/websiteanalysis/referrals/*/999/1m?webSource=Total&amp;selectedTab=incomingTraffic&amp;key=lemonsqueezy.com</x:v>
      </x:c>
      <x:c r="X507" s="20" t="n">
        <x:f>IF(Q507="是",0,IFERROR(P507/SUMIFS($P$2:$P$964,$A$2:$A$964,A507,$Q$2:$Q$964,"否"),0))</x:f>
        <x:v>0.00525647747026848</x:v>
      </x:c>
      <x:c r="Y507" s="22" t="str">
        <x:f>IF(OR(M507="",U507=""),"未交叉",IF(M507*U507&gt;0,"同向",IF(M507*U507&lt;0,"背离","一侧持平")))</x:f>
        <x:v>未交叉</x:v>
      </x:c>
    </x:row>
    <x:row r="508">
      <x:c r="A508" s="18" t="str">
        <x:v>lemonsqueezy.com</x:v>
      </x:c>
      <x:c r="B508" s="19" t="str">
        <x:v>支付商主域（混合流量）</x:v>
      </x:c>
      <x:c r="C508" s="19" t="str">
        <x:v>中</x:v>
      </x:c>
      <x:c r="D508" s="19" t="str">
        <x:v>Jul 2026</x:v>
      </x:c>
      <x:c r="E508" s="19" t="n">
        <x:v>65</x:v>
      </x:c>
      <x:c r="F508" s="19" t="str">
        <x:v>sh4rkk.com</x:v>
      </x:c>
      <x:c r="G508" s="19" t="str">
        <x:v>Graphics Multimedia and Web Design</x:v>
      </x:c>
      <x:c r="H508" s="19" t="str">
        <x:v>创作、设计与多媒体工具</x:v>
      </x:c>
      <x:c r="I508" s="19" t="str">
        <x:v>Similarweb 行业映射</x:v>
      </x:c>
      <x:c r="J508" s="19" t="n">
        <x:v>740588</x:v>
      </x:c>
      <x:c r="K508" s="20" t="n">
        <x:v>0.003</x:v>
      </x:c>
      <x:c r="L508" s="19" t="str">
        <x:v>上升</x:v>
      </x:c>
      <x:c r="M508" s="20" t="n">
        <x:v>0.18030000000000002</x:v>
      </x:c>
      <x:c r="N508" s="21" t="n">
        <x:v>126914</x:v>
      </x:c>
      <x:c r="O508" s="21" t="n">
        <x:v>381</x:v>
      </x:c>
      <x:c r="P508" s="21" t="n">
        <x:f>ROUND(N508*K508,0)</x:f>
        <x:v>381</x:v>
      </x:c>
      <x:c r="Q508" s="19" t="str">
        <x:v>否</x:v>
      </x:c>
      <x:c r="R508" s="19" t="str"/>
      <x:c r="S508" s="19" t="n">
        <x:f>IF(Q508="是",0,MIN(10,2+IF(C508="高",2,1)+IF(K508&gt;=3%,3,IF(K508&gt;=1%,2,1))+IF(L508="新出现",2,IF(M508&gt;=100%,3,IF(M508&gt;0,2,0)))))</x:f>
        <x:v>6</x:v>
      </x:c>
      <x:c r="T508" s="21"/>
      <x:c r="U508" s="20"/>
      <x:c r="V508" s="19" t="str">
        <x:v>http://sh4rkk.com/</x:v>
      </x:c>
      <x:c r="W508" s="19" t="str">
        <x:v>https://pro.similarweb.com/#/digitalsuite/websiteanalysis/referrals/*/999/1m?webSource=Total&amp;selectedTab=incomingTraffic&amp;key=lemonsqueezy.com</x:v>
      </x:c>
      <x:c r="X508" s="20" t="n">
        <x:f>IF(Q508="是",0,IFERROR(P508/SUMIFS($P$2:$P$964,$A$2:$A$964,A508,$Q$2:$Q$964,"否"),0))</x:f>
        <x:v>0.00525647747026848</x:v>
      </x:c>
      <x:c r="Y508" s="22" t="str">
        <x:f>IF(OR(M508="",U508=""),"未交叉",IF(M508*U508&gt;0,"同向",IF(M508*U508&lt;0,"背离","一侧持平")))</x:f>
        <x:v>未交叉</x:v>
      </x:c>
    </x:row>
    <x:row r="509">
      <x:c r="A509" s="18" t="str">
        <x:v>lemonsqueezy.com</x:v>
      </x:c>
      <x:c r="B509" s="19" t="str">
        <x:v>支付商主域（混合流量）</x:v>
      </x:c>
      <x:c r="C509" s="19" t="str">
        <x:v>中</x:v>
      </x:c>
      <x:c r="D509" s="19" t="str">
        <x:v>Jul 2026</x:v>
      </x:c>
      <x:c r="E509" s="19" t="n">
        <x:v>66</x:v>
      </x:c>
      <x:c r="F509" s="19" t="str">
        <x:v>app.justsketch.me</x:v>
      </x:c>
      <x:c r="G509" s="19" t="str">
        <x:v>Video Games Consoles and Accessories</x:v>
      </x:c>
      <x:c r="H509" s="19" t="str">
        <x:v>游戏、数字商品与虚拟内容</x:v>
      </x:c>
      <x:c r="I509" s="19" t="str">
        <x:v>Similarweb 行业映射</x:v>
      </x:c>
      <x:c r="J509" s="19"/>
      <x:c r="K509" s="20" t="n">
        <x:v>0.0029</x:v>
      </x:c>
      <x:c r="L509" s="19" t="str">
        <x:v>下降</x:v>
      </x:c>
      <x:c r="M509" s="20" t="n">
        <x:v>-0.2775</x:v>
      </x:c>
      <x:c r="N509" s="21" t="n">
        <x:v>126914</x:v>
      </x:c>
      <x:c r="O509" s="21" t="n">
        <x:v>368</x:v>
      </x:c>
      <x:c r="P509" s="21" t="n">
        <x:f>ROUND(N509*K509,0)</x:f>
        <x:v>368</x:v>
      </x:c>
      <x:c r="Q509" s="19" t="str">
        <x:v>否</x:v>
      </x:c>
      <x:c r="R509" s="19" t="str"/>
      <x:c r="S509" s="19" t="n">
        <x:f>IF(Q509="是",0,MIN(10,2+IF(C509="高",2,1)+IF(K509&gt;=3%,3,IF(K509&gt;=1%,2,1))+IF(L509="新出现",2,IF(M509&gt;=100%,3,IF(M509&gt;0,2,0)))))</x:f>
        <x:v>4</x:v>
      </x:c>
      <x:c r="T509" s="21"/>
      <x:c r="U509" s="20"/>
      <x:c r="V509" s="19" t="str">
        <x:v>http://app.justsketch.me/</x:v>
      </x:c>
      <x:c r="W509" s="19" t="str">
        <x:v>https://pro.similarweb.com/#/digitalsuite/websiteanalysis/referrals/*/999/1m?webSource=Total&amp;selectedTab=incomingTraffic&amp;key=lemonsqueezy.com</x:v>
      </x:c>
      <x:c r="X509" s="20" t="n">
        <x:f>IF(Q509="是",0,IFERROR(P509/SUMIFS($P$2:$P$964,$A$2:$A$964,A509,$Q$2:$Q$964,"否"),0))</x:f>
        <x:v>0.005077122595954857</x:v>
      </x:c>
      <x:c r="Y509" s="22" t="str">
        <x:f>IF(OR(M509="",U509=""),"未交叉",IF(M509*U509&gt;0,"同向",IF(M509*U509&lt;0,"背离","一侧持平")))</x:f>
        <x:v>未交叉</x:v>
      </x:c>
    </x:row>
    <x:row r="510">
      <x:c r="A510" s="18" t="str">
        <x:v>lemonsqueezy.com</x:v>
      </x:c>
      <x:c r="B510" s="19" t="str">
        <x:v>支付商主域（混合流量）</x:v>
      </x:c>
      <x:c r="C510" s="19" t="str">
        <x:v>中</x:v>
      </x:c>
      <x:c r="D510" s="19" t="str">
        <x:v>Jul 2026</x:v>
      </x:c>
      <x:c r="E510" s="19" t="n">
        <x:v>67</x:v>
      </x:c>
      <x:c r="F510" s="19" t="str">
        <x:v>designsystems.surf</x:v>
      </x:c>
      <x:c r="G510" s="19" t="str">
        <x:v>Graphics Multimedia and Web Design</x:v>
      </x:c>
      <x:c r="H510" s="19" t="str">
        <x:v>创作、设计与多媒体工具</x:v>
      </x:c>
      <x:c r="I510" s="19" t="str">
        <x:v>Similarweb 行业映射</x:v>
      </x:c>
      <x:c r="J510" s="19" t="n">
        <x:v>364229</x:v>
      </x:c>
      <x:c r="K510" s="20" t="n">
        <x:v>0.0029</x:v>
      </x:c>
      <x:c r="L510" s="19" t="str">
        <x:v>下降</x:v>
      </x:c>
      <x:c r="M510" s="20" t="n">
        <x:v>-0.7811</x:v>
      </x:c>
      <x:c r="N510" s="21" t="n">
        <x:v>126914</x:v>
      </x:c>
      <x:c r="O510" s="21" t="n">
        <x:v>368</x:v>
      </x:c>
      <x:c r="P510" s="21" t="n">
        <x:f>ROUND(N510*K510,0)</x:f>
        <x:v>368</x:v>
      </x:c>
      <x:c r="Q510" s="19" t="str">
        <x:v>否</x:v>
      </x:c>
      <x:c r="R510" s="19" t="str"/>
      <x:c r="S510" s="19" t="n">
        <x:f>IF(Q510="是",0,MIN(10,2+IF(C510="高",2,1)+IF(K510&gt;=3%,3,IF(K510&gt;=1%,2,1))+IF(L510="新出现",2,IF(M510&gt;=100%,3,IF(M510&gt;0,2,0)))))</x:f>
        <x:v>4</x:v>
      </x:c>
      <x:c r="T510" s="21"/>
      <x:c r="U510" s="20"/>
      <x:c r="V510" s="19" t="str">
        <x:v>http://designsystems.surf/</x:v>
      </x:c>
      <x:c r="W510" s="19" t="str">
        <x:v>https://pro.similarweb.com/#/digitalsuite/websiteanalysis/referrals/*/999/1m?webSource=Total&amp;selectedTab=incomingTraffic&amp;key=lemonsqueezy.com</x:v>
      </x:c>
      <x:c r="X510" s="20" t="n">
        <x:f>IF(Q510="是",0,IFERROR(P510/SUMIFS($P$2:$P$964,$A$2:$A$964,A510,$Q$2:$Q$964,"否"),0))</x:f>
        <x:v>0.005077122595954857</x:v>
      </x:c>
      <x:c r="Y510" s="22" t="str">
        <x:f>IF(OR(M510="",U510=""),"未交叉",IF(M510*U510&gt;0,"同向",IF(M510*U510&lt;0,"背离","一侧持平")))</x:f>
        <x:v>未交叉</x:v>
      </x:c>
    </x:row>
    <x:row r="511">
      <x:c r="A511" s="18" t="str">
        <x:v>lemonsqueezy.com</x:v>
      </x:c>
      <x:c r="B511" s="19" t="str">
        <x:v>支付商主域（混合流量）</x:v>
      </x:c>
      <x:c r="C511" s="19" t="str">
        <x:v>中</x:v>
      </x:c>
      <x:c r="D511" s="19" t="str">
        <x:v>Jul 2026</x:v>
      </x:c>
      <x:c r="E511" s="19" t="n">
        <x:v>68</x:v>
      </x:c>
      <x:c r="F511" s="19" t="str">
        <x:v>scimatic.org</x:v>
      </x:c>
      <x:c r="G511" s="19" t="str">
        <x:v>Science and Education</x:v>
      </x:c>
      <x:c r="H511" s="19" t="str">
        <x:v>教育、知识与考试服务</x:v>
      </x:c>
      <x:c r="I511" s="19" t="str">
        <x:v>Similarweb 行业映射</x:v>
      </x:c>
      <x:c r="J511" s="19" t="n">
        <x:v>715165</x:v>
      </x:c>
      <x:c r="K511" s="20" t="n">
        <x:v>0.0029</x:v>
      </x:c>
      <x:c r="L511" s="19" t="str">
        <x:v>下降</x:v>
      </x:c>
      <x:c r="M511" s="20" t="n">
        <x:v>-0.12380000000000001</x:v>
      </x:c>
      <x:c r="N511" s="21" t="n">
        <x:v>126914</x:v>
      </x:c>
      <x:c r="O511" s="21" t="n">
        <x:v>368</x:v>
      </x:c>
      <x:c r="P511" s="21" t="n">
        <x:f>ROUND(N511*K511,0)</x:f>
        <x:v>368</x:v>
      </x:c>
      <x:c r="Q511" s="19" t="str">
        <x:v>否</x:v>
      </x:c>
      <x:c r="R511" s="19" t="str"/>
      <x:c r="S511" s="19" t="n">
        <x:f>IF(Q511="是",0,MIN(10,2+IF(C511="高",2,1)+IF(K511&gt;=3%,3,IF(K511&gt;=1%,2,1))+IF(L511="新出现",2,IF(M511&gt;=100%,3,IF(M511&gt;0,2,0)))))</x:f>
        <x:v>4</x:v>
      </x:c>
      <x:c r="T511" s="21"/>
      <x:c r="U511" s="20"/>
      <x:c r="V511" s="19" t="str">
        <x:v>http://scimatic.org/</x:v>
      </x:c>
      <x:c r="W511" s="19" t="str">
        <x:v>https://pro.similarweb.com/#/digitalsuite/websiteanalysis/referrals/*/999/1m?webSource=Total&amp;selectedTab=incomingTraffic&amp;key=lemonsqueezy.com</x:v>
      </x:c>
      <x:c r="X511" s="20" t="n">
        <x:f>IF(Q511="是",0,IFERROR(P511/SUMIFS($P$2:$P$964,$A$2:$A$964,A511,$Q$2:$Q$964,"否"),0))</x:f>
        <x:v>0.005077122595954857</x:v>
      </x:c>
      <x:c r="Y511" s="22" t="str">
        <x:f>IF(OR(M511="",U511=""),"未交叉",IF(M511*U511&gt;0,"同向",IF(M511*U511&lt;0,"背离","一侧持平")))</x:f>
        <x:v>未交叉</x:v>
      </x:c>
    </x:row>
    <x:row r="512">
      <x:c r="A512" s="18" t="str">
        <x:v>lemonsqueezy.com</x:v>
      </x:c>
      <x:c r="B512" s="19" t="str">
        <x:v>支付商主域（混合流量）</x:v>
      </x:c>
      <x:c r="C512" s="19" t="str">
        <x:v>中</x:v>
      </x:c>
      <x:c r="D512" s="19" t="str">
        <x:v>Jul 2026</x:v>
      </x:c>
      <x:c r="E512" s="19" t="n">
        <x:v>69</x:v>
      </x:c>
      <x:c r="F512" s="19" t="str">
        <x:v>echoshop.us</x:v>
      </x:c>
      <x:c r="G512" s="19" t="str">
        <x:v>Unknown</x:v>
      </x:c>
      <x:c r="H512" s="19" t="str">
        <x:v>其他/待核查</x:v>
      </x:c>
      <x:c r="I512" s="19" t="str">
        <x:v>Similarweb 未分类</x:v>
      </x:c>
      <x:c r="J512" s="19"/>
      <x:c r="K512" s="20" t="n">
        <x:v>0.0029</x:v>
      </x:c>
      <x:c r="L512" s="19" t="str">
        <x:v>新出现</x:v>
      </x:c>
      <x:c r="M512" s="20"/>
      <x:c r="N512" s="21" t="n">
        <x:v>126914</x:v>
      </x:c>
      <x:c r="O512" s="21" t="n">
        <x:v>368</x:v>
      </x:c>
      <x:c r="P512" s="21" t="n">
        <x:f>ROUND(N512*K512,0)</x:f>
        <x:v>368</x:v>
      </x:c>
      <x:c r="Q512" s="19" t="str">
        <x:v>否</x:v>
      </x:c>
      <x:c r="R512" s="19" t="str"/>
      <x:c r="S512" s="19" t="n">
        <x:f>IF(Q512="是",0,MIN(10,2+IF(C512="高",2,1)+IF(K512&gt;=3%,3,IF(K512&gt;=1%,2,1))+IF(L512="新出现",2,IF(M512&gt;=100%,3,IF(M512&gt;0,2,0)))))</x:f>
        <x:v>6</x:v>
      </x:c>
      <x:c r="T512" s="21"/>
      <x:c r="U512" s="20"/>
      <x:c r="V512" s="19" t="str">
        <x:v>http://echoshop.us/</x:v>
      </x:c>
      <x:c r="W512" s="19" t="str">
        <x:v>https://pro.similarweb.com/#/digitalsuite/websiteanalysis/referrals/*/999/1m?webSource=Total&amp;selectedTab=incomingTraffic&amp;key=lemonsqueezy.com</x:v>
      </x:c>
      <x:c r="X512" s="20" t="n">
        <x:f>IF(Q512="是",0,IFERROR(P512/SUMIFS($P$2:$P$964,$A$2:$A$964,A512,$Q$2:$Q$964,"否"),0))</x:f>
        <x:v>0.005077122595954857</x:v>
      </x:c>
      <x:c r="Y512" s="22" t="str">
        <x:f>IF(OR(M512="",U512=""),"未交叉",IF(M512*U512&gt;0,"同向",IF(M512*U512&lt;0,"背离","一侧持平")))</x:f>
        <x:v>未交叉</x:v>
      </x:c>
    </x:row>
    <x:row r="513">
      <x:c r="A513" s="18" t="str">
        <x:v>lemonsqueezy.com</x:v>
      </x:c>
      <x:c r="B513" s="19" t="str">
        <x:v>支付商主域（混合流量）</x:v>
      </x:c>
      <x:c r="C513" s="19" t="str">
        <x:v>中</x:v>
      </x:c>
      <x:c r="D513" s="19" t="str">
        <x:v>Jul 2026</x:v>
      </x:c>
      <x:c r="E513" s="19" t="n">
        <x:v>70</x:v>
      </x:c>
      <x:c r="F513" s="19" t="str">
        <x:v>oplux.ai</x:v>
      </x:c>
      <x:c r="G513" s="19" t="str">
        <x:v>Unknown</x:v>
      </x:c>
      <x:c r="H513" s="19" t="str">
        <x:v>AI 工具与应用（未细分）</x:v>
      </x:c>
      <x:c r="I513" s="19" t="str">
        <x:v>域名后缀启发式</x:v>
      </x:c>
      <x:c r="J513" s="19" t="n">
        <x:v>3050900</x:v>
      </x:c>
      <x:c r="K513" s="20" t="n">
        <x:v>0.0029</x:v>
      </x:c>
      <x:c r="L513" s="19" t="str">
        <x:v>新出现</x:v>
      </x:c>
      <x:c r="M513" s="20"/>
      <x:c r="N513" s="21" t="n">
        <x:v>126914</x:v>
      </x:c>
      <x:c r="O513" s="21" t="n">
        <x:v>368</x:v>
      </x:c>
      <x:c r="P513" s="21" t="n">
        <x:f>ROUND(N513*K513,0)</x:f>
        <x:v>368</x:v>
      </x:c>
      <x:c r="Q513" s="19" t="str">
        <x:v>否</x:v>
      </x:c>
      <x:c r="R513" s="19" t="str"/>
      <x:c r="S513" s="19" t="n">
        <x:f>IF(Q513="是",0,MIN(10,2+IF(C513="高",2,1)+IF(K513&gt;=3%,3,IF(K513&gt;=1%,2,1))+IF(L513="新出现",2,IF(M513&gt;=100%,3,IF(M513&gt;0,2,0)))))</x:f>
        <x:v>6</x:v>
      </x:c>
      <x:c r="T513" s="21"/>
      <x:c r="U513" s="20"/>
      <x:c r="V513" s="19" t="str">
        <x:v>http://oplux.ai/</x:v>
      </x:c>
      <x:c r="W513" s="19" t="str">
        <x:v>https://pro.similarweb.com/#/digitalsuite/websiteanalysis/referrals/*/999/1m?webSource=Total&amp;selectedTab=incomingTraffic&amp;key=lemonsqueezy.com</x:v>
      </x:c>
      <x:c r="X513" s="20" t="n">
        <x:f>IF(Q513="是",0,IFERROR(P513/SUMIFS($P$2:$P$964,$A$2:$A$964,A513,$Q$2:$Q$964,"否"),0))</x:f>
        <x:v>0.005077122595954857</x:v>
      </x:c>
      <x:c r="Y513" s="22" t="str">
        <x:f>IF(OR(M513="",U513=""),"未交叉",IF(M513*U513&gt;0,"同向",IF(M513*U513&lt;0,"背离","一侧持平")))</x:f>
        <x:v>未交叉</x:v>
      </x:c>
    </x:row>
    <x:row r="514">
      <x:c r="A514" s="18" t="str">
        <x:v>lemonsqueezy.com</x:v>
      </x:c>
      <x:c r="B514" s="19" t="str">
        <x:v>支付商主域（混合流量）</x:v>
      </x:c>
      <x:c r="C514" s="19" t="str">
        <x:v>中</x:v>
      </x:c>
      <x:c r="D514" s="19" t="str">
        <x:v>Jul 2026</x:v>
      </x:c>
      <x:c r="E514" s="19" t="n">
        <x:v>71</x:v>
      </x:c>
      <x:c r="F514" s="19" t="str">
        <x:v>elphnt.io</x:v>
      </x:c>
      <x:c r="G514" s="19" t="str">
        <x:v>Music</x:v>
      </x:c>
      <x:c r="H514" s="19" t="str">
        <x:v>创作、设计与多媒体工具</x:v>
      </x:c>
      <x:c r="I514" s="19" t="str">
        <x:v>Similarweb 行业映射</x:v>
      </x:c>
      <x:c r="J514" s="19" t="n">
        <x:v>685189</x:v>
      </x:c>
      <x:c r="K514" s="20" t="n">
        <x:v>0.0029</x:v>
      </x:c>
      <x:c r="L514" s="19" t="str">
        <x:v>上升</x:v>
      </x:c>
      <x:c r="M514" s="20" t="n">
        <x:v>0.042199999999999994</x:v>
      </x:c>
      <x:c r="N514" s="21" t="n">
        <x:v>126914</x:v>
      </x:c>
      <x:c r="O514" s="21" t="n">
        <x:v>368</x:v>
      </x:c>
      <x:c r="P514" s="21" t="n">
        <x:f>ROUND(N514*K514,0)</x:f>
        <x:v>368</x:v>
      </x:c>
      <x:c r="Q514" s="19" t="str">
        <x:v>否</x:v>
      </x:c>
      <x:c r="R514" s="19" t="str"/>
      <x:c r="S514" s="19" t="n">
        <x:f>IF(Q514="是",0,MIN(10,2+IF(C514="高",2,1)+IF(K514&gt;=3%,3,IF(K514&gt;=1%,2,1))+IF(L514="新出现",2,IF(M514&gt;=100%,3,IF(M514&gt;0,2,0)))))</x:f>
        <x:v>6</x:v>
      </x:c>
      <x:c r="T514" s="21"/>
      <x:c r="U514" s="20"/>
      <x:c r="V514" s="19" t="str">
        <x:v>http://elphnt.io/</x:v>
      </x:c>
      <x:c r="W514" s="19" t="str">
        <x:v>https://pro.similarweb.com/#/digitalsuite/websiteanalysis/referrals/*/999/1m?webSource=Total&amp;selectedTab=incomingTraffic&amp;key=lemonsqueezy.com</x:v>
      </x:c>
      <x:c r="X514" s="20" t="n">
        <x:f>IF(Q514="是",0,IFERROR(P514/SUMIFS($P$2:$P$964,$A$2:$A$964,A514,$Q$2:$Q$964,"否"),0))</x:f>
        <x:v>0.005077122595954857</x:v>
      </x:c>
      <x:c r="Y514" s="22" t="str">
        <x:f>IF(OR(M514="",U514=""),"未交叉",IF(M514*U514&gt;0,"同向",IF(M514*U514&lt;0,"背离","一侧持平")))</x:f>
        <x:v>未交叉</x:v>
      </x:c>
    </x:row>
    <x:row r="515">
      <x:c r="A515" s="18" t="str">
        <x:v>lemonsqueezy.com</x:v>
      </x:c>
      <x:c r="B515" s="19" t="str">
        <x:v>支付商主域（混合流量）</x:v>
      </x:c>
      <x:c r="C515" s="19" t="str">
        <x:v>中</x:v>
      </x:c>
      <x:c r="D515" s="19" t="str">
        <x:v>Jul 2026</x:v>
      </x:c>
      <x:c r="E515" s="19" t="n">
        <x:v>72</x:v>
      </x:c>
      <x:c r="F515" s="19" t="str">
        <x:v>guns.lol</x:v>
      </x:c>
      <x:c r="G515" s="19" t="str">
        <x:v>Video Games Consoles and Accessories</x:v>
      </x:c>
      <x:c r="H515" s="19" t="str">
        <x:v>游戏、数字商品与虚拟内容</x:v>
      </x:c>
      <x:c r="I515" s="19" t="str">
        <x:v>Similarweb 行业映射</x:v>
      </x:c>
      <x:c r="J515" s="19" t="n">
        <x:v>12588</x:v>
      </x:c>
      <x:c r="K515" s="20" t="n">
        <x:v>0.0027</x:v>
      </x:c>
      <x:c r="L515" s="19" t="str">
        <x:v>上升</x:v>
      </x:c>
      <x:c r="M515" s="20" t="n">
        <x:v>3.4397</x:v>
      </x:c>
      <x:c r="N515" s="21" t="n">
        <x:v>126914</x:v>
      </x:c>
      <x:c r="O515" s="21" t="n">
        <x:v>343</x:v>
      </x:c>
      <x:c r="P515" s="21" t="n">
        <x:f>ROUND(N515*K515,0)</x:f>
        <x:v>343</x:v>
      </x:c>
      <x:c r="Q515" s="19" t="str">
        <x:v>否</x:v>
      </x:c>
      <x:c r="R515" s="19" t="str"/>
      <x:c r="S515" s="19" t="n">
        <x:f>IF(Q515="是",0,MIN(10,2+IF(C515="高",2,1)+IF(K515&gt;=3%,3,IF(K515&gt;=1%,2,1))+IF(L515="新出现",2,IF(M515&gt;=100%,3,IF(M515&gt;0,2,0)))))</x:f>
        <x:v>7</x:v>
      </x:c>
      <x:c r="T515" s="21"/>
      <x:c r="U515" s="20"/>
      <x:c r="V515" s="19" t="str">
        <x:v>http://guns.lol/</x:v>
      </x:c>
      <x:c r="W515" s="19" t="str">
        <x:v>https://pro.similarweb.com/#/digitalsuite/websiteanalysis/referrals/*/999/1m?webSource=Total&amp;selectedTab=incomingTraffic&amp;key=lemonsqueezy.com</x:v>
      </x:c>
      <x:c r="X515" s="20" t="n">
        <x:f>IF(Q515="是",0,IFERROR(P515/SUMIFS($P$2:$P$964,$A$2:$A$964,A515,$Q$2:$Q$964,"否"),0))</x:f>
        <x:v>0.004732209376120968</x:v>
      </x:c>
      <x:c r="Y515" s="22" t="str">
        <x:f>IF(OR(M515="",U515=""),"未交叉",IF(M515*U515&gt;0,"同向",IF(M515*U515&lt;0,"背离","一侧持平")))</x:f>
        <x:v>未交叉</x:v>
      </x:c>
    </x:row>
    <x:row r="516">
      <x:c r="A516" s="18" t="str">
        <x:v>lemonsqueezy.com</x:v>
      </x:c>
      <x:c r="B516" s="19" t="str">
        <x:v>支付商主域（混合流量）</x:v>
      </x:c>
      <x:c r="C516" s="19" t="str">
        <x:v>中</x:v>
      </x:c>
      <x:c r="D516" s="19" t="str">
        <x:v>Jul 2026</x:v>
      </x:c>
      <x:c r="E516" s="19" t="n">
        <x:v>73</x:v>
      </x:c>
      <x:c r="F516" s="19" t="str">
        <x:v>app.canvid.com</x:v>
      </x:c>
      <x:c r="G516" s="19" t="str">
        <x:v>Programming and Developer Software</x:v>
      </x:c>
      <x:c r="H516" s="19" t="str">
        <x:v>开发者工具与互联网基础设施</x:v>
      </x:c>
      <x:c r="I516" s="19" t="str">
        <x:v>Similarweb 行业映射</x:v>
      </x:c>
      <x:c r="J516" s="19"/>
      <x:c r="K516" s="20" t="n">
        <x:v>0.0027</x:v>
      </x:c>
      <x:c r="L516" s="19" t="str">
        <x:v>新出现</x:v>
      </x:c>
      <x:c r="M516" s="20"/>
      <x:c r="N516" s="21" t="n">
        <x:v>126914</x:v>
      </x:c>
      <x:c r="O516" s="21" t="n">
        <x:v>343</x:v>
      </x:c>
      <x:c r="P516" s="21" t="n">
        <x:f>ROUND(N516*K516,0)</x:f>
        <x:v>343</x:v>
      </x:c>
      <x:c r="Q516" s="19" t="str">
        <x:v>否</x:v>
      </x:c>
      <x:c r="R516" s="19" t="str"/>
      <x:c r="S516" s="19" t="n">
        <x:f>IF(Q516="是",0,MIN(10,2+IF(C516="高",2,1)+IF(K516&gt;=3%,3,IF(K516&gt;=1%,2,1))+IF(L516="新出现",2,IF(M516&gt;=100%,3,IF(M516&gt;0,2,0)))))</x:f>
        <x:v>6</x:v>
      </x:c>
      <x:c r="T516" s="21"/>
      <x:c r="U516" s="20"/>
      <x:c r="V516" s="19" t="str">
        <x:v>http://app.canvid.com/</x:v>
      </x:c>
      <x:c r="W516" s="19" t="str">
        <x:v>https://pro.similarweb.com/#/digitalsuite/websiteanalysis/referrals/*/999/1m?webSource=Total&amp;selectedTab=incomingTraffic&amp;key=lemonsqueezy.com</x:v>
      </x:c>
      <x:c r="X516" s="20" t="n">
        <x:f>IF(Q516="是",0,IFERROR(P516/SUMIFS($P$2:$P$964,$A$2:$A$964,A516,$Q$2:$Q$964,"否"),0))</x:f>
        <x:v>0.004732209376120968</x:v>
      </x:c>
      <x:c r="Y516" s="22" t="str">
        <x:f>IF(OR(M516="",U516=""),"未交叉",IF(M516*U516&gt;0,"同向",IF(M516*U516&lt;0,"背离","一侧持平")))</x:f>
        <x:v>未交叉</x:v>
      </x:c>
    </x:row>
    <x:row r="517">
      <x:c r="A517" s="18" t="str">
        <x:v>lemonsqueezy.com</x:v>
      </x:c>
      <x:c r="B517" s="19" t="str">
        <x:v>支付商主域（混合流量）</x:v>
      </x:c>
      <x:c r="C517" s="19" t="str">
        <x:v>中</x:v>
      </x:c>
      <x:c r="D517" s="19" t="str">
        <x:v>Jul 2026</x:v>
      </x:c>
      <x:c r="E517" s="19" t="n">
        <x:v>74</x:v>
      </x:c>
      <x:c r="F517" s="19" t="str">
        <x:v>bertomaudio.com</x:v>
      </x:c>
      <x:c r="G517" s="19" t="str">
        <x:v>Music</x:v>
      </x:c>
      <x:c r="H517" s="19" t="str">
        <x:v>创作、设计与多媒体工具</x:v>
      </x:c>
      <x:c r="I517" s="19" t="str">
        <x:v>Similarweb 行业映射</x:v>
      </x:c>
      <x:c r="J517" s="19" t="n">
        <x:v>700220</x:v>
      </x:c>
      <x:c r="K517" s="20" t="n">
        <x:v>0.0026</x:v>
      </x:c>
      <x:c r="L517" s="19" t="str">
        <x:v>下降</x:v>
      </x:c>
      <x:c r="M517" s="20" t="n">
        <x:v>-0.633</x:v>
      </x:c>
      <x:c r="N517" s="21" t="n">
        <x:v>126914</x:v>
      </x:c>
      <x:c r="O517" s="21" t="n">
        <x:v>330</x:v>
      </x:c>
      <x:c r="P517" s="21" t="n">
        <x:f>ROUND(N517*K517,0)</x:f>
        <x:v>330</x:v>
      </x:c>
      <x:c r="Q517" s="19" t="str">
        <x:v>否</x:v>
      </x:c>
      <x:c r="R517" s="19" t="str"/>
      <x:c r="S517" s="19" t="n">
        <x:f>IF(Q517="是",0,MIN(10,2+IF(C517="高",2,1)+IF(K517&gt;=3%,3,IF(K517&gt;=1%,2,1))+IF(L517="新出现",2,IF(M517&gt;=100%,3,IF(M517&gt;0,2,0)))))</x:f>
        <x:v>4</x:v>
      </x:c>
      <x:c r="T517" s="21"/>
      <x:c r="U517" s="20"/>
      <x:c r="V517" s="19" t="str">
        <x:v>http://bertomaudio.com/</x:v>
      </x:c>
      <x:c r="W517" s="19" t="str">
        <x:v>https://pro.similarweb.com/#/digitalsuite/websiteanalysis/referrals/*/999/1m?webSource=Total&amp;selectedTab=incomingTraffic&amp;key=lemonsqueezy.com</x:v>
      </x:c>
      <x:c r="X517" s="20" t="n">
        <x:f>IF(Q517="是",0,IFERROR(P517/SUMIFS($P$2:$P$964,$A$2:$A$964,A517,$Q$2:$Q$964,"否"),0))</x:f>
        <x:v>0.004552854501807345</x:v>
      </x:c>
      <x:c r="Y517" s="22" t="str">
        <x:f>IF(OR(M517="",U517=""),"未交叉",IF(M517*U517&gt;0,"同向",IF(M517*U517&lt;0,"背离","一侧持平")))</x:f>
        <x:v>未交叉</x:v>
      </x:c>
    </x:row>
    <x:row r="518">
      <x:c r="A518" s="18" t="str">
        <x:v>lemonsqueezy.com</x:v>
      </x:c>
      <x:c r="B518" s="19" t="str">
        <x:v>支付商主域（混合流量）</x:v>
      </x:c>
      <x:c r="C518" s="19" t="str">
        <x:v>中</x:v>
      </x:c>
      <x:c r="D518" s="19" t="str">
        <x:v>Jul 2026</x:v>
      </x:c>
      <x:c r="E518" s="19" t="n">
        <x:v>75</x:v>
      </x:c>
      <x:c r="F518" s="19" t="str">
        <x:v>forum.ripper.store</x:v>
      </x:c>
      <x:c r="G518" s="19" t="str">
        <x:v>Video Games Consoles and Accessories</x:v>
      </x:c>
      <x:c r="H518" s="19" t="str">
        <x:v>游戏、数字商品与虚拟内容</x:v>
      </x:c>
      <x:c r="I518" s="19" t="str">
        <x:v>Similarweb 行业映射</x:v>
      </x:c>
      <x:c r="J518" s="19"/>
      <x:c r="K518" s="20" t="n">
        <x:v>0.0026</x:v>
      </x:c>
      <x:c r="L518" s="19" t="str">
        <x:v>上升</x:v>
      </x:c>
      <x:c r="M518" s="20" t="n">
        <x:v>0.11</x:v>
      </x:c>
      <x:c r="N518" s="21" t="n">
        <x:v>126914</x:v>
      </x:c>
      <x:c r="O518" s="21" t="n">
        <x:v>330</x:v>
      </x:c>
      <x:c r="P518" s="21" t="n">
        <x:f>ROUND(N518*K518,0)</x:f>
        <x:v>330</x:v>
      </x:c>
      <x:c r="Q518" s="19" t="str">
        <x:v>否</x:v>
      </x:c>
      <x:c r="R518" s="19" t="str"/>
      <x:c r="S518" s="19" t="n">
        <x:f>IF(Q518="是",0,MIN(10,2+IF(C518="高",2,1)+IF(K518&gt;=3%,3,IF(K518&gt;=1%,2,1))+IF(L518="新出现",2,IF(M518&gt;=100%,3,IF(M518&gt;0,2,0)))))</x:f>
        <x:v>6</x:v>
      </x:c>
      <x:c r="T518" s="21"/>
      <x:c r="U518" s="20"/>
      <x:c r="V518" s="19" t="str">
        <x:v>http://forum.ripper.store/</x:v>
      </x:c>
      <x:c r="W518" s="19" t="str">
        <x:v>https://pro.similarweb.com/#/digitalsuite/websiteanalysis/referrals/*/999/1m?webSource=Total&amp;selectedTab=incomingTraffic&amp;key=lemonsqueezy.com</x:v>
      </x:c>
      <x:c r="X518" s="20" t="n">
        <x:f>IF(Q518="是",0,IFERROR(P518/SUMIFS($P$2:$P$964,$A$2:$A$964,A518,$Q$2:$Q$964,"否"),0))</x:f>
        <x:v>0.004552854501807345</x:v>
      </x:c>
      <x:c r="Y518" s="22" t="str">
        <x:f>IF(OR(M518="",U518=""),"未交叉",IF(M518*U518&gt;0,"同向",IF(M518*U518&lt;0,"背离","一侧持平")))</x:f>
        <x:v>未交叉</x:v>
      </x:c>
    </x:row>
    <x:row r="519">
      <x:c r="A519" s="18" t="str">
        <x:v>lemonsqueezy.com</x:v>
      </x:c>
      <x:c r="B519" s="19" t="str">
        <x:v>支付商主域（混合流量）</x:v>
      </x:c>
      <x:c r="C519" s="19" t="str">
        <x:v>中</x:v>
      </x:c>
      <x:c r="D519" s="19" t="str">
        <x:v>Jul 2026</x:v>
      </x:c>
      <x:c r="E519" s="19" t="n">
        <x:v>76</x:v>
      </x:c>
      <x:c r="F519" s="19" t="str">
        <x:v>findmyaitool.com</x:v>
      </x:c>
      <x:c r="G519" s="19" t="str">
        <x:v>Computers Electronics and Technology</x:v>
      </x:c>
      <x:c r="H519" s="19" t="str">
        <x:v>通用数字产品与技术服务</x:v>
      </x:c>
      <x:c r="I519" s="19" t="str">
        <x:v>Similarweb 行业映射</x:v>
      </x:c>
      <x:c r="J519" s="19" t="n">
        <x:v>1064276</x:v>
      </x:c>
      <x:c r="K519" s="20" t="n">
        <x:v>0.0025</x:v>
      </x:c>
      <x:c r="L519" s="19" t="str">
        <x:v>新出现</x:v>
      </x:c>
      <x:c r="M519" s="20"/>
      <x:c r="N519" s="21" t="n">
        <x:v>126914</x:v>
      </x:c>
      <x:c r="O519" s="21" t="n">
        <x:v>317</x:v>
      </x:c>
      <x:c r="P519" s="21" t="n">
        <x:f>ROUND(N519*K519,0)</x:f>
        <x:v>317</x:v>
      </x:c>
      <x:c r="Q519" s="19" t="str">
        <x:v>否</x:v>
      </x:c>
      <x:c r="R519" s="19" t="str"/>
      <x:c r="S519" s="19" t="n">
        <x:f>IF(Q519="是",0,MIN(10,2+IF(C519="高",2,1)+IF(K519&gt;=3%,3,IF(K519&gt;=1%,2,1))+IF(L519="新出现",2,IF(M519&gt;=100%,3,IF(M519&gt;0,2,0)))))</x:f>
        <x:v>6</x:v>
      </x:c>
      <x:c r="T519" s="21"/>
      <x:c r="U519" s="20"/>
      <x:c r="V519" s="19" t="str">
        <x:v>http://findmyaitool.com/</x:v>
      </x:c>
      <x:c r="W519" s="19" t="str">
        <x:v>https://pro.similarweb.com/#/digitalsuite/websiteanalysis/referrals/*/999/1m?webSource=Total&amp;selectedTab=incomingTraffic&amp;key=lemonsqueezy.com</x:v>
      </x:c>
      <x:c r="X519" s="20" t="n">
        <x:f>IF(Q519="是",0,IFERROR(P519/SUMIFS($P$2:$P$964,$A$2:$A$964,A519,$Q$2:$Q$964,"否"),0))</x:f>
        <x:v>0.004373499627493722</x:v>
      </x:c>
      <x:c r="Y519" s="22" t="str">
        <x:f>IF(OR(M519="",U519=""),"未交叉",IF(M519*U519&gt;0,"同向",IF(M519*U519&lt;0,"背离","一侧持平")))</x:f>
        <x:v>未交叉</x:v>
      </x:c>
    </x:row>
    <x:row r="520">
      <x:c r="A520" s="18" t="str">
        <x:v>lemonsqueezy.com</x:v>
      </x:c>
      <x:c r="B520" s="19" t="str">
        <x:v>支付商主域（混合流量）</x:v>
      </x:c>
      <x:c r="C520" s="19" t="str">
        <x:v>中</x:v>
      </x:c>
      <x:c r="D520" s="19" t="str">
        <x:v>Jul 2026</x:v>
      </x:c>
      <x:c r="E520" s="19" t="n">
        <x:v>77</x:v>
      </x:c>
      <x:c r="F520" s="19" t="str">
        <x:v>clickpilot.app</x:v>
      </x:c>
      <x:c r="G520" s="19" t="str">
        <x:v>Graphics Multimedia and Web Design</x:v>
      </x:c>
      <x:c r="H520" s="19" t="str">
        <x:v>创作、设计与多媒体工具</x:v>
      </x:c>
      <x:c r="I520" s="19" t="str">
        <x:v>Similarweb 行业映射</x:v>
      </x:c>
      <x:c r="J520" s="19" t="n">
        <x:v>1373518</x:v>
      </x:c>
      <x:c r="K520" s="20" t="n">
        <x:v>0.0025</x:v>
      </x:c>
      <x:c r="L520" s="19" t="str">
        <x:v>上升</x:v>
      </x:c>
      <x:c r="M520" s="20" t="n">
        <x:v>0.249</x:v>
      </x:c>
      <x:c r="N520" s="21" t="n">
        <x:v>126914</x:v>
      </x:c>
      <x:c r="O520" s="21" t="n">
        <x:v>317</x:v>
      </x:c>
      <x:c r="P520" s="21" t="n">
        <x:f>ROUND(N520*K520,0)</x:f>
        <x:v>317</x:v>
      </x:c>
      <x:c r="Q520" s="19" t="str">
        <x:v>否</x:v>
      </x:c>
      <x:c r="R520" s="19" t="str"/>
      <x:c r="S520" s="19" t="n">
        <x:f>IF(Q520="是",0,MIN(10,2+IF(C520="高",2,1)+IF(K520&gt;=3%,3,IF(K520&gt;=1%,2,1))+IF(L520="新出现",2,IF(M520&gt;=100%,3,IF(M520&gt;0,2,0)))))</x:f>
        <x:v>6</x:v>
      </x:c>
      <x:c r="T520" s="21"/>
      <x:c r="U520" s="20"/>
      <x:c r="V520" s="19" t="str">
        <x:v>http://clickpilot.app/</x:v>
      </x:c>
      <x:c r="W520" s="19" t="str">
        <x:v>https://pro.similarweb.com/#/digitalsuite/websiteanalysis/referrals/*/999/1m?webSource=Total&amp;selectedTab=incomingTraffic&amp;key=lemonsqueezy.com</x:v>
      </x:c>
      <x:c r="X520" s="20" t="n">
        <x:f>IF(Q520="是",0,IFERROR(P520/SUMIFS($P$2:$P$964,$A$2:$A$964,A520,$Q$2:$Q$964,"否"),0))</x:f>
        <x:v>0.004373499627493722</x:v>
      </x:c>
      <x:c r="Y520" s="22" t="str">
        <x:f>IF(OR(M520="",U520=""),"未交叉",IF(M520*U520&gt;0,"同向",IF(M520*U520&lt;0,"背离","一侧持平")))</x:f>
        <x:v>未交叉</x:v>
      </x:c>
    </x:row>
    <x:row r="521">
      <x:c r="A521" s="18" t="str">
        <x:v>lemonsqueezy.com</x:v>
      </x:c>
      <x:c r="B521" s="19" t="str">
        <x:v>支付商主域（混合流量）</x:v>
      </x:c>
      <x:c r="C521" s="19" t="str">
        <x:v>中</x:v>
      </x:c>
      <x:c r="D521" s="19" t="str">
        <x:v>Jul 2026</x:v>
      </x:c>
      <x:c r="E521" s="19" t="n">
        <x:v>78</x:v>
      </x:c>
      <x:c r="F521" s="19" t="str">
        <x:v>kineticstudio.com</x:v>
      </x:c>
      <x:c r="G521" s="19" t="str">
        <x:v>Unknown</x:v>
      </x:c>
      <x:c r="H521" s="19" t="str">
        <x:v>其他/待核查</x:v>
      </x:c>
      <x:c r="I521" s="19" t="str">
        <x:v>Similarweb 未分类</x:v>
      </x:c>
      <x:c r="J521" s="19" t="n">
        <x:v>5760932</x:v>
      </x:c>
      <x:c r="K521" s="20" t="n">
        <x:v>0.0025</x:v>
      </x:c>
      <x:c r="L521" s="19" t="str">
        <x:v>上升</x:v>
      </x:c>
      <x:c r="M521" s="20" t="n">
        <x:v>0.3095</x:v>
      </x:c>
      <x:c r="N521" s="21" t="n">
        <x:v>126914</x:v>
      </x:c>
      <x:c r="O521" s="21" t="n">
        <x:v>317</x:v>
      </x:c>
      <x:c r="P521" s="21" t="n">
        <x:f>ROUND(N521*K521,0)</x:f>
        <x:v>317</x:v>
      </x:c>
      <x:c r="Q521" s="19" t="str">
        <x:v>否</x:v>
      </x:c>
      <x:c r="R521" s="19" t="str"/>
      <x:c r="S521" s="19" t="n">
        <x:f>IF(Q521="是",0,MIN(10,2+IF(C521="高",2,1)+IF(K521&gt;=3%,3,IF(K521&gt;=1%,2,1))+IF(L521="新出现",2,IF(M521&gt;=100%,3,IF(M521&gt;0,2,0)))))</x:f>
        <x:v>6</x:v>
      </x:c>
      <x:c r="T521" s="21"/>
      <x:c r="U521" s="20"/>
      <x:c r="V521" s="19" t="str">
        <x:v>http://kineticstudio.com/</x:v>
      </x:c>
      <x:c r="W521" s="19" t="str">
        <x:v>https://pro.similarweb.com/#/digitalsuite/websiteanalysis/referrals/*/999/1m?webSource=Total&amp;selectedTab=incomingTraffic&amp;key=lemonsqueezy.com</x:v>
      </x:c>
      <x:c r="X521" s="20" t="n">
        <x:f>IF(Q521="是",0,IFERROR(P521/SUMIFS($P$2:$P$964,$A$2:$A$964,A521,$Q$2:$Q$964,"否"),0))</x:f>
        <x:v>0.004373499627493722</x:v>
      </x:c>
      <x:c r="Y521" s="22" t="str">
        <x:f>IF(OR(M521="",U521=""),"未交叉",IF(M521*U521&gt;0,"同向",IF(M521*U521&lt;0,"背离","一侧持平")))</x:f>
        <x:v>未交叉</x:v>
      </x:c>
    </x:row>
    <x:row r="522">
      <x:c r="A522" s="18" t="str">
        <x:v>lemonsqueezy.com</x:v>
      </x:c>
      <x:c r="B522" s="19" t="str">
        <x:v>支付商主域（混合流量）</x:v>
      </x:c>
      <x:c r="C522" s="19" t="str">
        <x:v>中</x:v>
      </x:c>
      <x:c r="D522" s="19" t="str">
        <x:v>Jul 2026</x:v>
      </x:c>
      <x:c r="E522" s="19" t="n">
        <x:v>79</x:v>
      </x:c>
      <x:c r="F522" s="19" t="str">
        <x:v>remocate.app</x:v>
      </x:c>
      <x:c r="G522" s="19" t="str">
        <x:v>Jobs and Employment</x:v>
      </x:c>
      <x:c r="H522" s="19" t="str">
        <x:v>营销、生产力与商业服务</x:v>
      </x:c>
      <x:c r="I522" s="19" t="str">
        <x:v>Similarweb 行业映射</x:v>
      </x:c>
      <x:c r="J522" s="19" t="n">
        <x:v>276761</x:v>
      </x:c>
      <x:c r="K522" s="20" t="n">
        <x:v>0.0025</x:v>
      </x:c>
      <x:c r="L522" s="19" t="str">
        <x:v>新出现</x:v>
      </x:c>
      <x:c r="M522" s="20"/>
      <x:c r="N522" s="21" t="n">
        <x:v>126914</x:v>
      </x:c>
      <x:c r="O522" s="21" t="n">
        <x:v>317</x:v>
      </x:c>
      <x:c r="P522" s="21" t="n">
        <x:f>ROUND(N522*K522,0)</x:f>
        <x:v>317</x:v>
      </x:c>
      <x:c r="Q522" s="19" t="str">
        <x:v>否</x:v>
      </x:c>
      <x:c r="R522" s="19" t="str"/>
      <x:c r="S522" s="19" t="n">
        <x:f>IF(Q522="是",0,MIN(10,2+IF(C522="高",2,1)+IF(K522&gt;=3%,3,IF(K522&gt;=1%,2,1))+IF(L522="新出现",2,IF(M522&gt;=100%,3,IF(M522&gt;0,2,0)))))</x:f>
        <x:v>6</x:v>
      </x:c>
      <x:c r="T522" s="21"/>
      <x:c r="U522" s="20"/>
      <x:c r="V522" s="19" t="str">
        <x:v>http://remocate.app/</x:v>
      </x:c>
      <x:c r="W522" s="19" t="str">
        <x:v>https://pro.similarweb.com/#/digitalsuite/websiteanalysis/referrals/*/999/1m?webSource=Total&amp;selectedTab=incomingTraffic&amp;key=lemonsqueezy.com</x:v>
      </x:c>
      <x:c r="X522" s="20" t="n">
        <x:f>IF(Q522="是",0,IFERROR(P522/SUMIFS($P$2:$P$964,$A$2:$A$964,A522,$Q$2:$Q$964,"否"),0))</x:f>
        <x:v>0.004373499627493722</x:v>
      </x:c>
      <x:c r="Y522" s="22" t="str">
        <x:f>IF(OR(M522="",U522=""),"未交叉",IF(M522*U522&gt;0,"同向",IF(M522*U522&lt;0,"背离","一侧持平")))</x:f>
        <x:v>未交叉</x:v>
      </x:c>
    </x:row>
    <x:row r="523">
      <x:c r="A523" s="18" t="str">
        <x:v>lemonsqueezy.com</x:v>
      </x:c>
      <x:c r="B523" s="19" t="str">
        <x:v>支付商主域（混合流量）</x:v>
      </x:c>
      <x:c r="C523" s="19" t="str">
        <x:v>中</x:v>
      </x:c>
      <x:c r="D523" s="19" t="str">
        <x:v>Jul 2026</x:v>
      </x:c>
      <x:c r="E523" s="19" t="n">
        <x:v>80</x:v>
      </x:c>
      <x:c r="F523" s="19" t="str">
        <x:v>pinannotator.com</x:v>
      </x:c>
      <x:c r="G523" s="19" t="str">
        <x:v>Unknown</x:v>
      </x:c>
      <x:c r="H523" s="19" t="str">
        <x:v>其他/待核查</x:v>
      </x:c>
      <x:c r="I523" s="19" t="str">
        <x:v>Similarweb 未分类</x:v>
      </x:c>
      <x:c r="J523" s="19"/>
      <x:c r="K523" s="20" t="n">
        <x:v>0.0025</x:v>
      </x:c>
      <x:c r="L523" s="19" t="str">
        <x:v>新出现</x:v>
      </x:c>
      <x:c r="M523" s="20"/>
      <x:c r="N523" s="21" t="n">
        <x:v>126914</x:v>
      </x:c>
      <x:c r="O523" s="21" t="n">
        <x:v>317</x:v>
      </x:c>
      <x:c r="P523" s="21" t="n">
        <x:f>ROUND(N523*K523,0)</x:f>
        <x:v>317</x:v>
      </x:c>
      <x:c r="Q523" s="19" t="str">
        <x:v>否</x:v>
      </x:c>
      <x:c r="R523" s="19" t="str"/>
      <x:c r="S523" s="19" t="n">
        <x:f>IF(Q523="是",0,MIN(10,2+IF(C523="高",2,1)+IF(K523&gt;=3%,3,IF(K523&gt;=1%,2,1))+IF(L523="新出现",2,IF(M523&gt;=100%,3,IF(M523&gt;0,2,0)))))</x:f>
        <x:v>6</x:v>
      </x:c>
      <x:c r="T523" s="21"/>
      <x:c r="U523" s="20"/>
      <x:c r="V523" s="19" t="str">
        <x:v>http://pinannotator.com/</x:v>
      </x:c>
      <x:c r="W523" s="19" t="str">
        <x:v>https://pro.similarweb.com/#/digitalsuite/websiteanalysis/referrals/*/999/1m?webSource=Total&amp;selectedTab=incomingTraffic&amp;key=lemonsqueezy.com</x:v>
      </x:c>
      <x:c r="X523" s="20" t="n">
        <x:f>IF(Q523="是",0,IFERROR(P523/SUMIFS($P$2:$P$964,$A$2:$A$964,A523,$Q$2:$Q$964,"否"),0))</x:f>
        <x:v>0.004373499627493722</x:v>
      </x:c>
      <x:c r="Y523" s="22" t="str">
        <x:f>IF(OR(M523="",U523=""),"未交叉",IF(M523*U523&gt;0,"同向",IF(M523*U523&lt;0,"背离","一侧持平")))</x:f>
        <x:v>未交叉</x:v>
      </x:c>
    </x:row>
    <x:row r="524">
      <x:c r="A524" s="18" t="str">
        <x:v>lemonsqueezy.com</x:v>
      </x:c>
      <x:c r="B524" s="19" t="str">
        <x:v>支付商主域（混合流量）</x:v>
      </x:c>
      <x:c r="C524" s="19" t="str">
        <x:v>中</x:v>
      </x:c>
      <x:c r="D524" s="19" t="str">
        <x:v>Jul 2026</x:v>
      </x:c>
      <x:c r="E524" s="19" t="n">
        <x:v>81</x:v>
      </x:c>
      <x:c r="F524" s="19" t="str">
        <x:v>autopod.fm</x:v>
      </x:c>
      <x:c r="G524" s="19" t="str">
        <x:v>Graphics Multimedia and Web Design</x:v>
      </x:c>
      <x:c r="H524" s="19" t="str">
        <x:v>创作、设计与多媒体工具</x:v>
      </x:c>
      <x:c r="I524" s="19" t="str">
        <x:v>Similarweb 行业映射</x:v>
      </x:c>
      <x:c r="J524" s="19" t="n">
        <x:v>536423</x:v>
      </x:c>
      <x:c r="K524" s="20" t="n">
        <x:v>0.0024</x:v>
      </x:c>
      <x:c r="L524" s="19" t="str">
        <x:v>上升</x:v>
      </x:c>
      <x:c r="M524" s="20" t="n">
        <x:v>0.6598999999999999</x:v>
      </x:c>
      <x:c r="N524" s="21" t="n">
        <x:v>126914</x:v>
      </x:c>
      <x:c r="O524" s="21" t="n">
        <x:v>305</x:v>
      </x:c>
      <x:c r="P524" s="21" t="n">
        <x:f>ROUND(N524*K524,0)</x:f>
        <x:v>305</x:v>
      </x:c>
      <x:c r="Q524" s="19" t="str">
        <x:v>否</x:v>
      </x:c>
      <x:c r="R524" s="19" t="str"/>
      <x:c r="S524" s="19" t="n">
        <x:f>IF(Q524="是",0,MIN(10,2+IF(C524="高",2,1)+IF(K524&gt;=3%,3,IF(K524&gt;=1%,2,1))+IF(L524="新出现",2,IF(M524&gt;=100%,3,IF(M524&gt;0,2,0)))))</x:f>
        <x:v>6</x:v>
      </x:c>
      <x:c r="T524" s="21"/>
      <x:c r="U524" s="20"/>
      <x:c r="V524" s="19" t="str">
        <x:v>http://autopod.fm/</x:v>
      </x:c>
      <x:c r="W524" s="19" t="str">
        <x:v>https://pro.similarweb.com/#/digitalsuite/websiteanalysis/referrals/*/999/1m?webSource=Total&amp;selectedTab=incomingTraffic&amp;key=lemonsqueezy.com</x:v>
      </x:c>
      <x:c r="X524" s="20" t="n">
        <x:f>IF(Q524="是",0,IFERROR(P524/SUMIFS($P$2:$P$964,$A$2:$A$964,A524,$Q$2:$Q$964,"否"),0))</x:f>
        <x:v>0.004207941281973456</x:v>
      </x:c>
      <x:c r="Y524" s="22" t="str">
        <x:f>IF(OR(M524="",U524=""),"未交叉",IF(M524*U524&gt;0,"同向",IF(M524*U524&lt;0,"背离","一侧持平")))</x:f>
        <x:v>未交叉</x:v>
      </x:c>
    </x:row>
    <x:row r="525">
      <x:c r="A525" s="18" t="str">
        <x:v>lemonsqueezy.com</x:v>
      </x:c>
      <x:c r="B525" s="19" t="str">
        <x:v>支付商主域（混合流量）</x:v>
      </x:c>
      <x:c r="C525" s="19" t="str">
        <x:v>中</x:v>
      </x:c>
      <x:c r="D525" s="19" t="str">
        <x:v>Jul 2026</x:v>
      </x:c>
      <x:c r="E525" s="19" t="n">
        <x:v>82</x:v>
      </x:c>
      <x:c r="F525" s="19" t="str">
        <x:v>theresanaiforthat.com</x:v>
      </x:c>
      <x:c r="G525" s="19" t="str">
        <x:v>Computers Electronics and Technology</x:v>
      </x:c>
      <x:c r="H525" s="19" t="str">
        <x:v>通用数字产品与技术服务</x:v>
      </x:c>
      <x:c r="I525" s="19" t="str">
        <x:v>Similarweb 行业映射</x:v>
      </x:c>
      <x:c r="J525" s="19" t="n">
        <x:v>10280</x:v>
      </x:c>
      <x:c r="K525" s="20" t="n">
        <x:v>0.0024</x:v>
      </x:c>
      <x:c r="L525" s="19" t="str">
        <x:v>新出现</x:v>
      </x:c>
      <x:c r="M525" s="20"/>
      <x:c r="N525" s="21" t="n">
        <x:v>126914</x:v>
      </x:c>
      <x:c r="O525" s="21" t="n">
        <x:v>305</x:v>
      </x:c>
      <x:c r="P525" s="21" t="n">
        <x:f>ROUND(N525*K525,0)</x:f>
        <x:v>305</x:v>
      </x:c>
      <x:c r="Q525" s="19" t="str">
        <x:v>否</x:v>
      </x:c>
      <x:c r="R525" s="19" t="str"/>
      <x:c r="S525" s="19" t="n">
        <x:f>IF(Q525="是",0,MIN(10,2+IF(C525="高",2,1)+IF(K525&gt;=3%,3,IF(K525&gt;=1%,2,1))+IF(L525="新出现",2,IF(M525&gt;=100%,3,IF(M525&gt;0,2,0)))))</x:f>
        <x:v>6</x:v>
      </x:c>
      <x:c r="T525" s="21"/>
      <x:c r="U525" s="20"/>
      <x:c r="V525" s="19" t="str">
        <x:v>http://theresanaiforthat.com/</x:v>
      </x:c>
      <x:c r="W525" s="19" t="str">
        <x:v>https://pro.similarweb.com/#/digitalsuite/websiteanalysis/referrals/*/999/1m?webSource=Total&amp;selectedTab=incomingTraffic&amp;key=lemonsqueezy.com</x:v>
      </x:c>
      <x:c r="X525" s="20" t="n">
        <x:f>IF(Q525="是",0,IFERROR(P525/SUMIFS($P$2:$P$964,$A$2:$A$964,A525,$Q$2:$Q$964,"否"),0))</x:f>
        <x:v>0.004207941281973456</x:v>
      </x:c>
      <x:c r="Y525" s="22" t="str">
        <x:f>IF(OR(M525="",U525=""),"未交叉",IF(M525*U525&gt;0,"同向",IF(M525*U525&lt;0,"背离","一侧持平")))</x:f>
        <x:v>未交叉</x:v>
      </x:c>
    </x:row>
    <x:row r="526">
      <x:c r="A526" s="18" t="str">
        <x:v>lemonsqueezy.com</x:v>
      </x:c>
      <x:c r="B526" s="19" t="str">
        <x:v>支付商主域（混合流量）</x:v>
      </x:c>
      <x:c r="C526" s="19" t="str">
        <x:v>中</x:v>
      </x:c>
      <x:c r="D526" s="19" t="str">
        <x:v>Jul 2026</x:v>
      </x:c>
      <x:c r="E526" s="19" t="n">
        <x:v>83</x:v>
      </x:c>
      <x:c r="F526" s="19" t="str">
        <x:v>quantchartsllc.com</x:v>
      </x:c>
      <x:c r="G526" s="19" t="str">
        <x:v>Unknown</x:v>
      </x:c>
      <x:c r="H526" s="19" t="str">
        <x:v>其他/待核查</x:v>
      </x:c>
      <x:c r="I526" s="19" t="str">
        <x:v>Similarweb 未分类</x:v>
      </x:c>
      <x:c r="J526" s="19"/>
      <x:c r="K526" s="20" t="n">
        <x:v>0.0024</x:v>
      </x:c>
      <x:c r="L526" s="19" t="str">
        <x:v>下降</x:v>
      </x:c>
      <x:c r="M526" s="20" t="n">
        <x:v>-0.5690999999999999</x:v>
      </x:c>
      <x:c r="N526" s="21" t="n">
        <x:v>126914</x:v>
      </x:c>
      <x:c r="O526" s="21" t="n">
        <x:v>305</x:v>
      </x:c>
      <x:c r="P526" s="21" t="n">
        <x:f>ROUND(N526*K526,0)</x:f>
        <x:v>305</x:v>
      </x:c>
      <x:c r="Q526" s="19" t="str">
        <x:v>否</x:v>
      </x:c>
      <x:c r="R526" s="19" t="str"/>
      <x:c r="S526" s="19" t="n">
        <x:f>IF(Q526="是",0,MIN(10,2+IF(C526="高",2,1)+IF(K526&gt;=3%,3,IF(K526&gt;=1%,2,1))+IF(L526="新出现",2,IF(M526&gt;=100%,3,IF(M526&gt;0,2,0)))))</x:f>
        <x:v>4</x:v>
      </x:c>
      <x:c r="T526" s="21"/>
      <x:c r="U526" s="20"/>
      <x:c r="V526" s="19" t="str">
        <x:v>http://quantchartsllc.com/</x:v>
      </x:c>
      <x:c r="W526" s="19" t="str">
        <x:v>https://pro.similarweb.com/#/digitalsuite/websiteanalysis/referrals/*/999/1m?webSource=Total&amp;selectedTab=incomingTraffic&amp;key=lemonsqueezy.com</x:v>
      </x:c>
      <x:c r="X526" s="20" t="n">
        <x:f>IF(Q526="是",0,IFERROR(P526/SUMIFS($P$2:$P$964,$A$2:$A$964,A526,$Q$2:$Q$964,"否"),0))</x:f>
        <x:v>0.004207941281973456</x:v>
      </x:c>
      <x:c r="Y526" s="22" t="str">
        <x:f>IF(OR(M526="",U526=""),"未交叉",IF(M526*U526&gt;0,"同向",IF(M526*U526&lt;0,"背离","一侧持平")))</x:f>
        <x:v>未交叉</x:v>
      </x:c>
    </x:row>
    <x:row r="527">
      <x:c r="A527" s="18" t="str">
        <x:v>lemonsqueezy.com</x:v>
      </x:c>
      <x:c r="B527" s="19" t="str">
        <x:v>支付商主域（混合流量）</x:v>
      </x:c>
      <x:c r="C527" s="19" t="str">
        <x:v>中</x:v>
      </x:c>
      <x:c r="D527" s="19" t="str">
        <x:v>Jul 2026</x:v>
      </x:c>
      <x:c r="E527" s="19" t="n">
        <x:v>84</x:v>
      </x:c>
      <x:c r="F527" s="19" t="str">
        <x:v>oldguywoodworks.com</x:v>
      </x:c>
      <x:c r="G527" s="19" t="str">
        <x:v>Unknown</x:v>
      </x:c>
      <x:c r="H527" s="19" t="str">
        <x:v>其他/待核查</x:v>
      </x:c>
      <x:c r="I527" s="19" t="str">
        <x:v>Similarweb 未分类</x:v>
      </x:c>
      <x:c r="J527" s="19" t="n">
        <x:v>8268753</x:v>
      </x:c>
      <x:c r="K527" s="20" t="n">
        <x:v>0.0024</x:v>
      </x:c>
      <x:c r="L527" s="19" t="str">
        <x:v>新出现</x:v>
      </x:c>
      <x:c r="M527" s="20"/>
      <x:c r="N527" s="21" t="n">
        <x:v>126914</x:v>
      </x:c>
      <x:c r="O527" s="21" t="n">
        <x:v>305</x:v>
      </x:c>
      <x:c r="P527" s="21" t="n">
        <x:f>ROUND(N527*K527,0)</x:f>
        <x:v>305</x:v>
      </x:c>
      <x:c r="Q527" s="19" t="str">
        <x:v>否</x:v>
      </x:c>
      <x:c r="R527" s="19" t="str"/>
      <x:c r="S527" s="19" t="n">
        <x:f>IF(Q527="是",0,MIN(10,2+IF(C527="高",2,1)+IF(K527&gt;=3%,3,IF(K527&gt;=1%,2,1))+IF(L527="新出现",2,IF(M527&gt;=100%,3,IF(M527&gt;0,2,0)))))</x:f>
        <x:v>6</x:v>
      </x:c>
      <x:c r="T527" s="21"/>
      <x:c r="U527" s="20"/>
      <x:c r="V527" s="19" t="str">
        <x:v>http://oldguywoodworks.com/</x:v>
      </x:c>
      <x:c r="W527" s="19" t="str">
        <x:v>https://pro.similarweb.com/#/digitalsuite/websiteanalysis/referrals/*/999/1m?webSource=Total&amp;selectedTab=incomingTraffic&amp;key=lemonsqueezy.com</x:v>
      </x:c>
      <x:c r="X527" s="20" t="n">
        <x:f>IF(Q527="是",0,IFERROR(P527/SUMIFS($P$2:$P$964,$A$2:$A$964,A527,$Q$2:$Q$964,"否"),0))</x:f>
        <x:v>0.004207941281973456</x:v>
      </x:c>
      <x:c r="Y527" s="22" t="str">
        <x:f>IF(OR(M527="",U527=""),"未交叉",IF(M527*U527&gt;0,"同向",IF(M527*U527&lt;0,"背离","一侧持平")))</x:f>
        <x:v>未交叉</x:v>
      </x:c>
    </x:row>
    <x:row r="528">
      <x:c r="A528" s="18" t="str">
        <x:v>lemonsqueezy.com</x:v>
      </x:c>
      <x:c r="B528" s="19" t="str">
        <x:v>支付商主域（混合流量）</x:v>
      </x:c>
      <x:c r="C528" s="19" t="str">
        <x:v>中</x:v>
      </x:c>
      <x:c r="D528" s="19" t="str">
        <x:v>Jul 2026</x:v>
      </x:c>
      <x:c r="E528" s="19" t="n">
        <x:v>85</x:v>
      </x:c>
      <x:c r="F528" s="19" t="str">
        <x:v>store.shadcn.com</x:v>
      </x:c>
      <x:c r="G528" s="19" t="str">
        <x:v>Sports Betting</x:v>
      </x:c>
      <x:c r="H528" s="19" t="str">
        <x:v>健康、生活方式与消费服务</x:v>
      </x:c>
      <x:c r="I528" s="19" t="str">
        <x:v>Similarweb 行业映射</x:v>
      </x:c>
      <x:c r="J528" s="19"/>
      <x:c r="K528" s="20" t="n">
        <x:v>0.0024</x:v>
      </x:c>
      <x:c r="L528" s="19" t="str">
        <x:v>新出现</x:v>
      </x:c>
      <x:c r="M528" s="20"/>
      <x:c r="N528" s="21" t="n">
        <x:v>126914</x:v>
      </x:c>
      <x:c r="O528" s="21" t="n">
        <x:v>305</x:v>
      </x:c>
      <x:c r="P528" s="21" t="n">
        <x:f>ROUND(N528*K528,0)</x:f>
        <x:v>305</x:v>
      </x:c>
      <x:c r="Q528" s="19" t="str">
        <x:v>否</x:v>
      </x:c>
      <x:c r="R528" s="19" t="str"/>
      <x:c r="S528" s="19" t="n">
        <x:f>IF(Q528="是",0,MIN(10,2+IF(C528="高",2,1)+IF(K528&gt;=3%,3,IF(K528&gt;=1%,2,1))+IF(L528="新出现",2,IF(M528&gt;=100%,3,IF(M528&gt;0,2,0)))))</x:f>
        <x:v>6</x:v>
      </x:c>
      <x:c r="T528" s="21"/>
      <x:c r="U528" s="20"/>
      <x:c r="V528" s="19" t="str">
        <x:v>http://store.shadcn.com/</x:v>
      </x:c>
      <x:c r="W528" s="19" t="str">
        <x:v>https://pro.similarweb.com/#/digitalsuite/websiteanalysis/referrals/*/999/1m?webSource=Total&amp;selectedTab=incomingTraffic&amp;key=lemonsqueezy.com</x:v>
      </x:c>
      <x:c r="X528" s="20" t="n">
        <x:f>IF(Q528="是",0,IFERROR(P528/SUMIFS($P$2:$P$964,$A$2:$A$964,A528,$Q$2:$Q$964,"否"),0))</x:f>
        <x:v>0.004207941281973456</x:v>
      </x:c>
      <x:c r="Y528" s="22" t="str">
        <x:f>IF(OR(M528="",U528=""),"未交叉",IF(M528*U528&gt;0,"同向",IF(M528*U528&lt;0,"背离","一侧持平")))</x:f>
        <x:v>未交叉</x:v>
      </x:c>
    </x:row>
    <x:row r="529">
      <x:c r="A529" s="18" t="str">
        <x:v>lemonsqueezy.com</x:v>
      </x:c>
      <x:c r="B529" s="19" t="str">
        <x:v>支付商主域（混合流量）</x:v>
      </x:c>
      <x:c r="C529" s="19" t="str">
        <x:v>中</x:v>
      </x:c>
      <x:c r="D529" s="19" t="str">
        <x:v>Jul 2026</x:v>
      </x:c>
      <x:c r="E529" s="19" t="n">
        <x:v>86</x:v>
      </x:c>
      <x:c r="F529" s="19" t="str">
        <x:v>tryastro.app</x:v>
      </x:c>
      <x:c r="G529" s="19" t="str">
        <x:v>Graphics Multimedia and Web Design</x:v>
      </x:c>
      <x:c r="H529" s="19" t="str">
        <x:v>创作、设计与多媒体工具</x:v>
      </x:c>
      <x:c r="I529" s="19" t="str">
        <x:v>Similarweb 行业映射</x:v>
      </x:c>
      <x:c r="J529" s="19" t="n">
        <x:v>648785</x:v>
      </x:c>
      <x:c r="K529" s="20" t="n">
        <x:v>0.0024</x:v>
      </x:c>
      <x:c r="L529" s="19" t="str">
        <x:v>上升</x:v>
      </x:c>
      <x:c r="M529" s="20" t="n">
        <x:v>0.2853</x:v>
      </x:c>
      <x:c r="N529" s="21" t="n">
        <x:v>126914</x:v>
      </x:c>
      <x:c r="O529" s="21" t="n">
        <x:v>305</x:v>
      </x:c>
      <x:c r="P529" s="21" t="n">
        <x:f>ROUND(N529*K529,0)</x:f>
        <x:v>305</x:v>
      </x:c>
      <x:c r="Q529" s="19" t="str">
        <x:v>否</x:v>
      </x:c>
      <x:c r="R529" s="19" t="str"/>
      <x:c r="S529" s="19" t="n">
        <x:f>IF(Q529="是",0,MIN(10,2+IF(C529="高",2,1)+IF(K529&gt;=3%,3,IF(K529&gt;=1%,2,1))+IF(L529="新出现",2,IF(M529&gt;=100%,3,IF(M529&gt;0,2,0)))))</x:f>
        <x:v>6</x:v>
      </x:c>
      <x:c r="T529" s="21"/>
      <x:c r="U529" s="20"/>
      <x:c r="V529" s="19" t="str">
        <x:v>http://tryastro.app/</x:v>
      </x:c>
      <x:c r="W529" s="19" t="str">
        <x:v>https://pro.similarweb.com/#/digitalsuite/websiteanalysis/referrals/*/999/1m?webSource=Total&amp;selectedTab=incomingTraffic&amp;key=lemonsqueezy.com</x:v>
      </x:c>
      <x:c r="X529" s="20" t="n">
        <x:f>IF(Q529="是",0,IFERROR(P529/SUMIFS($P$2:$P$964,$A$2:$A$964,A529,$Q$2:$Q$964,"否"),0))</x:f>
        <x:v>0.004207941281973456</x:v>
      </x:c>
      <x:c r="Y529" s="22" t="str">
        <x:f>IF(OR(M529="",U529=""),"未交叉",IF(M529*U529&gt;0,"同向",IF(M529*U529&lt;0,"背离","一侧持平")))</x:f>
        <x:v>未交叉</x:v>
      </x:c>
    </x:row>
    <x:row r="530">
      <x:c r="A530" s="18" t="str">
        <x:v>lemonsqueezy.com</x:v>
      </x:c>
      <x:c r="B530" s="19" t="str">
        <x:v>支付商主域（混合流量）</x:v>
      </x:c>
      <x:c r="C530" s="19" t="str">
        <x:v>中</x:v>
      </x:c>
      <x:c r="D530" s="19" t="str">
        <x:v>Jul 2026</x:v>
      </x:c>
      <x:c r="E530" s="19" t="n">
        <x:v>87</x:v>
      </x:c>
      <x:c r="F530" s="19" t="str">
        <x:v>solo.to</x:v>
      </x:c>
      <x:c r="G530" s="19" t="str">
        <x:v>Music</x:v>
      </x:c>
      <x:c r="H530" s="19" t="str">
        <x:v>创作、设计与多媒体工具</x:v>
      </x:c>
      <x:c r="I530" s="19" t="str">
        <x:v>Similarweb 行业映射</x:v>
      </x:c>
      <x:c r="J530" s="19" t="n">
        <x:v>39145</x:v>
      </x:c>
      <x:c r="K530" s="20" t="n">
        <x:v>0.0024</x:v>
      </x:c>
      <x:c r="L530" s="19" t="str">
        <x:v>新出现</x:v>
      </x:c>
      <x:c r="M530" s="20"/>
      <x:c r="N530" s="21" t="n">
        <x:v>126914</x:v>
      </x:c>
      <x:c r="O530" s="21" t="n">
        <x:v>305</x:v>
      </x:c>
      <x:c r="P530" s="21" t="n">
        <x:f>ROUND(N530*K530,0)</x:f>
        <x:v>305</x:v>
      </x:c>
      <x:c r="Q530" s="19" t="str">
        <x:v>否</x:v>
      </x:c>
      <x:c r="R530" s="19" t="str"/>
      <x:c r="S530" s="19" t="n">
        <x:f>IF(Q530="是",0,MIN(10,2+IF(C530="高",2,1)+IF(K530&gt;=3%,3,IF(K530&gt;=1%,2,1))+IF(L530="新出现",2,IF(M530&gt;=100%,3,IF(M530&gt;0,2,0)))))</x:f>
        <x:v>6</x:v>
      </x:c>
      <x:c r="T530" s="21"/>
      <x:c r="U530" s="20"/>
      <x:c r="V530" s="19" t="str">
        <x:v>http://solo.to/</x:v>
      </x:c>
      <x:c r="W530" s="19" t="str">
        <x:v>https://pro.similarweb.com/#/digitalsuite/websiteanalysis/referrals/*/999/1m?webSource=Total&amp;selectedTab=incomingTraffic&amp;key=lemonsqueezy.com</x:v>
      </x:c>
      <x:c r="X530" s="20" t="n">
        <x:f>IF(Q530="是",0,IFERROR(P530/SUMIFS($P$2:$P$964,$A$2:$A$964,A530,$Q$2:$Q$964,"否"),0))</x:f>
        <x:v>0.004207941281973456</x:v>
      </x:c>
      <x:c r="Y530" s="22" t="str">
        <x:f>IF(OR(M530="",U530=""),"未交叉",IF(M530*U530&gt;0,"同向",IF(M530*U530&lt;0,"背离","一侧持平")))</x:f>
        <x:v>未交叉</x:v>
      </x:c>
    </x:row>
    <x:row r="531">
      <x:c r="A531" s="18" t="str">
        <x:v>lemonsqueezy.com</x:v>
      </x:c>
      <x:c r="B531" s="19" t="str">
        <x:v>支付商主域（混合流量）</x:v>
      </x:c>
      <x:c r="C531" s="19" t="str">
        <x:v>中</x:v>
      </x:c>
      <x:c r="D531" s="19" t="str">
        <x:v>Jul 2026</x:v>
      </x:c>
      <x:c r="E531" s="19" t="n">
        <x:v>88</x:v>
      </x:c>
      <x:c r="F531" s="19" t="str">
        <x:v>saaspo.com</x:v>
      </x:c>
      <x:c r="G531" s="19" t="str">
        <x:v>Graphics Multimedia and Web Design</x:v>
      </x:c>
      <x:c r="H531" s="19" t="str">
        <x:v>创作、设计与多媒体工具</x:v>
      </x:c>
      <x:c r="I531" s="19" t="str">
        <x:v>Similarweb 行业映射</x:v>
      </x:c>
      <x:c r="J531" s="19" t="n">
        <x:v>166157</x:v>
      </x:c>
      <x:c r="K531" s="20" t="n">
        <x:v>0.0021</x:v>
      </x:c>
      <x:c r="L531" s="19" t="str">
        <x:v>下降</x:v>
      </x:c>
      <x:c r="M531" s="20" t="n">
        <x:v>-0.6274000000000001</x:v>
      </x:c>
      <x:c r="N531" s="21" t="n">
        <x:v>126914</x:v>
      </x:c>
      <x:c r="O531" s="21" t="n">
        <x:v>267</x:v>
      </x:c>
      <x:c r="P531" s="21" t="n">
        <x:f>ROUND(N531*K531,0)</x:f>
        <x:v>267</x:v>
      </x:c>
      <x:c r="Q531" s="19" t="str">
        <x:v>否</x:v>
      </x:c>
      <x:c r="R531" s="19" t="str"/>
      <x:c r="S531" s="19" t="n">
        <x:f>IF(Q531="是",0,MIN(10,2+IF(C531="高",2,1)+IF(K531&gt;=3%,3,IF(K531&gt;=1%,2,1))+IF(L531="新出现",2,IF(M531&gt;=100%,3,IF(M531&gt;0,2,0)))))</x:f>
        <x:v>4</x:v>
      </x:c>
      <x:c r="T531" s="21"/>
      <x:c r="U531" s="20"/>
      <x:c r="V531" s="19" t="str">
        <x:v>http://saaspo.com/</x:v>
      </x:c>
      <x:c r="W531" s="19" t="str">
        <x:v>https://pro.similarweb.com/#/digitalsuite/websiteanalysis/referrals/*/999/1m?webSource=Total&amp;selectedTab=incomingTraffic&amp;key=lemonsqueezy.com</x:v>
      </x:c>
      <x:c r="X531" s="20" t="n">
        <x:f>IF(Q531="是",0,IFERROR(P531/SUMIFS($P$2:$P$964,$A$2:$A$964,A531,$Q$2:$Q$964,"否"),0))</x:f>
        <x:v>0.003683673187825943</x:v>
      </x:c>
      <x:c r="Y531" s="22" t="str">
        <x:f>IF(OR(M531="",U531=""),"未交叉",IF(M531*U531&gt;0,"同向",IF(M531*U531&lt;0,"背离","一侧持平")))</x:f>
        <x:v>未交叉</x:v>
      </x:c>
    </x:row>
    <x:row r="532">
      <x:c r="A532" s="18" t="str">
        <x:v>lemonsqueezy.com</x:v>
      </x:c>
      <x:c r="B532" s="19" t="str">
        <x:v>支付商主域（混合流量）</x:v>
      </x:c>
      <x:c r="C532" s="19" t="str">
        <x:v>中</x:v>
      </x:c>
      <x:c r="D532" s="19" t="str">
        <x:v>Jul 2026</x:v>
      </x:c>
      <x:c r="E532" s="19" t="n">
        <x:v>89</x:v>
      </x:c>
      <x:c r="F532" s="19" t="str">
        <x:v>codecanyon.net</x:v>
      </x:c>
      <x:c r="G532" s="19" t="str">
        <x:v>Programming and Developer Software</x:v>
      </x:c>
      <x:c r="H532" s="19" t="str">
        <x:v>开发者工具与互联网基础设施</x:v>
      </x:c>
      <x:c r="I532" s="19" t="str">
        <x:v>Similarweb 行业映射</x:v>
      </x:c>
      <x:c r="J532" s="19" t="n">
        <x:v>24426</x:v>
      </x:c>
      <x:c r="K532" s="20" t="n">
        <x:v>0.002</x:v>
      </x:c>
      <x:c r="L532" s="19" t="str">
        <x:v>上升</x:v>
      </x:c>
      <x:c r="M532" s="20" t="n">
        <x:v>0.34659999999999996</x:v>
      </x:c>
      <x:c r="N532" s="21" t="n">
        <x:v>126914</x:v>
      </x:c>
      <x:c r="O532" s="21" t="n">
        <x:v>254</x:v>
      </x:c>
      <x:c r="P532" s="21" t="n">
        <x:f>ROUND(N532*K532,0)</x:f>
        <x:v>254</x:v>
      </x:c>
      <x:c r="Q532" s="19" t="str">
        <x:v>否</x:v>
      </x:c>
      <x:c r="R532" s="19" t="str"/>
      <x:c r="S532" s="19" t="n">
        <x:f>IF(Q532="是",0,MIN(10,2+IF(C532="高",2,1)+IF(K532&gt;=3%,3,IF(K532&gt;=1%,2,1))+IF(L532="新出现",2,IF(M532&gt;=100%,3,IF(M532&gt;0,2,0)))))</x:f>
        <x:v>6</x:v>
      </x:c>
      <x:c r="T532" s="21"/>
      <x:c r="U532" s="20"/>
      <x:c r="V532" s="19" t="str">
        <x:v>http://codecanyon.net/</x:v>
      </x:c>
      <x:c r="W532" s="19" t="str">
        <x:v>https://pro.similarweb.com/#/digitalsuite/websiteanalysis/referrals/*/999/1m?webSource=Total&amp;selectedTab=incomingTraffic&amp;key=lemonsqueezy.com</x:v>
      </x:c>
      <x:c r="X532" s="20" t="n">
        <x:f>IF(Q532="是",0,IFERROR(P532/SUMIFS($P$2:$P$964,$A$2:$A$964,A532,$Q$2:$Q$964,"否"),0))</x:f>
        <x:v>0.0035043183135123205</x:v>
      </x:c>
      <x:c r="Y532" s="22" t="str">
        <x:f>IF(OR(M532="",U532=""),"未交叉",IF(M532*U532&gt;0,"同向",IF(M532*U532&lt;0,"背离","一侧持平")))</x:f>
        <x:v>未交叉</x:v>
      </x:c>
    </x:row>
    <x:row r="533">
      <x:c r="A533" s="18" t="str">
        <x:v>lemonsqueezy.com</x:v>
      </x:c>
      <x:c r="B533" s="19" t="str">
        <x:v>支付商主域（混合流量）</x:v>
      </x:c>
      <x:c r="C533" s="19" t="str">
        <x:v>中</x:v>
      </x:c>
      <x:c r="D533" s="19" t="str">
        <x:v>Jul 2026</x:v>
      </x:c>
      <x:c r="E533" s="19" t="n">
        <x:v>90</x:v>
      </x:c>
      <x:c r="F533" s="19" t="str">
        <x:v>flat-rate-ai.com</x:v>
      </x:c>
      <x:c r="G533" s="19" t="str">
        <x:v>Unknown</x:v>
      </x:c>
      <x:c r="H533" s="19" t="str">
        <x:v>其他/待核查</x:v>
      </x:c>
      <x:c r="I533" s="19" t="str">
        <x:v>Similarweb 未分类</x:v>
      </x:c>
      <x:c r="J533" s="19"/>
      <x:c r="K533" s="20" t="n">
        <x:v>0.002</x:v>
      </x:c>
      <x:c r="L533" s="19" t="str">
        <x:v>新出现</x:v>
      </x:c>
      <x:c r="M533" s="20"/>
      <x:c r="N533" s="21" t="n">
        <x:v>126914</x:v>
      </x:c>
      <x:c r="O533" s="21" t="n">
        <x:v>254</x:v>
      </x:c>
      <x:c r="P533" s="21" t="n">
        <x:f>ROUND(N533*K533,0)</x:f>
        <x:v>254</x:v>
      </x:c>
      <x:c r="Q533" s="19" t="str">
        <x:v>否</x:v>
      </x:c>
      <x:c r="R533" s="19" t="str"/>
      <x:c r="S533" s="19" t="n">
        <x:f>IF(Q533="是",0,MIN(10,2+IF(C533="高",2,1)+IF(K533&gt;=3%,3,IF(K533&gt;=1%,2,1))+IF(L533="新出现",2,IF(M533&gt;=100%,3,IF(M533&gt;0,2,0)))))</x:f>
        <x:v>6</x:v>
      </x:c>
      <x:c r="T533" s="21"/>
      <x:c r="U533" s="20"/>
      <x:c r="V533" s="19" t="str">
        <x:v>http://flat-rate-ai.com/</x:v>
      </x:c>
      <x:c r="W533" s="19" t="str">
        <x:v>https://pro.similarweb.com/#/digitalsuite/websiteanalysis/referrals/*/999/1m?webSource=Total&amp;selectedTab=incomingTraffic&amp;key=lemonsqueezy.com</x:v>
      </x:c>
      <x:c r="X533" s="20" t="n">
        <x:f>IF(Q533="是",0,IFERROR(P533/SUMIFS($P$2:$P$964,$A$2:$A$964,A533,$Q$2:$Q$964,"否"),0))</x:f>
        <x:v>0.0035043183135123205</x:v>
      </x:c>
      <x:c r="Y533" s="22" t="str">
        <x:f>IF(OR(M533="",U533=""),"未交叉",IF(M533*U533&gt;0,"同向",IF(M533*U533&lt;0,"背离","一侧持平")))</x:f>
        <x:v>未交叉</x:v>
      </x:c>
    </x:row>
    <x:row r="534">
      <x:c r="A534" s="18" t="str">
        <x:v>lemonsqueezy.com</x:v>
      </x:c>
      <x:c r="B534" s="19" t="str">
        <x:v>支付商主域（混合流量）</x:v>
      </x:c>
      <x:c r="C534" s="19" t="str">
        <x:v>中</x:v>
      </x:c>
      <x:c r="D534" s="19" t="str">
        <x:v>Jul 2026</x:v>
      </x:c>
      <x:c r="E534" s="19" t="n">
        <x:v>91</x:v>
      </x:c>
      <x:c r="F534" s="19" t="str">
        <x:v>saaslandingpage.com</x:v>
      </x:c>
      <x:c r="G534" s="19" t="str">
        <x:v>Graphics Multimedia and Web Design</x:v>
      </x:c>
      <x:c r="H534" s="19" t="str">
        <x:v>创作、设计与多媒体工具</x:v>
      </x:c>
      <x:c r="I534" s="19" t="str">
        <x:v>Similarweb 行业映射</x:v>
      </x:c>
      <x:c r="J534" s="19" t="n">
        <x:v>199455</x:v>
      </x:c>
      <x:c r="K534" s="20" t="n">
        <x:v>0.0019</x:v>
      </x:c>
      <x:c r="L534" s="19" t="str">
        <x:v>上升</x:v>
      </x:c>
      <x:c r="M534" s="20" t="n">
        <x:v>0.3098</x:v>
      </x:c>
      <x:c r="N534" s="21" t="n">
        <x:v>126914</x:v>
      </x:c>
      <x:c r="O534" s="21" t="n">
        <x:v>241</x:v>
      </x:c>
      <x:c r="P534" s="21" t="n">
        <x:f>ROUND(N534*K534,0)</x:f>
        <x:v>241</x:v>
      </x:c>
      <x:c r="Q534" s="19" t="str">
        <x:v>否</x:v>
      </x:c>
      <x:c r="R534" s="19" t="str"/>
      <x:c r="S534" s="19" t="n">
        <x:f>IF(Q534="是",0,MIN(10,2+IF(C534="高",2,1)+IF(K534&gt;=3%,3,IF(K534&gt;=1%,2,1))+IF(L534="新出现",2,IF(M534&gt;=100%,3,IF(M534&gt;0,2,0)))))</x:f>
        <x:v>6</x:v>
      </x:c>
      <x:c r="T534" s="21"/>
      <x:c r="U534" s="20"/>
      <x:c r="V534" s="19" t="str">
        <x:v>http://saaslandingpage.com/</x:v>
      </x:c>
      <x:c r="W534" s="19" t="str">
        <x:v>https://pro.similarweb.com/#/digitalsuite/websiteanalysis/referrals/*/999/1m?webSource=Total&amp;selectedTab=incomingTraffic&amp;key=lemonsqueezy.com</x:v>
      </x:c>
      <x:c r="X534" s="20" t="n">
        <x:f>IF(Q534="是",0,IFERROR(P534/SUMIFS($P$2:$P$964,$A$2:$A$964,A534,$Q$2:$Q$964,"否"),0))</x:f>
        <x:v>0.0033249634391986976</x:v>
      </x:c>
      <x:c r="Y534" s="22" t="str">
        <x:f>IF(OR(M534="",U534=""),"未交叉",IF(M534*U534&gt;0,"同向",IF(M534*U534&lt;0,"背离","一侧持平")))</x:f>
        <x:v>未交叉</x:v>
      </x:c>
    </x:row>
    <x:row r="535">
      <x:c r="A535" s="18" t="str">
        <x:v>lemonsqueezy.com</x:v>
      </x:c>
      <x:c r="B535" s="19" t="str">
        <x:v>支付商主域（混合流量）</x:v>
      </x:c>
      <x:c r="C535" s="19" t="str">
        <x:v>中</x:v>
      </x:c>
      <x:c r="D535" s="19" t="str">
        <x:v>Jul 2026</x:v>
      </x:c>
      <x:c r="E535" s="19" t="n">
        <x:v>92</x:v>
      </x:c>
      <x:c r="F535" s="19" t="str">
        <x:v>roosterteeth.com</x:v>
      </x:c>
      <x:c r="G535" s="19" t="str">
        <x:v>Animation and Comics</x:v>
      </x:c>
      <x:c r="H535" s="19" t="str">
        <x:v>游戏、数字商品与虚拟内容</x:v>
      </x:c>
      <x:c r="I535" s="19" t="str">
        <x:v>Similarweb 行业映射</x:v>
      </x:c>
      <x:c r="J535" s="19" t="n">
        <x:v>228518</x:v>
      </x:c>
      <x:c r="K535" s="20" t="n">
        <x:v>0.0019</x:v>
      </x:c>
      <x:c r="L535" s="19" t="str">
        <x:v>新出现</x:v>
      </x:c>
      <x:c r="M535" s="20"/>
      <x:c r="N535" s="21" t="n">
        <x:v>126914</x:v>
      </x:c>
      <x:c r="O535" s="21" t="n">
        <x:v>241</x:v>
      </x:c>
      <x:c r="P535" s="21" t="n">
        <x:f>ROUND(N535*K535,0)</x:f>
        <x:v>241</x:v>
      </x:c>
      <x:c r="Q535" s="19" t="str">
        <x:v>否</x:v>
      </x:c>
      <x:c r="R535" s="19" t="str"/>
      <x:c r="S535" s="19" t="n">
        <x:f>IF(Q535="是",0,MIN(10,2+IF(C535="高",2,1)+IF(K535&gt;=3%,3,IF(K535&gt;=1%,2,1))+IF(L535="新出现",2,IF(M535&gt;=100%,3,IF(M535&gt;0,2,0)))))</x:f>
        <x:v>6</x:v>
      </x:c>
      <x:c r="T535" s="21"/>
      <x:c r="U535" s="20"/>
      <x:c r="V535" s="19" t="str">
        <x:v>http://roosterteeth.com/</x:v>
      </x:c>
      <x:c r="W535" s="19" t="str">
        <x:v>https://pro.similarweb.com/#/digitalsuite/websiteanalysis/referrals/*/999/1m?webSource=Total&amp;selectedTab=incomingTraffic&amp;key=lemonsqueezy.com</x:v>
      </x:c>
      <x:c r="X535" s="20" t="n">
        <x:f>IF(Q535="是",0,IFERROR(P535/SUMIFS($P$2:$P$964,$A$2:$A$964,A535,$Q$2:$Q$964,"否"),0))</x:f>
        <x:v>0.0033249634391986976</x:v>
      </x:c>
      <x:c r="Y535" s="22" t="str">
        <x:f>IF(OR(M535="",U535=""),"未交叉",IF(M535*U535&gt;0,"同向",IF(M535*U535&lt;0,"背离","一侧持平")))</x:f>
        <x:v>未交叉</x:v>
      </x:c>
    </x:row>
    <x:row r="536">
      <x:c r="A536" s="18" t="str">
        <x:v>lemonsqueezy.com</x:v>
      </x:c>
      <x:c r="B536" s="19" t="str">
        <x:v>支付商主域（混合流量）</x:v>
      </x:c>
      <x:c r="C536" s="19" t="str">
        <x:v>中</x:v>
      </x:c>
      <x:c r="D536" s="19" t="str">
        <x:v>Jul 2026</x:v>
      </x:c>
      <x:c r="E536" s="19" t="n">
        <x:v>93</x:v>
      </x:c>
      <x:c r="F536" s="19" t="str">
        <x:v>audjust.com</x:v>
      </x:c>
      <x:c r="G536" s="19" t="str">
        <x:v>Graphics Multimedia and Web Design</x:v>
      </x:c>
      <x:c r="H536" s="19" t="str">
        <x:v>创作、设计与多媒体工具</x:v>
      </x:c>
      <x:c r="I536" s="19" t="str">
        <x:v>Similarweb 行业映射</x:v>
      </x:c>
      <x:c r="J536" s="19" t="n">
        <x:v>302638</x:v>
      </x:c>
      <x:c r="K536" s="20" t="n">
        <x:v>0.0019</x:v>
      </x:c>
      <x:c r="L536" s="19" t="str">
        <x:v>上升</x:v>
      </x:c>
      <x:c r="M536" s="20" t="n">
        <x:v>0.8186</x:v>
      </x:c>
      <x:c r="N536" s="21" t="n">
        <x:v>126914</x:v>
      </x:c>
      <x:c r="O536" s="21" t="n">
        <x:v>241</x:v>
      </x:c>
      <x:c r="P536" s="21" t="n">
        <x:f>ROUND(N536*K536,0)</x:f>
        <x:v>241</x:v>
      </x:c>
      <x:c r="Q536" s="19" t="str">
        <x:v>否</x:v>
      </x:c>
      <x:c r="R536" s="19" t="str"/>
      <x:c r="S536" s="19" t="n">
        <x:f>IF(Q536="是",0,MIN(10,2+IF(C536="高",2,1)+IF(K536&gt;=3%,3,IF(K536&gt;=1%,2,1))+IF(L536="新出现",2,IF(M536&gt;=100%,3,IF(M536&gt;0,2,0)))))</x:f>
        <x:v>6</x:v>
      </x:c>
      <x:c r="T536" s="21"/>
      <x:c r="U536" s="20"/>
      <x:c r="V536" s="19" t="str">
        <x:v>http://audjust.com/</x:v>
      </x:c>
      <x:c r="W536" s="19" t="str">
        <x:v>https://pro.similarweb.com/#/digitalsuite/websiteanalysis/referrals/*/999/1m?webSource=Total&amp;selectedTab=incomingTraffic&amp;key=lemonsqueezy.com</x:v>
      </x:c>
      <x:c r="X536" s="20" t="n">
        <x:f>IF(Q536="是",0,IFERROR(P536/SUMIFS($P$2:$P$964,$A$2:$A$964,A536,$Q$2:$Q$964,"否"),0))</x:f>
        <x:v>0.0033249634391986976</x:v>
      </x:c>
      <x:c r="Y536" s="22" t="str">
        <x:f>IF(OR(M536="",U536=""),"未交叉",IF(M536*U536&gt;0,"同向",IF(M536*U536&lt;0,"背离","一侧持平")))</x:f>
        <x:v>未交叉</x:v>
      </x:c>
    </x:row>
    <x:row r="537">
      <x:c r="A537" s="18" t="str">
        <x:v>lemonsqueezy.com</x:v>
      </x:c>
      <x:c r="B537" s="19" t="str">
        <x:v>支付商主域（混合流量）</x:v>
      </x:c>
      <x:c r="C537" s="19" t="str">
        <x:v>中</x:v>
      </x:c>
      <x:c r="D537" s="19" t="str">
        <x:v>Jul 2026</x:v>
      </x:c>
      <x:c r="E537" s="19" t="n">
        <x:v>94</x:v>
      </x:c>
      <x:c r="F537" s="19" t="str">
        <x:v>homevisualizer.ai</x:v>
      </x:c>
      <x:c r="G537" s="19" t="str">
        <x:v>Interior Design</x:v>
      </x:c>
      <x:c r="H537" s="19" t="str">
        <x:v>AI 工具与应用（未细分）</x:v>
      </x:c>
      <x:c r="I537" s="19" t="str">
        <x:v>域名后缀启发式</x:v>
      </x:c>
      <x:c r="J537" s="19" t="n">
        <x:v>418794</x:v>
      </x:c>
      <x:c r="K537" s="20" t="n">
        <x:v>0.0019</x:v>
      </x:c>
      <x:c r="L537" s="19" t="str">
        <x:v>下降</x:v>
      </x:c>
      <x:c r="M537" s="20" t="n">
        <x:v>-0.5863</x:v>
      </x:c>
      <x:c r="N537" s="21" t="n">
        <x:v>126914</x:v>
      </x:c>
      <x:c r="O537" s="21" t="n">
        <x:v>241</x:v>
      </x:c>
      <x:c r="P537" s="21" t="n">
        <x:f>ROUND(N537*K537,0)</x:f>
        <x:v>241</x:v>
      </x:c>
      <x:c r="Q537" s="19" t="str">
        <x:v>否</x:v>
      </x:c>
      <x:c r="R537" s="19" t="str"/>
      <x:c r="S537" s="19" t="n">
        <x:f>IF(Q537="是",0,MIN(10,2+IF(C537="高",2,1)+IF(K537&gt;=3%,3,IF(K537&gt;=1%,2,1))+IF(L537="新出现",2,IF(M537&gt;=100%,3,IF(M537&gt;0,2,0)))))</x:f>
        <x:v>4</x:v>
      </x:c>
      <x:c r="T537" s="21"/>
      <x:c r="U537" s="20"/>
      <x:c r="V537" s="19" t="str">
        <x:v>http://homevisualizer.ai/</x:v>
      </x:c>
      <x:c r="W537" s="19" t="str">
        <x:v>https://pro.similarweb.com/#/digitalsuite/websiteanalysis/referrals/*/999/1m?webSource=Total&amp;selectedTab=incomingTraffic&amp;key=lemonsqueezy.com</x:v>
      </x:c>
      <x:c r="X537" s="20" t="n">
        <x:f>IF(Q537="是",0,IFERROR(P537/SUMIFS($P$2:$P$964,$A$2:$A$964,A537,$Q$2:$Q$964,"否"),0))</x:f>
        <x:v>0.0033249634391986976</x:v>
      </x:c>
      <x:c r="Y537" s="22" t="str">
        <x:f>IF(OR(M537="",U537=""),"未交叉",IF(M537*U537&gt;0,"同向",IF(M537*U537&lt;0,"背离","一侧持平")))</x:f>
        <x:v>未交叉</x:v>
      </x:c>
    </x:row>
    <x:row r="538">
      <x:c r="A538" s="18" t="str">
        <x:v>lemonsqueezy.com</x:v>
      </x:c>
      <x:c r="B538" s="19" t="str">
        <x:v>支付商主域（混合流量）</x:v>
      </x:c>
      <x:c r="C538" s="19" t="str">
        <x:v>中</x:v>
      </x:c>
      <x:c r="D538" s="19" t="str">
        <x:v>Jul 2026</x:v>
      </x:c>
      <x:c r="E538" s="19" t="n">
        <x:v>95</x:v>
      </x:c>
      <x:c r="F538" s="19" t="str">
        <x:v>landingpage.fyi</x:v>
      </x:c>
      <x:c r="G538" s="19" t="str">
        <x:v>Web Hosting and Domain Names</x:v>
      </x:c>
      <x:c r="H538" s="19" t="str">
        <x:v>开发者工具与互联网基础设施</x:v>
      </x:c>
      <x:c r="I538" s="19" t="str">
        <x:v>Similarweb 行业映射</x:v>
      </x:c>
      <x:c r="J538" s="19" t="n">
        <x:v>8905471</x:v>
      </x:c>
      <x:c r="K538" s="20" t="n">
        <x:v>0.0018</x:v>
      </x:c>
      <x:c r="L538" s="19" t="str">
        <x:v>上升</x:v>
      </x:c>
      <x:c r="M538" s="20" t="n">
        <x:v>4.2724</x:v>
      </x:c>
      <x:c r="N538" s="21" t="n">
        <x:v>126914</x:v>
      </x:c>
      <x:c r="O538" s="21" t="n">
        <x:v>228</x:v>
      </x:c>
      <x:c r="P538" s="21" t="n">
        <x:f>ROUND(N538*K538,0)</x:f>
        <x:v>228</x:v>
      </x:c>
      <x:c r="Q538" s="19" t="str">
        <x:v>否</x:v>
      </x:c>
      <x:c r="R538" s="19" t="str"/>
      <x:c r="S538" s="19" t="n">
        <x:f>IF(Q538="是",0,MIN(10,2+IF(C538="高",2,1)+IF(K538&gt;=3%,3,IF(K538&gt;=1%,2,1))+IF(L538="新出现",2,IF(M538&gt;=100%,3,IF(M538&gt;0,2,0)))))</x:f>
        <x:v>7</x:v>
      </x:c>
      <x:c r="T538" s="21"/>
      <x:c r="U538" s="20"/>
      <x:c r="V538" s="19" t="str">
        <x:v>http://landingpage.fyi/</x:v>
      </x:c>
      <x:c r="W538" s="19" t="str">
        <x:v>https://pro.similarweb.com/#/digitalsuite/websiteanalysis/referrals/*/999/1m?webSource=Total&amp;selectedTab=incomingTraffic&amp;key=lemonsqueezy.com</x:v>
      </x:c>
      <x:c r="X538" s="20" t="n">
        <x:f>IF(Q538="是",0,IFERROR(P538/SUMIFS($P$2:$P$964,$A$2:$A$964,A538,$Q$2:$Q$964,"否"),0))</x:f>
        <x:v>0.0031456085648850747</x:v>
      </x:c>
      <x:c r="Y538" s="22" t="str">
        <x:f>IF(OR(M538="",U538=""),"未交叉",IF(M538*U538&gt;0,"同向",IF(M538*U538&lt;0,"背离","一侧持平")))</x:f>
        <x:v>未交叉</x:v>
      </x:c>
    </x:row>
    <x:row r="539">
      <x:c r="A539" s="18" t="str">
        <x:v>lemonsqueezy.com</x:v>
      </x:c>
      <x:c r="B539" s="19" t="str">
        <x:v>支付商主域（混合流量）</x:v>
      </x:c>
      <x:c r="C539" s="19" t="str">
        <x:v>中</x:v>
      </x:c>
      <x:c r="D539" s="19" t="str">
        <x:v>Jul 2026</x:v>
      </x:c>
      <x:c r="E539" s="19" t="n">
        <x:v>96</x:v>
      </x:c>
      <x:c r="F539" s="19" t="str">
        <x:v>qr-codesgenerator.com</x:v>
      </x:c>
      <x:c r="G539" s="19" t="str">
        <x:v>Unknown</x:v>
      </x:c>
      <x:c r="H539" s="19" t="str">
        <x:v>其他/待核查</x:v>
      </x:c>
      <x:c r="I539" s="19" t="str">
        <x:v>Similarweb 未分类</x:v>
      </x:c>
      <x:c r="J539" s="19"/>
      <x:c r="K539" s="20" t="n">
        <x:v>0.0018</x:v>
      </x:c>
      <x:c r="L539" s="19" t="str">
        <x:v>新出现</x:v>
      </x:c>
      <x:c r="M539" s="20"/>
      <x:c r="N539" s="21" t="n">
        <x:v>126914</x:v>
      </x:c>
      <x:c r="O539" s="21" t="n">
        <x:v>228</x:v>
      </x:c>
      <x:c r="P539" s="21" t="n">
        <x:f>ROUND(N539*K539,0)</x:f>
        <x:v>228</x:v>
      </x:c>
      <x:c r="Q539" s="19" t="str">
        <x:v>否</x:v>
      </x:c>
      <x:c r="R539" s="19" t="str"/>
      <x:c r="S539" s="19" t="n">
        <x:f>IF(Q539="是",0,MIN(10,2+IF(C539="高",2,1)+IF(K539&gt;=3%,3,IF(K539&gt;=1%,2,1))+IF(L539="新出现",2,IF(M539&gt;=100%,3,IF(M539&gt;0,2,0)))))</x:f>
        <x:v>6</x:v>
      </x:c>
      <x:c r="T539" s="21"/>
      <x:c r="U539" s="20"/>
      <x:c r="V539" s="19" t="str">
        <x:v>http://qr-codesgenerator.com/</x:v>
      </x:c>
      <x:c r="W539" s="19" t="str">
        <x:v>https://pro.similarweb.com/#/digitalsuite/websiteanalysis/referrals/*/999/1m?webSource=Total&amp;selectedTab=incomingTraffic&amp;key=lemonsqueezy.com</x:v>
      </x:c>
      <x:c r="X539" s="20" t="n">
        <x:f>IF(Q539="是",0,IFERROR(P539/SUMIFS($P$2:$P$964,$A$2:$A$964,A539,$Q$2:$Q$964,"否"),0))</x:f>
        <x:v>0.0031456085648850747</x:v>
      </x:c>
      <x:c r="Y539" s="22" t="str">
        <x:f>IF(OR(M539="",U539=""),"未交叉",IF(M539*U539&gt;0,"同向",IF(M539*U539&lt;0,"背离","一侧持平")))</x:f>
        <x:v>未交叉</x:v>
      </x:c>
    </x:row>
    <x:row r="540">
      <x:c r="A540" s="18" t="str">
        <x:v>lemonsqueezy.com</x:v>
      </x:c>
      <x:c r="B540" s="19" t="str">
        <x:v>支付商主域（混合流量）</x:v>
      </x:c>
      <x:c r="C540" s="19" t="str">
        <x:v>中</x:v>
      </x:c>
      <x:c r="D540" s="19" t="str">
        <x:v>Jul 2026</x:v>
      </x:c>
      <x:c r="E540" s="19" t="n">
        <x:v>97</x:v>
      </x:c>
      <x:c r="F540" s="19" t="str">
        <x:v>productbridge.io</x:v>
      </x:c>
      <x:c r="G540" s="19" t="str">
        <x:v>Unknown</x:v>
      </x:c>
      <x:c r="H540" s="19" t="str">
        <x:v>其他/待核查</x:v>
      </x:c>
      <x:c r="I540" s="19" t="str">
        <x:v>Similarweb 未分类</x:v>
      </x:c>
      <x:c r="J540" s="19" t="n">
        <x:v>3219136</x:v>
      </x:c>
      <x:c r="K540" s="20" t="n">
        <x:v>0.0018</x:v>
      </x:c>
      <x:c r="L540" s="19" t="str">
        <x:v>新出现</x:v>
      </x:c>
      <x:c r="M540" s="20"/>
      <x:c r="N540" s="21" t="n">
        <x:v>126914</x:v>
      </x:c>
      <x:c r="O540" s="21" t="n">
        <x:v>228</x:v>
      </x:c>
      <x:c r="P540" s="21" t="n">
        <x:f>ROUND(N540*K540,0)</x:f>
        <x:v>228</x:v>
      </x:c>
      <x:c r="Q540" s="19" t="str">
        <x:v>否</x:v>
      </x:c>
      <x:c r="R540" s="19" t="str"/>
      <x:c r="S540" s="19" t="n">
        <x:f>IF(Q540="是",0,MIN(10,2+IF(C540="高",2,1)+IF(K540&gt;=3%,3,IF(K540&gt;=1%,2,1))+IF(L540="新出现",2,IF(M540&gt;=100%,3,IF(M540&gt;0,2,0)))))</x:f>
        <x:v>6</x:v>
      </x:c>
      <x:c r="T540" s="21"/>
      <x:c r="U540" s="20"/>
      <x:c r="V540" s="19" t="str">
        <x:v>http://productbridge.io/</x:v>
      </x:c>
      <x:c r="W540" s="19" t="str">
        <x:v>https://pro.similarweb.com/#/digitalsuite/websiteanalysis/referrals/*/999/1m?webSource=Total&amp;selectedTab=incomingTraffic&amp;key=lemonsqueezy.com</x:v>
      </x:c>
      <x:c r="X540" s="20" t="n">
        <x:f>IF(Q540="是",0,IFERROR(P540/SUMIFS($P$2:$P$964,$A$2:$A$964,A540,$Q$2:$Q$964,"否"),0))</x:f>
        <x:v>0.0031456085648850747</x:v>
      </x:c>
      <x:c r="Y540" s="22" t="str">
        <x:f>IF(OR(M540="",U540=""),"未交叉",IF(M540*U540&gt;0,"同向",IF(M540*U540&lt;0,"背离","一侧持平")))</x:f>
        <x:v>未交叉</x:v>
      </x:c>
    </x:row>
    <x:row r="541">
      <x:c r="A541" s="18" t="str">
        <x:v>lemonsqueezy.com</x:v>
      </x:c>
      <x:c r="B541" s="19" t="str">
        <x:v>支付商主域（混合流量）</x:v>
      </x:c>
      <x:c r="C541" s="19" t="str">
        <x:v>中</x:v>
      </x:c>
      <x:c r="D541" s="19" t="str">
        <x:v>Jul 2026</x:v>
      </x:c>
      <x:c r="E541" s="19" t="n">
        <x:v>98</x:v>
      </x:c>
      <x:c r="F541" s="19" t="str">
        <x:v>boltai.com</x:v>
      </x:c>
      <x:c r="G541" s="19" t="str">
        <x:v>Computers Electronics and Technology</x:v>
      </x:c>
      <x:c r="H541" s="19" t="str">
        <x:v>通用数字产品与技术服务</x:v>
      </x:c>
      <x:c r="I541" s="19" t="str">
        <x:v>Similarweb 行业映射</x:v>
      </x:c>
      <x:c r="J541" s="19" t="n">
        <x:v>510612</x:v>
      </x:c>
      <x:c r="K541" s="20" t="n">
        <x:v>0.0018</x:v>
      </x:c>
      <x:c r="L541" s="19" t="str">
        <x:v>新出现</x:v>
      </x:c>
      <x:c r="M541" s="20"/>
      <x:c r="N541" s="21" t="n">
        <x:v>126914</x:v>
      </x:c>
      <x:c r="O541" s="21" t="n">
        <x:v>228</x:v>
      </x:c>
      <x:c r="P541" s="21" t="n">
        <x:f>ROUND(N541*K541,0)</x:f>
        <x:v>228</x:v>
      </x:c>
      <x:c r="Q541" s="19" t="str">
        <x:v>否</x:v>
      </x:c>
      <x:c r="R541" s="19" t="str"/>
      <x:c r="S541" s="19" t="n">
        <x:f>IF(Q541="是",0,MIN(10,2+IF(C541="高",2,1)+IF(K541&gt;=3%,3,IF(K541&gt;=1%,2,1))+IF(L541="新出现",2,IF(M541&gt;=100%,3,IF(M541&gt;0,2,0)))))</x:f>
        <x:v>6</x:v>
      </x:c>
      <x:c r="T541" s="21"/>
      <x:c r="U541" s="20"/>
      <x:c r="V541" s="19" t="str">
        <x:v>http://boltai.com/</x:v>
      </x:c>
      <x:c r="W541" s="19" t="str">
        <x:v>https://pro.similarweb.com/#/digitalsuite/websiteanalysis/referrals/*/999/1m?webSource=Total&amp;selectedTab=incomingTraffic&amp;key=lemonsqueezy.com</x:v>
      </x:c>
      <x:c r="X541" s="20" t="n">
        <x:f>IF(Q541="是",0,IFERROR(P541/SUMIFS($P$2:$P$964,$A$2:$A$964,A541,$Q$2:$Q$964,"否"),0))</x:f>
        <x:v>0.0031456085648850747</x:v>
      </x:c>
      <x:c r="Y541" s="22" t="str">
        <x:f>IF(OR(M541="",U541=""),"未交叉",IF(M541*U541&gt;0,"同向",IF(M541*U541&lt;0,"背离","一侧持平")))</x:f>
        <x:v>未交叉</x:v>
      </x:c>
    </x:row>
    <x:row r="542">
      <x:c r="A542" s="18" t="str">
        <x:v>lemonsqueezy.com</x:v>
      </x:c>
      <x:c r="B542" s="19" t="str">
        <x:v>支付商主域（混合流量）</x:v>
      </x:c>
      <x:c r="C542" s="19" t="str">
        <x:v>中</x:v>
      </x:c>
      <x:c r="D542" s="19" t="str">
        <x:v>Jul 2026</x:v>
      </x:c>
      <x:c r="E542" s="19" t="n">
        <x:v>99</x:v>
      </x:c>
      <x:c r="F542" s="19" t="str">
        <x:v>dhirajingle.com</x:v>
      </x:c>
      <x:c r="G542" s="19" t="str">
        <x:v>Unknown</x:v>
      </x:c>
      <x:c r="H542" s="19" t="str">
        <x:v>其他/待核查</x:v>
      </x:c>
      <x:c r="I542" s="19" t="str">
        <x:v>Similarweb 未分类</x:v>
      </x:c>
      <x:c r="J542" s="19"/>
      <x:c r="K542" s="20" t="n">
        <x:v>0.0018</x:v>
      </x:c>
      <x:c r="L542" s="19" t="str">
        <x:v>新出现</x:v>
      </x:c>
      <x:c r="M542" s="20"/>
      <x:c r="N542" s="21" t="n">
        <x:v>126914</x:v>
      </x:c>
      <x:c r="O542" s="21" t="n">
        <x:v>228</x:v>
      </x:c>
      <x:c r="P542" s="21" t="n">
        <x:f>ROUND(N542*K542,0)</x:f>
        <x:v>228</x:v>
      </x:c>
      <x:c r="Q542" s="19" t="str">
        <x:v>否</x:v>
      </x:c>
      <x:c r="R542" s="19" t="str"/>
      <x:c r="S542" s="19" t="n">
        <x:f>IF(Q542="是",0,MIN(10,2+IF(C542="高",2,1)+IF(K542&gt;=3%,3,IF(K542&gt;=1%,2,1))+IF(L542="新出现",2,IF(M542&gt;=100%,3,IF(M542&gt;0,2,0)))))</x:f>
        <x:v>6</x:v>
      </x:c>
      <x:c r="T542" s="21"/>
      <x:c r="U542" s="20"/>
      <x:c r="V542" s="19" t="str">
        <x:v>http://dhirajingle.com/</x:v>
      </x:c>
      <x:c r="W542" s="19" t="str">
        <x:v>https://pro.similarweb.com/#/digitalsuite/websiteanalysis/referrals/*/999/1m?webSource=Total&amp;selectedTab=incomingTraffic&amp;key=lemonsqueezy.com</x:v>
      </x:c>
      <x:c r="X542" s="20" t="n">
        <x:f>IF(Q542="是",0,IFERROR(P542/SUMIFS($P$2:$P$964,$A$2:$A$964,A542,$Q$2:$Q$964,"否"),0))</x:f>
        <x:v>0.0031456085648850747</x:v>
      </x:c>
      <x:c r="Y542" s="22" t="str">
        <x:f>IF(OR(M542="",U542=""),"未交叉",IF(M542*U542&gt;0,"同向",IF(M542*U542&lt;0,"背离","一侧持平")))</x:f>
        <x:v>未交叉</x:v>
      </x:c>
    </x:row>
    <x:row r="543">
      <x:c r="A543" s="18" t="str">
        <x:v>lemonsqueezy.com</x:v>
      </x:c>
      <x:c r="B543" s="19" t="str">
        <x:v>支付商主域（混合流量）</x:v>
      </x:c>
      <x:c r="C543" s="19" t="str">
        <x:v>中</x:v>
      </x:c>
      <x:c r="D543" s="19" t="str">
        <x:v>Jul 2026</x:v>
      </x:c>
      <x:c r="E543" s="19" t="n">
        <x:v>100</x:v>
      </x:c>
      <x:c r="F543" s="19" t="str">
        <x:v>muted.io</x:v>
      </x:c>
      <x:c r="G543" s="19" t="str">
        <x:v>Graphics Multimedia and Web Design</x:v>
      </x:c>
      <x:c r="H543" s="19" t="str">
        <x:v>创作、设计与多媒体工具</x:v>
      </x:c>
      <x:c r="I543" s="19" t="str">
        <x:v>Similarweb 行业映射</x:v>
      </x:c>
      <x:c r="J543" s="19" t="n">
        <x:v>84425</x:v>
      </x:c>
      <x:c r="K543" s="20" t="n">
        <x:v>0.0018</x:v>
      </x:c>
      <x:c r="L543" s="19" t="str">
        <x:v>下降</x:v>
      </x:c>
      <x:c r="M543" s="20" t="n">
        <x:v>-0.3354</x:v>
      </x:c>
      <x:c r="N543" s="21" t="n">
        <x:v>126914</x:v>
      </x:c>
      <x:c r="O543" s="21" t="n">
        <x:v>228</x:v>
      </x:c>
      <x:c r="P543" s="21" t="n">
        <x:f>ROUND(N543*K543,0)</x:f>
        <x:v>228</x:v>
      </x:c>
      <x:c r="Q543" s="19" t="str">
        <x:v>否</x:v>
      </x:c>
      <x:c r="R543" s="19" t="str"/>
      <x:c r="S543" s="19" t="n">
        <x:f>IF(Q543="是",0,MIN(10,2+IF(C543="高",2,1)+IF(K543&gt;=3%,3,IF(K543&gt;=1%,2,1))+IF(L543="新出现",2,IF(M543&gt;=100%,3,IF(M543&gt;0,2,0)))))</x:f>
        <x:v>4</x:v>
      </x:c>
      <x:c r="T543" s="21"/>
      <x:c r="U543" s="20"/>
      <x:c r="V543" s="19" t="str">
        <x:v>http://muted.io/</x:v>
      </x:c>
      <x:c r="W543" s="19" t="str">
        <x:v>https://pro.similarweb.com/#/digitalsuite/websiteanalysis/referrals/*/999/1m?webSource=Total&amp;selectedTab=incomingTraffic&amp;key=lemonsqueezy.com</x:v>
      </x:c>
      <x:c r="X543" s="20" t="n">
        <x:f>IF(Q543="是",0,IFERROR(P543/SUMIFS($P$2:$P$964,$A$2:$A$964,A543,$Q$2:$Q$964,"否"),0))</x:f>
        <x:v>0.0031456085648850747</x:v>
      </x:c>
      <x:c r="Y543" s="22" t="str">
        <x:f>IF(OR(M543="",U543=""),"未交叉",IF(M543*U543&gt;0,"同向",IF(M543*U543&lt;0,"背离","一侧持平")))</x:f>
        <x:v>未交叉</x:v>
      </x:c>
    </x:row>
    <x:row r="544">
      <x:c r="A544" s="18" t="str">
        <x:v>store.payproglobal.com</x:v>
      </x:c>
      <x:c r="B544" s="19" t="str">
        <x:v>专用支付/结账入口</x:v>
      </x:c>
      <x:c r="C544" s="19" t="str">
        <x:v>高</x:v>
      </x:c>
      <x:c r="D544" s="19" t="str">
        <x:v>Jul 2026</x:v>
      </x:c>
      <x:c r="E544" s="19" t="n">
        <x:v>1</x:v>
      </x:c>
      <x:c r="F544" s="19" t="str">
        <x:v>Referral</x:v>
      </x:c>
      <x:c r="G544" s="19" t="str">
        <x:v>Unknown</x:v>
      </x:c>
      <x:c r="H544" s="19" t="str">
        <x:v>其他/待核查</x:v>
      </x:c>
      <x:c r="I544" s="19" t="str">
        <x:v>Similarweb 未分类</x:v>
      </x:c>
      <x:c r="J544" s="19"/>
      <x:c r="K544" s="20" t="n">
        <x:v>0.1985</x:v>
      </x:c>
      <x:c r="L544" s="19" t="str">
        <x:v>下降</x:v>
      </x:c>
      <x:c r="M544" s="20" t="n">
        <x:v>-0.0897</x:v>
      </x:c>
      <x:c r="N544" s="21" t="n">
        <x:v>300299</x:v>
      </x:c>
      <x:c r="O544" s="21" t="n">
        <x:v>59609</x:v>
      </x:c>
      <x:c r="P544" s="21" t="n">
        <x:f>ROUND(N544*K544,0)</x:f>
        <x:v>59609</x:v>
      </x:c>
      <x:c r="Q544" s="19" t="str">
        <x:v>是</x:v>
      </x:c>
      <x:c r="R544" s="19" t="str">
        <x:v>无效/聚合标签</x:v>
      </x:c>
      <x:c r="S544" s="19" t="n">
        <x:f>IF(Q544="是",0,MIN(10,2+IF(C544="高",2,1)+IF(K544&gt;=3%,3,IF(K544&gt;=1%,2,1))+IF(L544="新出现",2,IF(M544&gt;=100%,3,IF(M544&gt;0,2,0)))))</x:f>
        <x:v>0</x:v>
      </x:c>
      <x:c r="T544" s="21"/>
      <x:c r="U544" s="20"/>
      <x:c r="V544" s="19" t="str">
        <x:v>http://referral/</x:v>
      </x:c>
      <x:c r="W544" s="19" t="str">
        <x:v>https://pro.similarweb.com/#/digitalsuite/websiteanalysis/referrals/*/999/1m?webSource=Total&amp;selectedTab=incomingTraffic&amp;key=store.payproglobal.com</x:v>
      </x:c>
      <x:c r="X544" s="20" t="n">
        <x:f>IF(Q544="是",0,IFERROR(P544/SUMIFS($P$2:$P$964,$A$2:$A$964,A544,$Q$2:$Q$964,"否"),0))</x:f>
        <x:v>0</x:v>
      </x:c>
      <x:c r="Y544" s="22" t="str">
        <x:f>IF(OR(M544="",U544=""),"未交叉",IF(M544*U544&gt;0,"同向",IF(M544*U544&lt;0,"背离","一侧持平")))</x:f>
        <x:v>未交叉</x:v>
      </x:c>
    </x:row>
    <x:row r="545">
      <x:c r="A545" s="18" t="str">
        <x:v>store.payproglobal.com</x:v>
      </x:c>
      <x:c r="B545" s="19" t="str">
        <x:v>专用支付/结账入口</x:v>
      </x:c>
      <x:c r="C545" s="19" t="str">
        <x:v>高</x:v>
      </x:c>
      <x:c r="D545" s="19" t="str">
        <x:v>Jul 2026</x:v>
      </x:c>
      <x:c r="E545" s="19" t="n">
        <x:v>2</x:v>
      </x:c>
      <x:c r="F545" s="19" t="str">
        <x:v>virtualdj.com</x:v>
      </x:c>
      <x:c r="G545" s="19" t="str">
        <x:v>Programming and Developer Software</x:v>
      </x:c>
      <x:c r="H545" s="19" t="str">
        <x:v>桌面/移动端专业工具</x:v>
      </x:c>
      <x:c r="I545" s="19" t="str">
        <x:v>域名人工识别</x:v>
      </x:c>
      <x:c r="J545" s="19" t="n">
        <x:v>49754</x:v>
      </x:c>
      <x:c r="K545" s="20" t="n">
        <x:v>0.0667</x:v>
      </x:c>
      <x:c r="L545" s="19" t="str">
        <x:v>上升</x:v>
      </x:c>
      <x:c r="M545" s="20" t="n">
        <x:v>0.23989999999999997</x:v>
      </x:c>
      <x:c r="N545" s="21" t="n">
        <x:v>300299</x:v>
      </x:c>
      <x:c r="O545" s="21" t="n">
        <x:v>20030</x:v>
      </x:c>
      <x:c r="P545" s="21" t="n">
        <x:f>ROUND(N545*K545,0)</x:f>
        <x:v>20030</x:v>
      </x:c>
      <x:c r="Q545" s="19" t="str">
        <x:v>否</x:v>
      </x:c>
      <x:c r="R545" s="19" t="str"/>
      <x:c r="S545" s="19" t="n">
        <x:f>IF(Q545="是",0,MIN(10,2+IF(C545="高",2,1)+IF(K545&gt;=3%,3,IF(K545&gt;=1%,2,1))+IF(L545="新出现",2,IF(M545&gt;=100%,3,IF(M545&gt;0,2,0)))))</x:f>
        <x:v>9</x:v>
      </x:c>
      <x:c r="T545" s="21"/>
      <x:c r="U545" s="20"/>
      <x:c r="V545" s="19" t="str">
        <x:v>http://virtualdj.com/</x:v>
      </x:c>
      <x:c r="W545" s="19" t="str">
        <x:v>https://pro.similarweb.com/#/digitalsuite/websiteanalysis/referrals/*/999/1m?webSource=Total&amp;selectedTab=incomingTraffic&amp;key=store.payproglobal.com</x:v>
      </x:c>
      <x:c r="X545" s="20" t="n">
        <x:f>IF(Q545="是",0,IFERROR(P545/SUMIFS($P$2:$P$964,$A$2:$A$964,A545,$Q$2:$Q$964,"否"),0))</x:f>
        <x:v>0.09609664357404671</x:v>
      </x:c>
      <x:c r="Y545" s="22" t="str">
        <x:f>IF(OR(M545="",U545=""),"未交叉",IF(M545*U545&gt;0,"同向",IF(M545*U545&lt;0,"背离","一侧持平")))</x:f>
        <x:v>未交叉</x:v>
      </x:c>
    </x:row>
    <x:row r="546">
      <x:c r="A546" s="18" t="str">
        <x:v>store.payproglobal.com</x:v>
      </x:c>
      <x:c r="B546" s="19" t="str">
        <x:v>专用支付/结账入口</x:v>
      </x:c>
      <x:c r="C546" s="19" t="str">
        <x:v>高</x:v>
      </x:c>
      <x:c r="D546" s="19" t="str">
        <x:v>Jul 2026</x:v>
      </x:c>
      <x:c r="E546" s="19" t="n">
        <x:v>3</x:v>
      </x:c>
      <x:c r="F546" s="19" t="str">
        <x:v>powerampapp.com</x:v>
      </x:c>
      <x:c r="G546" s="19" t="str">
        <x:v>Computers Electronics and Technology</x:v>
      </x:c>
      <x:c r="H546" s="19" t="str">
        <x:v>桌面/移动端专业工具</x:v>
      </x:c>
      <x:c r="I546" s="19" t="str">
        <x:v>域名人工识别</x:v>
      </x:c>
      <x:c r="J546" s="19" t="n">
        <x:v>69611</x:v>
      </x:c>
      <x:c r="K546" s="20" t="n">
        <x:v>0.052199999999999996</x:v>
      </x:c>
      <x:c r="L546" s="19" t="str">
        <x:v>上升</x:v>
      </x:c>
      <x:c r="M546" s="20" t="n">
        <x:v>0.8493999999999999</x:v>
      </x:c>
      <x:c r="N546" s="21" t="n">
        <x:v>300299</x:v>
      </x:c>
      <x:c r="O546" s="21" t="n">
        <x:v>15676</x:v>
      </x:c>
      <x:c r="P546" s="21" t="n">
        <x:f>ROUND(N546*K546,0)</x:f>
        <x:v>15676</x:v>
      </x:c>
      <x:c r="Q546" s="19" t="str">
        <x:v>否</x:v>
      </x:c>
      <x:c r="R546" s="19" t="str"/>
      <x:c r="S546" s="19" t="n">
        <x:f>IF(Q546="是",0,MIN(10,2+IF(C546="高",2,1)+IF(K546&gt;=3%,3,IF(K546&gt;=1%,2,1))+IF(L546="新出现",2,IF(M546&gt;=100%,3,IF(M546&gt;0,2,0)))))</x:f>
        <x:v>9</x:v>
      </x:c>
      <x:c r="T546" s="21"/>
      <x:c r="U546" s="20"/>
      <x:c r="V546" s="19" t="str">
        <x:v>http://powerampapp.com/</x:v>
      </x:c>
      <x:c r="W546" s="19" t="str">
        <x:v>https://pro.similarweb.com/#/digitalsuite/websiteanalysis/referrals/*/999/1m?webSource=Total&amp;selectedTab=incomingTraffic&amp;key=store.payproglobal.com</x:v>
      </x:c>
      <x:c r="X546" s="20" t="n">
        <x:f>IF(Q546="是",0,IFERROR(P546/SUMIFS($P$2:$P$964,$A$2:$A$964,A546,$Q$2:$Q$964,"否"),0))</x:f>
        <x:v>0.07520773762689746</x:v>
      </x:c>
      <x:c r="Y546" s="22" t="str">
        <x:f>IF(OR(M546="",U546=""),"未交叉",IF(M546*U546&gt;0,"同向",IF(M546*U546&lt;0,"背离","一侧持平")))</x:f>
        <x:v>未交叉</x:v>
      </x:c>
    </x:row>
    <x:row r="547">
      <x:c r="A547" s="18" t="str">
        <x:v>store.payproglobal.com</x:v>
      </x:c>
      <x:c r="B547" s="19" t="str">
        <x:v>专用支付/结账入口</x:v>
      </x:c>
      <x:c r="C547" s="19" t="str">
        <x:v>高</x:v>
      </x:c>
      <x:c r="D547" s="19" t="str">
        <x:v>Jul 2026</x:v>
      </x:c>
      <x:c r="E547" s="19" t="n">
        <x:v>4</x:v>
      </x:c>
      <x:c r="F547" s="19" t="str">
        <x:v>adbappcontrol.com</x:v>
      </x:c>
      <x:c r="G547" s="19" t="str">
        <x:v>Computers Electronics and Technology</x:v>
      </x:c>
      <x:c r="H547" s="19" t="str">
        <x:v>桌面/移动端专业工具</x:v>
      </x:c>
      <x:c r="I547" s="19" t="str">
        <x:v>域名人工识别</x:v>
      </x:c>
      <x:c r="J547" s="19" t="n">
        <x:v>168129</x:v>
      </x:c>
      <x:c r="K547" s="20" t="n">
        <x:v>0.0441</x:v>
      </x:c>
      <x:c r="L547" s="19" t="str">
        <x:v>上升</x:v>
      </x:c>
      <x:c r="M547" s="20" t="n">
        <x:v>2.0296000000000003</x:v>
      </x:c>
      <x:c r="N547" s="21" t="n">
        <x:v>300299</x:v>
      </x:c>
      <x:c r="O547" s="21" t="n">
        <x:v>13243</x:v>
      </x:c>
      <x:c r="P547" s="21" t="n">
        <x:f>ROUND(N547*K547,0)</x:f>
        <x:v>13243</x:v>
      </x:c>
      <x:c r="Q547" s="19" t="str">
        <x:v>否</x:v>
      </x:c>
      <x:c r="R547" s="19" t="str"/>
      <x:c r="S547" s="19" t="n">
        <x:f>IF(Q547="是",0,MIN(10,2+IF(C547="高",2,1)+IF(K547&gt;=3%,3,IF(K547&gt;=1%,2,1))+IF(L547="新出现",2,IF(M547&gt;=100%,3,IF(M547&gt;0,2,0)))))</x:f>
        <x:v>10</x:v>
      </x:c>
      <x:c r="T547" s="21" t="n">
        <x:v>273299</x:v>
      </x:c>
      <x:c r="U547" s="20" t="n">
        <x:v>0.023399999999999997</x:v>
      </x:c>
      <x:c r="V547" s="19" t="str">
        <x:v>http://adbappcontrol.com/</x:v>
      </x:c>
      <x:c r="W547" s="19" t="str">
        <x:v>https://pro.similarweb.com/#/digitalsuite/websiteanalysis/referrals/*/999/1m?webSource=Total&amp;selectedTab=incomingTraffic&amp;key=store.payproglobal.com</x:v>
      </x:c>
      <x:c r="X547" s="20" t="n">
        <x:f>IF(Q547="是",0,IFERROR(P547/SUMIFS($P$2:$P$964,$A$2:$A$964,A547,$Q$2:$Q$964,"否"),0))</x:f>
        <x:v>0.06353508990769349</x:v>
      </x:c>
      <x:c r="Y547" s="22" t="str">
        <x:f>IF(OR(M547="",U547=""),"未交叉",IF(M547*U547&gt;0,"同向",IF(M547*U547&lt;0,"背离","一侧持平")))</x:f>
        <x:v>同向</x:v>
      </x:c>
    </x:row>
    <x:row r="548">
      <x:c r="A548" s="18" t="str">
        <x:v>store.payproglobal.com</x:v>
      </x:c>
      <x:c r="B548" s="19" t="str">
        <x:v>专用支付/结账入口</x:v>
      </x:c>
      <x:c r="C548" s="19" t="str">
        <x:v>高</x:v>
      </x:c>
      <x:c r="D548" s="19" t="str">
        <x:v>Jul 2026</x:v>
      </x:c>
      <x:c r="E548" s="19" t="n">
        <x:v>5</x:v>
      </x:c>
      <x:c r="F548" s="19" t="str">
        <x:v>utorrent.com</x:v>
      </x:c>
      <x:c r="G548" s="19" t="str">
        <x:v>File Sharing and Hosting</x:v>
      </x:c>
      <x:c r="H548" s="19" t="str">
        <x:v>桌面/移动端专业工具</x:v>
      </x:c>
      <x:c r="I548" s="19" t="str">
        <x:v>域名人工识别</x:v>
      </x:c>
      <x:c r="J548" s="19" t="n">
        <x:v>8307</x:v>
      </x:c>
      <x:c r="K548" s="20" t="n">
        <x:v>0.0385</x:v>
      </x:c>
      <x:c r="L548" s="19" t="str">
        <x:v>上升</x:v>
      </x:c>
      <x:c r="M548" s="20" t="n">
        <x:v>0.3226</x:v>
      </x:c>
      <x:c r="N548" s="21" t="n">
        <x:v>300299</x:v>
      </x:c>
      <x:c r="O548" s="21" t="n">
        <x:v>11562</x:v>
      </x:c>
      <x:c r="P548" s="21" t="n">
        <x:f>ROUND(N548*K548,0)</x:f>
        <x:v>11562</x:v>
      </x:c>
      <x:c r="Q548" s="19" t="str">
        <x:v>否</x:v>
      </x:c>
      <x:c r="R548" s="19" t="str"/>
      <x:c r="S548" s="19" t="n">
        <x:f>IF(Q548="是",0,MIN(10,2+IF(C548="高",2,1)+IF(K548&gt;=3%,3,IF(K548&gt;=1%,2,1))+IF(L548="新出现",2,IF(M548&gt;=100%,3,IF(M548&gt;0,2,0)))))</x:f>
        <x:v>9</x:v>
      </x:c>
      <x:c r="T548" s="21"/>
      <x:c r="U548" s="20"/>
      <x:c r="V548" s="19" t="str">
        <x:v>http://utorrent.com/</x:v>
      </x:c>
      <x:c r="W548" s="19" t="str">
        <x:v>https://pro.similarweb.com/#/digitalsuite/websiteanalysis/referrals/*/999/1m?webSource=Total&amp;selectedTab=incomingTraffic&amp;key=store.payproglobal.com</x:v>
      </x:c>
      <x:c r="X548" s="20" t="n">
        <x:f>IF(Q548="是",0,IFERROR(P548/SUMIFS($P$2:$P$964,$A$2:$A$964,A548,$Q$2:$Q$964,"否"),0))</x:f>
        <x:v>0.05547026425377574</x:v>
      </x:c>
      <x:c r="Y548" s="22" t="str">
        <x:f>IF(OR(M548="",U548=""),"未交叉",IF(M548*U548&gt;0,"同向",IF(M548*U548&lt;0,"背离","一侧持平")))</x:f>
        <x:v>未交叉</x:v>
      </x:c>
    </x:row>
    <x:row r="549">
      <x:c r="A549" s="18" t="str">
        <x:v>store.payproglobal.com</x:v>
      </x:c>
      <x:c r="B549" s="19" t="str">
        <x:v>专用支付/结账入口</x:v>
      </x:c>
      <x:c r="C549" s="19" t="str">
        <x:v>高</x:v>
      </x:c>
      <x:c r="D549" s="19" t="str">
        <x:v>Jul 2026</x:v>
      </x:c>
      <x:c r="E549" s="19" t="n">
        <x:v>6</x:v>
      </x:c>
      <x:c r="F549" s="19" t="str">
        <x:v>dapachecker.org</x:v>
      </x:c>
      <x:c r="G549" s="19" t="str">
        <x:v>Graphics Multimedia and Web Design</x:v>
      </x:c>
      <x:c r="H549" s="19" t="str">
        <x:v>创作、设计与多媒体工具</x:v>
      </x:c>
      <x:c r="I549" s="19" t="str">
        <x:v>Similarweb 行业映射</x:v>
      </x:c>
      <x:c r="J549" s="19" t="n">
        <x:v>150919</x:v>
      </x:c>
      <x:c r="K549" s="20" t="n">
        <x:v>0.0276</x:v>
      </x:c>
      <x:c r="L549" s="19" t="str">
        <x:v>上升</x:v>
      </x:c>
      <x:c r="M549" s="20" t="n">
        <x:v>0.355</x:v>
      </x:c>
      <x:c r="N549" s="21" t="n">
        <x:v>300299</x:v>
      </x:c>
      <x:c r="O549" s="21" t="n">
        <x:v>8288</x:v>
      </x:c>
      <x:c r="P549" s="21" t="n">
        <x:f>ROUND(N549*K549,0)</x:f>
        <x:v>8288</x:v>
      </x:c>
      <x:c r="Q549" s="19" t="str">
        <x:v>否</x:v>
      </x:c>
      <x:c r="R549" s="19" t="str"/>
      <x:c r="S549" s="19" t="n">
        <x:f>IF(Q549="是",0,MIN(10,2+IF(C549="高",2,1)+IF(K549&gt;=3%,3,IF(K549&gt;=1%,2,1))+IF(L549="新出现",2,IF(M549&gt;=100%,3,IF(M549&gt;0,2,0)))))</x:f>
        <x:v>8</x:v>
      </x:c>
      <x:c r="T549" s="21"/>
      <x:c r="U549" s="20"/>
      <x:c r="V549" s="19" t="str">
        <x:v>http://dapachecker.org/</x:v>
      </x:c>
      <x:c r="W549" s="19" t="str">
        <x:v>https://pro.similarweb.com/#/digitalsuite/websiteanalysis/referrals/*/999/1m?webSource=Total&amp;selectedTab=incomingTraffic&amp;key=store.payproglobal.com</x:v>
      </x:c>
      <x:c r="X549" s="20" t="n">
        <x:f>IF(Q549="是",0,IFERROR(P549/SUMIFS($P$2:$P$964,$A$2:$A$964,A549,$Q$2:$Q$964,"否"),0))</x:f>
        <x:v>0.03976280488975033</x:v>
      </x:c>
      <x:c r="Y549" s="22" t="str">
        <x:f>IF(OR(M549="",U549=""),"未交叉",IF(M549*U549&gt;0,"同向",IF(M549*U549&lt;0,"背离","一侧持平")))</x:f>
        <x:v>未交叉</x:v>
      </x:c>
    </x:row>
    <x:row r="550">
      <x:c r="A550" s="18" t="str">
        <x:v>store.payproglobal.com</x:v>
      </x:c>
      <x:c r="B550" s="19" t="str">
        <x:v>专用支付/结账入口</x:v>
      </x:c>
      <x:c r="C550" s="19" t="str">
        <x:v>高</x:v>
      </x:c>
      <x:c r="D550" s="19" t="str">
        <x:v>Jul 2026</x:v>
      </x:c>
      <x:c r="E550" s="19" t="n">
        <x:v>7</x:v>
      </x:c>
      <x:c r="F550" s="19" t="str">
        <x:v>paypal.com</x:v>
      </x:c>
      <x:c r="G550" s="19" t="str">
        <x:v>Banking Credit and Lending</x:v>
      </x:c>
      <x:c r="H550" s="19" t="str">
        <x:v>金融、支付与交易服务</x:v>
      </x:c>
      <x:c r="I550" s="19" t="str">
        <x:v>Similarweb 行业映射</x:v>
      </x:c>
      <x:c r="J550" s="19" t="n">
        <x:v>70</x:v>
      </x:c>
      <x:c r="K550" s="20" t="n">
        <x:v>0.024700000000000003</x:v>
      </x:c>
      <x:c r="L550" s="19" t="str">
        <x:v>下降</x:v>
      </x:c>
      <x:c r="M550" s="20" t="n">
        <x:v>-0.2581</x:v>
      </x:c>
      <x:c r="N550" s="21" t="n">
        <x:v>300299</x:v>
      </x:c>
      <x:c r="O550" s="21" t="n">
        <x:v>7417</x:v>
      </x:c>
      <x:c r="P550" s="21" t="n">
        <x:f>ROUND(N550*K550,0)</x:f>
        <x:v>7417</x:v>
      </x:c>
      <x:c r="Q550" s="19" t="str">
        <x:v>是</x:v>
      </x:c>
      <x:c r="R550" s="19" t="str">
        <x:v>支付平台、自引荐或流量中介</x:v>
      </x:c>
      <x:c r="S550" s="19" t="n">
        <x:f>IF(Q550="是",0,MIN(10,2+IF(C550="高",2,1)+IF(K550&gt;=3%,3,IF(K550&gt;=1%,2,1))+IF(L550="新出现",2,IF(M550&gt;=100%,3,IF(M550&gt;0,2,0)))))</x:f>
        <x:v>0</x:v>
      </x:c>
      <x:c r="T550" s="21"/>
      <x:c r="U550" s="20"/>
      <x:c r="V550" s="19" t="str">
        <x:v>http://paypal.com/</x:v>
      </x:c>
      <x:c r="W550" s="19" t="str">
        <x:v>https://pro.similarweb.com/#/digitalsuite/websiteanalysis/referrals/*/999/1m?webSource=Total&amp;selectedTab=incomingTraffic&amp;key=store.payproglobal.com</x:v>
      </x:c>
      <x:c r="X550" s="20" t="n">
        <x:f>IF(Q550="是",0,IFERROR(P550/SUMIFS($P$2:$P$964,$A$2:$A$964,A550,$Q$2:$Q$964,"否"),0))</x:f>
        <x:v>0</x:v>
      </x:c>
      <x:c r="Y550" s="22" t="str">
        <x:f>IF(OR(M550="",U550=""),"未交叉",IF(M550*U550&gt;0,"同向",IF(M550*U550&lt;0,"背离","一侧持平")))</x:f>
        <x:v>未交叉</x:v>
      </x:c>
    </x:row>
    <x:row r="551">
      <x:c r="A551" s="18" t="str">
        <x:v>store.payproglobal.com</x:v>
      </x:c>
      <x:c r="B551" s="19" t="str">
        <x:v>专用支付/结账入口</x:v>
      </x:c>
      <x:c r="C551" s="19" t="str">
        <x:v>高</x:v>
      </x:c>
      <x:c r="D551" s="19" t="str">
        <x:v>Jul 2026</x:v>
      </x:c>
      <x:c r="E551" s="19" t="n">
        <x:v>8</x:v>
      </x:c>
      <x:c r="F551" s="19" t="str">
        <x:v>emclient.com</x:v>
      </x:c>
      <x:c r="G551" s="19" t="str">
        <x:v>Programming and Developer Software</x:v>
      </x:c>
      <x:c r="H551" s="19" t="str">
        <x:v>桌面/移动端专业工具</x:v>
      </x:c>
      <x:c r="I551" s="19" t="str">
        <x:v>域名人工识别</x:v>
      </x:c>
      <x:c r="J551" s="19" t="n">
        <x:v>124816</x:v>
      </x:c>
      <x:c r="K551" s="20" t="n">
        <x:v>0.0233</x:v>
      </x:c>
      <x:c r="L551" s="19" t="str">
        <x:v>上升</x:v>
      </x:c>
      <x:c r="M551" s="20" t="n">
        <x:v>0.3772</x:v>
      </x:c>
      <x:c r="N551" s="21" t="n">
        <x:v>300299</x:v>
      </x:c>
      <x:c r="O551" s="21" t="n">
        <x:v>6997</x:v>
      </x:c>
      <x:c r="P551" s="21" t="n">
        <x:f>ROUND(N551*K551,0)</x:f>
        <x:v>6997</x:v>
      </x:c>
      <x:c r="Q551" s="19" t="str">
        <x:v>否</x:v>
      </x:c>
      <x:c r="R551" s="19" t="str"/>
      <x:c r="S551" s="19" t="n">
        <x:f>IF(Q551="是",0,MIN(10,2+IF(C551="高",2,1)+IF(K551&gt;=3%,3,IF(K551&gt;=1%,2,1))+IF(L551="新出现",2,IF(M551&gt;=100%,3,IF(M551&gt;0,2,0)))))</x:f>
        <x:v>8</x:v>
      </x:c>
      <x:c r="T551" s="21"/>
      <x:c r="U551" s="20"/>
      <x:c r="V551" s="19" t="str">
        <x:v>http://emclient.com/</x:v>
      </x:c>
      <x:c r="W551" s="19" t="str">
        <x:v>https://pro.similarweb.com/#/digitalsuite/websiteanalysis/referrals/*/999/1m?webSource=Total&amp;selectedTab=incomingTraffic&amp;key=store.payproglobal.com</x:v>
      </x:c>
      <x:c r="X551" s="20" t="n">
        <x:f>IF(Q551="是",0,IFERROR(P551/SUMIFS($P$2:$P$964,$A$2:$A$964,A551,$Q$2:$Q$964,"否"),0))</x:f>
        <x:v>0.0335690571686273</x:v>
      </x:c>
      <x:c r="Y551" s="22" t="str">
        <x:f>IF(OR(M551="",U551=""),"未交叉",IF(M551*U551&gt;0,"同向",IF(M551*U551&lt;0,"背离","一侧持平")))</x:f>
        <x:v>未交叉</x:v>
      </x:c>
    </x:row>
    <x:row r="552">
      <x:c r="A552" s="18" t="str">
        <x:v>store.payproglobal.com</x:v>
      </x:c>
      <x:c r="B552" s="19" t="str">
        <x:v>专用支付/结账入口</x:v>
      </x:c>
      <x:c r="C552" s="19" t="str">
        <x:v>高</x:v>
      </x:c>
      <x:c r="D552" s="19" t="str">
        <x:v>Jul 2026</x:v>
      </x:c>
      <x:c r="E552" s="19" t="n">
        <x:v>9</x:v>
      </x:c>
      <x:c r="F552" s="19" t="str">
        <x:v>macrorecorder.com</x:v>
      </x:c>
      <x:c r="G552" s="19" t="str">
        <x:v>Video Games Consoles and Accessories</x:v>
      </x:c>
      <x:c r="H552" s="19" t="str">
        <x:v>桌面/移动端专业工具</x:v>
      </x:c>
      <x:c r="I552" s="19" t="str">
        <x:v>域名人工识别</x:v>
      </x:c>
      <x:c r="J552" s="19" t="n">
        <x:v>176274</x:v>
      </x:c>
      <x:c r="K552" s="20" t="n">
        <x:v>0.0219</x:v>
      </x:c>
      <x:c r="L552" s="19" t="str">
        <x:v>下降</x:v>
      </x:c>
      <x:c r="M552" s="20" t="n">
        <x:v>-0.2141</x:v>
      </x:c>
      <x:c r="N552" s="21" t="n">
        <x:v>300299</x:v>
      </x:c>
      <x:c r="O552" s="21" t="n">
        <x:v>6577</x:v>
      </x:c>
      <x:c r="P552" s="21" t="n">
        <x:f>ROUND(N552*K552,0)</x:f>
        <x:v>6577</x:v>
      </x:c>
      <x:c r="Q552" s="19" t="str">
        <x:v>否</x:v>
      </x:c>
      <x:c r="R552" s="19" t="str"/>
      <x:c r="S552" s="19" t="n">
        <x:f>IF(Q552="是",0,MIN(10,2+IF(C552="高",2,1)+IF(K552&gt;=3%,3,IF(K552&gt;=1%,2,1))+IF(L552="新出现",2,IF(M552&gt;=100%,3,IF(M552&gt;0,2,0)))))</x:f>
        <x:v>6</x:v>
      </x:c>
      <x:c r="T552" s="21"/>
      <x:c r="U552" s="20"/>
      <x:c r="V552" s="19" t="str">
        <x:v>http://macrorecorder.com/</x:v>
      </x:c>
      <x:c r="W552" s="19" t="str">
        <x:v>https://pro.similarweb.com/#/digitalsuite/websiteanalysis/referrals/*/999/1m?webSource=Total&amp;selectedTab=incomingTraffic&amp;key=store.payproglobal.com</x:v>
      </x:c>
      <x:c r="X552" s="20" t="n">
        <x:f>IF(Q552="是",0,IFERROR(P552/SUMIFS($P$2:$P$964,$A$2:$A$964,A552,$Q$2:$Q$964,"否"),0))</x:f>
        <x:v>0.03155405016407914</x:v>
      </x:c>
      <x:c r="Y552" s="22" t="str">
        <x:f>IF(OR(M552="",U552=""),"未交叉",IF(M552*U552&gt;0,"同向",IF(M552*U552&lt;0,"背离","一侧持平")))</x:f>
        <x:v>未交叉</x:v>
      </x:c>
    </x:row>
    <x:row r="553">
      <x:c r="A553" s="18" t="str">
        <x:v>store.payproglobal.com</x:v>
      </x:c>
      <x:c r="B553" s="19" t="str">
        <x:v>专用支付/结账入口</x:v>
      </x:c>
      <x:c r="C553" s="19" t="str">
        <x:v>高</x:v>
      </x:c>
      <x:c r="D553" s="19" t="str">
        <x:v>Jul 2026</x:v>
      </x:c>
      <x:c r="E553" s="19" t="n">
        <x:v>10</x:v>
      </x:c>
      <x:c r="F553" s="19" t="str">
        <x:v>cc.payproglobal.com</x:v>
      </x:c>
      <x:c r="G553" s="19" t="str">
        <x:v>Computers Electronics and Technology</x:v>
      </x:c>
      <x:c r="H553" s="19" t="str">
        <x:v>通用数字产品与技术服务</x:v>
      </x:c>
      <x:c r="I553" s="19" t="str">
        <x:v>Similarweb 行业映射</x:v>
      </x:c>
      <x:c r="J553" s="19"/>
      <x:c r="K553" s="20" t="n">
        <x:v>0.0207</x:v>
      </x:c>
      <x:c r="L553" s="19" t="str">
        <x:v>下降</x:v>
      </x:c>
      <x:c r="M553" s="20" t="n">
        <x:v>-0.20120000000000002</x:v>
      </x:c>
      <x:c r="N553" s="21" t="n">
        <x:v>300299</x:v>
      </x:c>
      <x:c r="O553" s="21" t="n">
        <x:v>6216</x:v>
      </x:c>
      <x:c r="P553" s="21" t="n">
        <x:f>ROUND(N553*K553,0)</x:f>
        <x:v>6216</x:v>
      </x:c>
      <x:c r="Q553" s="19" t="str">
        <x:v>是</x:v>
      </x:c>
      <x:c r="R553" s="19" t="str">
        <x:v>支付平台、自引荐或流量中介</x:v>
      </x:c>
      <x:c r="S553" s="19" t="n">
        <x:f>IF(Q553="是",0,MIN(10,2+IF(C553="高",2,1)+IF(K553&gt;=3%,3,IF(K553&gt;=1%,2,1))+IF(L553="新出现",2,IF(M553&gt;=100%,3,IF(M553&gt;0,2,0)))))</x:f>
        <x:v>0</x:v>
      </x:c>
      <x:c r="T553" s="21"/>
      <x:c r="U553" s="20"/>
      <x:c r="V553" s="19" t="str">
        <x:v>http://cc.payproglobal.com/</x:v>
      </x:c>
      <x:c r="W553" s="19" t="str">
        <x:v>https://pro.similarweb.com/#/digitalsuite/websiteanalysis/referrals/*/999/1m?webSource=Total&amp;selectedTab=incomingTraffic&amp;key=store.payproglobal.com</x:v>
      </x:c>
      <x:c r="X553" s="20" t="n">
        <x:f>IF(Q553="是",0,IFERROR(P553/SUMIFS($P$2:$P$964,$A$2:$A$964,A553,$Q$2:$Q$964,"否"),0))</x:f>
        <x:v>0</x:v>
      </x:c>
      <x:c r="Y553" s="22" t="str">
        <x:f>IF(OR(M553="",U553=""),"未交叉",IF(M553*U553&gt;0,"同向",IF(M553*U553&lt;0,"背离","一侧持平")))</x:f>
        <x:v>未交叉</x:v>
      </x:c>
    </x:row>
    <x:row r="554">
      <x:c r="A554" s="18" t="str">
        <x:v>store.payproglobal.com</x:v>
      </x:c>
      <x:c r="B554" s="19" t="str">
        <x:v>专用支付/结账入口</x:v>
      </x:c>
      <x:c r="C554" s="19" t="str">
        <x:v>高</x:v>
      </x:c>
      <x:c r="D554" s="19" t="str">
        <x:v>Jul 2026</x:v>
      </x:c>
      <x:c r="E554" s="19" t="n">
        <x:v>11</x:v>
      </x:c>
      <x:c r="F554" s="19" t="str">
        <x:v>internetdownloadmanager.com</x:v>
      </x:c>
      <x:c r="G554" s="19" t="str">
        <x:v>Programming and Developer Software</x:v>
      </x:c>
      <x:c r="H554" s="19" t="str">
        <x:v>开发者工具与互联网基础设施</x:v>
      </x:c>
      <x:c r="I554" s="19" t="str">
        <x:v>Similarweb 行业映射</x:v>
      </x:c>
      <x:c r="J554" s="19" t="n">
        <x:v>2179</x:v>
      </x:c>
      <x:c r="K554" s="20" t="n">
        <x:v>0.0202</x:v>
      </x:c>
      <x:c r="L554" s="19" t="str">
        <x:v>下降</x:v>
      </x:c>
      <x:c r="M554" s="20" t="n">
        <x:v>-0.16260000000000002</x:v>
      </x:c>
      <x:c r="N554" s="21" t="n">
        <x:v>300299</x:v>
      </x:c>
      <x:c r="O554" s="21" t="n">
        <x:v>6066</x:v>
      </x:c>
      <x:c r="P554" s="21" t="n">
        <x:f>ROUND(N554*K554,0)</x:f>
        <x:v>6066</x:v>
      </x:c>
      <x:c r="Q554" s="19" t="str">
        <x:v>否</x:v>
      </x:c>
      <x:c r="R554" s="19" t="str"/>
      <x:c r="S554" s="19" t="n">
        <x:f>IF(Q554="是",0,MIN(10,2+IF(C554="高",2,1)+IF(K554&gt;=3%,3,IF(K554&gt;=1%,2,1))+IF(L554="新出现",2,IF(M554&gt;=100%,3,IF(M554&gt;0,2,0)))))</x:f>
        <x:v>6</x:v>
      </x:c>
      <x:c r="T554" s="21"/>
      <x:c r="U554" s="20"/>
      <x:c r="V554" s="19" t="str">
        <x:v>http://internetdownloadmanager.com/</x:v>
      </x:c>
      <x:c r="W554" s="19" t="str">
        <x:v>https://pro.similarweb.com/#/digitalsuite/websiteanalysis/referrals/*/999/1m?webSource=Total&amp;selectedTab=incomingTraffic&amp;key=store.payproglobal.com</x:v>
      </x:c>
      <x:c r="X554" s="20" t="n">
        <x:f>IF(Q554="是",0,IFERROR(P554/SUMIFS($P$2:$P$964,$A$2:$A$964,A554,$Q$2:$Q$964,"否"),0))</x:f>
        <x:v>0.029102458308545548</x:v>
      </x:c>
      <x:c r="Y554" s="22" t="str">
        <x:f>IF(OR(M554="",U554=""),"未交叉",IF(M554*U554&gt;0,"同向",IF(M554*U554&lt;0,"背离","一侧持平")))</x:f>
        <x:v>未交叉</x:v>
      </x:c>
    </x:row>
    <x:row r="555">
      <x:c r="A555" s="18" t="str">
        <x:v>store.payproglobal.com</x:v>
      </x:c>
      <x:c r="B555" s="19" t="str">
        <x:v>专用支付/结账入口</x:v>
      </x:c>
      <x:c r="C555" s="19" t="str">
        <x:v>高</x:v>
      </x:c>
      <x:c r="D555" s="19" t="str">
        <x:v>Jul 2026</x:v>
      </x:c>
      <x:c r="E555" s="19" t="n">
        <x:v>12</x:v>
      </x:c>
      <x:c r="F555" s="19" t="str">
        <x:v>wic-reset.com</x:v>
      </x:c>
      <x:c r="G555" s="19" t="str">
        <x:v>Computer Security</x:v>
      </x:c>
      <x:c r="H555" s="19" t="str">
        <x:v>开发者工具与互联网基础设施</x:v>
      </x:c>
      <x:c r="I555" s="19" t="str">
        <x:v>Similarweb 行业映射</x:v>
      </x:c>
      <x:c r="J555" s="19" t="n">
        <x:v>231739</x:v>
      </x:c>
      <x:c r="K555" s="20" t="n">
        <x:v>0.0183</x:v>
      </x:c>
      <x:c r="L555" s="19" t="str">
        <x:v>上升</x:v>
      </x:c>
      <x:c r="M555" s="20" t="n">
        <x:v>2.4363</x:v>
      </x:c>
      <x:c r="N555" s="21" t="n">
        <x:v>300299</x:v>
      </x:c>
      <x:c r="O555" s="21" t="n">
        <x:v>5495</x:v>
      </x:c>
      <x:c r="P555" s="21" t="n">
        <x:f>ROUND(N555*K555,0)</x:f>
        <x:v>5495</x:v>
      </x:c>
      <x:c r="Q555" s="19" t="str">
        <x:v>否</x:v>
      </x:c>
      <x:c r="R555" s="19" t="str"/>
      <x:c r="S555" s="19" t="n">
        <x:f>IF(Q555="是",0,MIN(10,2+IF(C555="高",2,1)+IF(K555&gt;=3%,3,IF(K555&gt;=1%,2,1))+IF(L555="新出现",2,IF(M555&gt;=100%,3,IF(M555&gt;0,2,0)))))</x:f>
        <x:v>9</x:v>
      </x:c>
      <x:c r="T555" s="21"/>
      <x:c r="U555" s="20"/>
      <x:c r="V555" s="19" t="str">
        <x:v>http://wic-reset.com/</x:v>
      </x:c>
      <x:c r="W555" s="19" t="str">
        <x:v>https://pro.similarweb.com/#/digitalsuite/websiteanalysis/referrals/*/999/1m?webSource=Total&amp;selectedTab=incomingTraffic&amp;key=store.payproglobal.com</x:v>
      </x:c>
      <x:c r="X555" s="20" t="n">
        <x:f>IF(Q555="是",0,IFERROR(P555/SUMIFS($P$2:$P$964,$A$2:$A$964,A555,$Q$2:$Q$964,"否"),0))</x:f>
        <x:v>0.026363008309505075</x:v>
      </x:c>
      <x:c r="Y555" s="22" t="str">
        <x:f>IF(OR(M555="",U555=""),"未交叉",IF(M555*U555&gt;0,"同向",IF(M555*U555&lt;0,"背离","一侧持平")))</x:f>
        <x:v>未交叉</x:v>
      </x:c>
    </x:row>
    <x:row r="556">
      <x:c r="A556" s="18" t="str">
        <x:v>store.payproglobal.com</x:v>
      </x:c>
      <x:c r="B556" s="19" t="str">
        <x:v>专用支付/结账入口</x:v>
      </x:c>
      <x:c r="C556" s="19" t="str">
        <x:v>高</x:v>
      </x:c>
      <x:c r="D556" s="19" t="str">
        <x:v>Jul 2026</x:v>
      </x:c>
      <x:c r="E556" s="19" t="n">
        <x:v>13</x:v>
      </x:c>
      <x:c r="F556" s="19" t="str">
        <x:v>iolo.com</x:v>
      </x:c>
      <x:c r="G556" s="19" t="str">
        <x:v>Programming and Developer Software</x:v>
      </x:c>
      <x:c r="H556" s="19" t="str">
        <x:v>开发者工具与互联网基础设施</x:v>
      </x:c>
      <x:c r="I556" s="19" t="str">
        <x:v>Similarweb 行业映射</x:v>
      </x:c>
      <x:c r="J556" s="19" t="n">
        <x:v>92513</x:v>
      </x:c>
      <x:c r="K556" s="20" t="n">
        <x:v>0.015</x:v>
      </x:c>
      <x:c r="L556" s="19" t="str">
        <x:v>上升</x:v>
      </x:c>
      <x:c r="M556" s="20" t="n">
        <x:v>0.6942</x:v>
      </x:c>
      <x:c r="N556" s="21" t="n">
        <x:v>300299</x:v>
      </x:c>
      <x:c r="O556" s="21" t="n">
        <x:v>4504</x:v>
      </x:c>
      <x:c r="P556" s="21" t="n">
        <x:f>ROUND(N556*K556,0)</x:f>
        <x:v>4504</x:v>
      </x:c>
      <x:c r="Q556" s="19" t="str">
        <x:v>否</x:v>
      </x:c>
      <x:c r="R556" s="19" t="str"/>
      <x:c r="S556" s="19" t="n">
        <x:f>IF(Q556="是",0,MIN(10,2+IF(C556="高",2,1)+IF(K556&gt;=3%,3,IF(K556&gt;=1%,2,1))+IF(L556="新出现",2,IF(M556&gt;=100%,3,IF(M556&gt;0,2,0)))))</x:f>
        <x:v>8</x:v>
      </x:c>
      <x:c r="T556" s="21"/>
      <x:c r="U556" s="20"/>
      <x:c r="V556" s="19" t="str">
        <x:v>http://iolo.com/</x:v>
      </x:c>
      <x:c r="W556" s="19" t="str">
        <x:v>https://pro.similarweb.com/#/digitalsuite/websiteanalysis/referrals/*/999/1m?webSource=Total&amp;selectedTab=incomingTraffic&amp;key=store.payproglobal.com</x:v>
      </x:c>
      <x:c r="X556" s="20" t="n">
        <x:f>IF(Q556="是",0,IFERROR(P556/SUMIFS($P$2:$P$964,$A$2:$A$964,A556,$Q$2:$Q$964,"否"),0))</x:f>
        <x:v>0.021608551305916445</x:v>
      </x:c>
      <x:c r="Y556" s="22" t="str">
        <x:f>IF(OR(M556="",U556=""),"未交叉",IF(M556*U556&gt;0,"同向",IF(M556*U556&lt;0,"背离","一侧持平")))</x:f>
        <x:v>未交叉</x:v>
      </x:c>
    </x:row>
    <x:row r="557">
      <x:c r="A557" s="18" t="str">
        <x:v>store.payproglobal.com</x:v>
      </x:c>
      <x:c r="B557" s="19" t="str">
        <x:v>专用支付/结账入口</x:v>
      </x:c>
      <x:c r="C557" s="19" t="str">
        <x:v>高</x:v>
      </x:c>
      <x:c r="D557" s="19" t="str">
        <x:v>Jul 2026</x:v>
      </x:c>
      <x:c r="E557" s="19" t="n">
        <x:v>14</x:v>
      </x:c>
      <x:c r="F557" s="19" t="str">
        <x:v>rewasd.com</x:v>
      </x:c>
      <x:c r="G557" s="19" t="str">
        <x:v>Video Games Consoles and Accessories</x:v>
      </x:c>
      <x:c r="H557" s="19" t="str">
        <x:v>游戏、数字商品与虚拟内容</x:v>
      </x:c>
      <x:c r="I557" s="19" t="str">
        <x:v>Similarweb 行业映射</x:v>
      </x:c>
      <x:c r="J557" s="19" t="n">
        <x:v>100252</x:v>
      </x:c>
      <x:c r="K557" s="20" t="n">
        <x:v>0.0146</x:v>
      </x:c>
      <x:c r="L557" s="19" t="str">
        <x:v>下降</x:v>
      </x:c>
      <x:c r="M557" s="20" t="n">
        <x:v>-0.0707</x:v>
      </x:c>
      <x:c r="N557" s="21" t="n">
        <x:v>300299</x:v>
      </x:c>
      <x:c r="O557" s="21" t="n">
        <x:v>4384</x:v>
      </x:c>
      <x:c r="P557" s="21" t="n">
        <x:f>ROUND(N557*K557,0)</x:f>
        <x:v>4384</x:v>
      </x:c>
      <x:c r="Q557" s="19" t="str">
        <x:v>否</x:v>
      </x:c>
      <x:c r="R557" s="19" t="str"/>
      <x:c r="S557" s="19" t="n">
        <x:f>IF(Q557="是",0,MIN(10,2+IF(C557="高",2,1)+IF(K557&gt;=3%,3,IF(K557&gt;=1%,2,1))+IF(L557="新出现",2,IF(M557&gt;=100%,3,IF(M557&gt;0,2,0)))))</x:f>
        <x:v>6</x:v>
      </x:c>
      <x:c r="T557" s="21"/>
      <x:c r="U557" s="20"/>
      <x:c r="V557" s="19" t="str">
        <x:v>http://rewasd.com/</x:v>
      </x:c>
      <x:c r="W557" s="19" t="str">
        <x:v>https://pro.similarweb.com/#/digitalsuite/websiteanalysis/referrals/*/999/1m?webSource=Total&amp;selectedTab=incomingTraffic&amp;key=store.payproglobal.com</x:v>
      </x:c>
      <x:c r="X557" s="20" t="n">
        <x:f>IF(Q557="是",0,IFERROR(P557/SUMIFS($P$2:$P$964,$A$2:$A$964,A557,$Q$2:$Q$964,"否"),0))</x:f>
        <x:v>0.021032835018902685</x:v>
      </x:c>
      <x:c r="Y557" s="22" t="str">
        <x:f>IF(OR(M557="",U557=""),"未交叉",IF(M557*U557&gt;0,"同向",IF(M557*U557&lt;0,"背离","一侧持平")))</x:f>
        <x:v>未交叉</x:v>
      </x:c>
    </x:row>
    <x:row r="558">
      <x:c r="A558" s="18" t="str">
        <x:v>store.payproglobal.com</x:v>
      </x:c>
      <x:c r="B558" s="19" t="str">
        <x:v>专用支付/结账入口</x:v>
      </x:c>
      <x:c r="C558" s="19" t="str">
        <x:v>高</x:v>
      </x:c>
      <x:c r="D558" s="19" t="str">
        <x:v>Jul 2026</x:v>
      </x:c>
      <x:c r="E558" s="19" t="n">
        <x:v>15</x:v>
      </x:c>
      <x:c r="F558" s="19" t="str">
        <x:v>typingmaster.com</x:v>
      </x:c>
      <x:c r="G558" s="19" t="str">
        <x:v>Programming and Developer Software</x:v>
      </x:c>
      <x:c r="H558" s="19" t="str">
        <x:v>开发者工具与互联网基础设施</x:v>
      </x:c>
      <x:c r="I558" s="19" t="str">
        <x:v>Similarweb 行业映射</x:v>
      </x:c>
      <x:c r="J558" s="19" t="n">
        <x:v>79750</x:v>
      </x:c>
      <x:c r="K558" s="20" t="n">
        <x:v>0.014199999999999999</x:v>
      </x:c>
      <x:c r="L558" s="19" t="str">
        <x:v>上升</x:v>
      </x:c>
      <x:c r="M558" s="20" t="n">
        <x:v>0.662</x:v>
      </x:c>
      <x:c r="N558" s="21" t="n">
        <x:v>300299</x:v>
      </x:c>
      <x:c r="O558" s="21" t="n">
        <x:v>4264</x:v>
      </x:c>
      <x:c r="P558" s="21" t="n">
        <x:f>ROUND(N558*K558,0)</x:f>
        <x:v>4264</x:v>
      </x:c>
      <x:c r="Q558" s="19" t="str">
        <x:v>否</x:v>
      </x:c>
      <x:c r="R558" s="19" t="str"/>
      <x:c r="S558" s="19" t="n">
        <x:f>IF(Q558="是",0,MIN(10,2+IF(C558="高",2,1)+IF(K558&gt;=3%,3,IF(K558&gt;=1%,2,1))+IF(L558="新出现",2,IF(M558&gt;=100%,3,IF(M558&gt;0,2,0)))))</x:f>
        <x:v>8</x:v>
      </x:c>
      <x:c r="T558" s="21"/>
      <x:c r="U558" s="20"/>
      <x:c r="V558" s="19" t="str">
        <x:v>http://typingmaster.com/</x:v>
      </x:c>
      <x:c r="W558" s="19" t="str">
        <x:v>https://pro.similarweb.com/#/digitalsuite/websiteanalysis/referrals/*/999/1m?webSource=Total&amp;selectedTab=incomingTraffic&amp;key=store.payproglobal.com</x:v>
      </x:c>
      <x:c r="X558" s="20" t="n">
        <x:f>IF(Q558="是",0,IFERROR(P558/SUMIFS($P$2:$P$964,$A$2:$A$964,A558,$Q$2:$Q$964,"否"),0))</x:f>
        <x:v>0.020457118731888924</x:v>
      </x:c>
      <x:c r="Y558" s="22" t="str">
        <x:f>IF(OR(M558="",U558=""),"未交叉",IF(M558*U558&gt;0,"同向",IF(M558*U558&lt;0,"背离","一侧持平")))</x:f>
        <x:v>未交叉</x:v>
      </x:c>
    </x:row>
    <x:row r="559">
      <x:c r="A559" s="18" t="str">
        <x:v>store.payproglobal.com</x:v>
      </x:c>
      <x:c r="B559" s="19" t="str">
        <x:v>专用支付/结账入口</x:v>
      </x:c>
      <x:c r="C559" s="19" t="str">
        <x:v>高</x:v>
      </x:c>
      <x:c r="D559" s="19" t="str">
        <x:v>Jul 2026</x:v>
      </x:c>
      <x:c r="E559" s="19" t="n">
        <x:v>16</x:v>
      </x:c>
      <x:c r="F559" s="19" t="str">
        <x:v>sharemouse.com</x:v>
      </x:c>
      <x:c r="G559" s="19" t="str">
        <x:v>Programming and Developer Software</x:v>
      </x:c>
      <x:c r="H559" s="19" t="str">
        <x:v>开发者工具与互联网基础设施</x:v>
      </x:c>
      <x:c r="I559" s="19" t="str">
        <x:v>Similarweb 行业映射</x:v>
      </x:c>
      <x:c r="J559" s="19" t="n">
        <x:v>425933</x:v>
      </x:c>
      <x:c r="K559" s="20" t="n">
        <x:v>0.0138</x:v>
      </x:c>
      <x:c r="L559" s="19" t="str">
        <x:v>上升</x:v>
      </x:c>
      <x:c r="M559" s="20" t="n">
        <x:v>0.43329999999999996</x:v>
      </x:c>
      <x:c r="N559" s="21" t="n">
        <x:v>300299</x:v>
      </x:c>
      <x:c r="O559" s="21" t="n">
        <x:v>4144</x:v>
      </x:c>
      <x:c r="P559" s="21" t="n">
        <x:f>ROUND(N559*K559,0)</x:f>
        <x:v>4144</x:v>
      </x:c>
      <x:c r="Q559" s="19" t="str">
        <x:v>否</x:v>
      </x:c>
      <x:c r="R559" s="19" t="str"/>
      <x:c r="S559" s="19" t="n">
        <x:f>IF(Q559="是",0,MIN(10,2+IF(C559="高",2,1)+IF(K559&gt;=3%,3,IF(K559&gt;=1%,2,1))+IF(L559="新出现",2,IF(M559&gt;=100%,3,IF(M559&gt;0,2,0)))))</x:f>
        <x:v>8</x:v>
      </x:c>
      <x:c r="T559" s="21"/>
      <x:c r="U559" s="20"/>
      <x:c r="V559" s="19" t="str">
        <x:v>http://sharemouse.com/</x:v>
      </x:c>
      <x:c r="W559" s="19" t="str">
        <x:v>https://pro.similarweb.com/#/digitalsuite/websiteanalysis/referrals/*/999/1m?webSource=Total&amp;selectedTab=incomingTraffic&amp;key=store.payproglobal.com</x:v>
      </x:c>
      <x:c r="X559" s="20" t="n">
        <x:f>IF(Q559="是",0,IFERROR(P559/SUMIFS($P$2:$P$964,$A$2:$A$964,A559,$Q$2:$Q$964,"否"),0))</x:f>
        <x:v>0.019881402444875164</x:v>
      </x:c>
      <x:c r="Y559" s="22" t="str">
        <x:f>IF(OR(M559="",U559=""),"未交叉",IF(M559*U559&gt;0,"同向",IF(M559*U559&lt;0,"背离","一侧持平")))</x:f>
        <x:v>未交叉</x:v>
      </x:c>
    </x:row>
    <x:row r="560">
      <x:c r="A560" s="18" t="str">
        <x:v>store.payproglobal.com</x:v>
      </x:c>
      <x:c r="B560" s="19" t="str">
        <x:v>专用支付/结账入口</x:v>
      </x:c>
      <x:c r="C560" s="19" t="str">
        <x:v>高</x:v>
      </x:c>
      <x:c r="D560" s="19" t="str">
        <x:v>Jul 2026</x:v>
      </x:c>
      <x:c r="E560" s="19" t="n">
        <x:v>17</x:v>
      </x:c>
      <x:c r="F560" s="19" t="str">
        <x:v>dmde.com</x:v>
      </x:c>
      <x:c r="G560" s="19" t="str">
        <x:v>Programming and Developer Software</x:v>
      </x:c>
      <x:c r="H560" s="19" t="str">
        <x:v>开发者工具与互联网基础设施</x:v>
      </x:c>
      <x:c r="I560" s="19" t="str">
        <x:v>Similarweb 行业映射</x:v>
      </x:c>
      <x:c r="J560" s="19" t="n">
        <x:v>178651</x:v>
      </x:c>
      <x:c r="K560" s="20" t="n">
        <x:v>0.0137</x:v>
      </x:c>
      <x:c r="L560" s="19" t="str">
        <x:v>上升</x:v>
      </x:c>
      <x:c r="M560" s="20" t="n">
        <x:v>0.44</x:v>
      </x:c>
      <x:c r="N560" s="21" t="n">
        <x:v>300299</x:v>
      </x:c>
      <x:c r="O560" s="21" t="n">
        <x:v>4114</x:v>
      </x:c>
      <x:c r="P560" s="21" t="n">
        <x:f>ROUND(N560*K560,0)</x:f>
        <x:v>4114</x:v>
      </x:c>
      <x:c r="Q560" s="19" t="str">
        <x:v>否</x:v>
      </x:c>
      <x:c r="R560" s="19" t="str"/>
      <x:c r="S560" s="19" t="n">
        <x:f>IF(Q560="是",0,MIN(10,2+IF(C560="高",2,1)+IF(K560&gt;=3%,3,IF(K560&gt;=1%,2,1))+IF(L560="新出现",2,IF(M560&gt;=100%,3,IF(M560&gt;0,2,0)))))</x:f>
        <x:v>8</x:v>
      </x:c>
      <x:c r="T560" s="21"/>
      <x:c r="U560" s="20"/>
      <x:c r="V560" s="19" t="str">
        <x:v>http://dmde.com/</x:v>
      </x:c>
      <x:c r="W560" s="19" t="str">
        <x:v>https://pro.similarweb.com/#/digitalsuite/websiteanalysis/referrals/*/999/1m?webSource=Total&amp;selectedTab=incomingTraffic&amp;key=store.payproglobal.com</x:v>
      </x:c>
      <x:c r="X560" s="20" t="n">
        <x:f>IF(Q560="是",0,IFERROR(P560/SUMIFS($P$2:$P$964,$A$2:$A$964,A560,$Q$2:$Q$964,"否"),0))</x:f>
        <x:v>0.019737473373121726</x:v>
      </x:c>
      <x:c r="Y560" s="22" t="str">
        <x:f>IF(OR(M560="",U560=""),"未交叉",IF(M560*U560&gt;0,"同向",IF(M560*U560&lt;0,"背离","一侧持平")))</x:f>
        <x:v>未交叉</x:v>
      </x:c>
    </x:row>
    <x:row r="561">
      <x:c r="A561" s="18" t="str">
        <x:v>store.payproglobal.com</x:v>
      </x:c>
      <x:c r="B561" s="19" t="str">
        <x:v>专用支付/结账入口</x:v>
      </x:c>
      <x:c r="C561" s="19" t="str">
        <x:v>高</x:v>
      </x:c>
      <x:c r="D561" s="19" t="str">
        <x:v>Jul 2026</x:v>
      </x:c>
      <x:c r="E561" s="19" t="n">
        <x:v>18</x:v>
      </x:c>
      <x:c r="F561" s="19" t="str">
        <x:v>code-industry.net</x:v>
      </x:c>
      <x:c r="G561" s="19" t="str">
        <x:v>Programming and Developer Software</x:v>
      </x:c>
      <x:c r="H561" s="19" t="str">
        <x:v>开发者工具与互联网基础设施</x:v>
      </x:c>
      <x:c r="I561" s="19" t="str">
        <x:v>Similarweb 行业映射</x:v>
      </x:c>
      <x:c r="J561" s="19" t="n">
        <x:v>543457</x:v>
      </x:c>
      <x:c r="K561" s="20" t="n">
        <x:v>0.0132</x:v>
      </x:c>
      <x:c r="L561" s="19" t="str">
        <x:v>上升</x:v>
      </x:c>
      <x:c r="M561" s="20" t="n">
        <x:v>0.2783</x:v>
      </x:c>
      <x:c r="N561" s="21" t="n">
        <x:v>300299</x:v>
      </x:c>
      <x:c r="O561" s="21" t="n">
        <x:v>3964</x:v>
      </x:c>
      <x:c r="P561" s="21" t="n">
        <x:f>ROUND(N561*K561,0)</x:f>
        <x:v>3964</x:v>
      </x:c>
      <x:c r="Q561" s="19" t="str">
        <x:v>否</x:v>
      </x:c>
      <x:c r="R561" s="19" t="str"/>
      <x:c r="S561" s="19" t="n">
        <x:f>IF(Q561="是",0,MIN(10,2+IF(C561="高",2,1)+IF(K561&gt;=3%,3,IF(K561&gt;=1%,2,1))+IF(L561="新出现",2,IF(M561&gt;=100%,3,IF(M561&gt;0,2,0)))))</x:f>
        <x:v>8</x:v>
      </x:c>
      <x:c r="T561" s="21"/>
      <x:c r="U561" s="20"/>
      <x:c r="V561" s="19" t="str">
        <x:v>http://code-industry.net/</x:v>
      </x:c>
      <x:c r="W561" s="19" t="str">
        <x:v>https://pro.similarweb.com/#/digitalsuite/websiteanalysis/referrals/*/999/1m?webSource=Total&amp;selectedTab=incomingTraffic&amp;key=store.payproglobal.com</x:v>
      </x:c>
      <x:c r="X561" s="20" t="n">
        <x:f>IF(Q561="是",0,IFERROR(P561/SUMIFS($P$2:$P$964,$A$2:$A$964,A561,$Q$2:$Q$964,"否"),0))</x:f>
        <x:v>0.019017828014354525</x:v>
      </x:c>
      <x:c r="Y561" s="22" t="str">
        <x:f>IF(OR(M561="",U561=""),"未交叉",IF(M561*U561&gt;0,"同向",IF(M561*U561&lt;0,"背离","一侧持平")))</x:f>
        <x:v>未交叉</x:v>
      </x:c>
    </x:row>
    <x:row r="562">
      <x:c r="A562" s="18" t="str">
        <x:v>store.payproglobal.com</x:v>
      </x:c>
      <x:c r="B562" s="19" t="str">
        <x:v>专用支付/结账入口</x:v>
      </x:c>
      <x:c r="C562" s="19" t="str">
        <x:v>高</x:v>
      </x:c>
      <x:c r="D562" s="19" t="str">
        <x:v>Jul 2026</x:v>
      </x:c>
      <x:c r="E562" s="19" t="n">
        <x:v>19</x:v>
      </x:c>
      <x:c r="F562" s="19" t="str">
        <x:v>2manuals.com</x:v>
      </x:c>
      <x:c r="G562" s="19" t="str">
        <x:v>Computer Hardware</x:v>
      </x:c>
      <x:c r="H562" s="19" t="str">
        <x:v>其他/待核查</x:v>
      </x:c>
      <x:c r="I562" s="19" t="str">
        <x:v>保守归类</x:v>
      </x:c>
      <x:c r="J562" s="19" t="n">
        <x:v>242600</x:v>
      </x:c>
      <x:c r="K562" s="20" t="n">
        <x:v>0.0125</x:v>
      </x:c>
      <x:c r="L562" s="19" t="str">
        <x:v>下降</x:v>
      </x:c>
      <x:c r="M562" s="20" t="n">
        <x:v>-0.4827</x:v>
      </x:c>
      <x:c r="N562" s="21" t="n">
        <x:v>300299</x:v>
      </x:c>
      <x:c r="O562" s="21" t="n">
        <x:v>3754</x:v>
      </x:c>
      <x:c r="P562" s="21" t="n">
        <x:f>ROUND(N562*K562,0)</x:f>
        <x:v>3754</x:v>
      </x:c>
      <x:c r="Q562" s="19" t="str">
        <x:v>否</x:v>
      </x:c>
      <x:c r="R562" s="19" t="str"/>
      <x:c r="S562" s="19" t="n">
        <x:f>IF(Q562="是",0,MIN(10,2+IF(C562="高",2,1)+IF(K562&gt;=3%,3,IF(K562&gt;=1%,2,1))+IF(L562="新出现",2,IF(M562&gt;=100%,3,IF(M562&gt;0,2,0)))))</x:f>
        <x:v>6</x:v>
      </x:c>
      <x:c r="T562" s="21"/>
      <x:c r="U562" s="20"/>
      <x:c r="V562" s="19" t="str">
        <x:v>http://2manuals.com/</x:v>
      </x:c>
      <x:c r="W562" s="19" t="str">
        <x:v>https://pro.similarweb.com/#/digitalsuite/websiteanalysis/referrals/*/999/1m?webSource=Total&amp;selectedTab=incomingTraffic&amp;key=store.payproglobal.com</x:v>
      </x:c>
      <x:c r="X562" s="20" t="n">
        <x:f>IF(Q562="是",0,IFERROR(P562/SUMIFS($P$2:$P$964,$A$2:$A$964,A562,$Q$2:$Q$964,"否"),0))</x:f>
        <x:v>0.018010324512080445</x:v>
      </x:c>
      <x:c r="Y562" s="22" t="str">
        <x:f>IF(OR(M562="",U562=""),"未交叉",IF(M562*U562&gt;0,"同向",IF(M562*U562&lt;0,"背离","一侧持平")))</x:f>
        <x:v>未交叉</x:v>
      </x:c>
    </x:row>
    <x:row r="563">
      <x:c r="A563" s="18" t="str">
        <x:v>store.payproglobal.com</x:v>
      </x:c>
      <x:c r="B563" s="19" t="str">
        <x:v>专用支付/结账入口</x:v>
      </x:c>
      <x:c r="C563" s="19" t="str">
        <x:v>高</x:v>
      </x:c>
      <x:c r="D563" s="19" t="str">
        <x:v>Jul 2026</x:v>
      </x:c>
      <x:c r="E563" s="19" t="n">
        <x:v>20</x:v>
      </x:c>
      <x:c r="F563" s="19" t="str">
        <x:v>app.publer.com</x:v>
      </x:c>
      <x:c r="G563" s="19" t="str">
        <x:v>Graphics Multimedia and Web Design</x:v>
      </x:c>
      <x:c r="H563" s="19" t="str">
        <x:v>创作、设计与多媒体工具</x:v>
      </x:c>
      <x:c r="I563" s="19" t="str">
        <x:v>Similarweb 行业映射</x:v>
      </x:c>
      <x:c r="J563" s="19"/>
      <x:c r="K563" s="20" t="n">
        <x:v>0.0125</x:v>
      </x:c>
      <x:c r="L563" s="19" t="str">
        <x:v>上升</x:v>
      </x:c>
      <x:c r="M563" s="20" t="n">
        <x:v>0.5282</x:v>
      </x:c>
      <x:c r="N563" s="21" t="n">
        <x:v>300299</x:v>
      </x:c>
      <x:c r="O563" s="21" t="n">
        <x:v>3754</x:v>
      </x:c>
      <x:c r="P563" s="21" t="n">
        <x:f>ROUND(N563*K563,0)</x:f>
        <x:v>3754</x:v>
      </x:c>
      <x:c r="Q563" s="19" t="str">
        <x:v>否</x:v>
      </x:c>
      <x:c r="R563" s="19" t="str"/>
      <x:c r="S563" s="19" t="n">
        <x:f>IF(Q563="是",0,MIN(10,2+IF(C563="高",2,1)+IF(K563&gt;=3%,3,IF(K563&gt;=1%,2,1))+IF(L563="新出现",2,IF(M563&gt;=100%,3,IF(M563&gt;0,2,0)))))</x:f>
        <x:v>8</x:v>
      </x:c>
      <x:c r="T563" s="21"/>
      <x:c r="U563" s="20"/>
      <x:c r="V563" s="19" t="str">
        <x:v>http://app.publer.com/</x:v>
      </x:c>
      <x:c r="W563" s="19" t="str">
        <x:v>https://pro.similarweb.com/#/digitalsuite/websiteanalysis/referrals/*/999/1m?webSource=Total&amp;selectedTab=incomingTraffic&amp;key=store.payproglobal.com</x:v>
      </x:c>
      <x:c r="X563" s="20" t="n">
        <x:f>IF(Q563="是",0,IFERROR(P563/SUMIFS($P$2:$P$964,$A$2:$A$964,A563,$Q$2:$Q$964,"否"),0))</x:f>
        <x:v>0.018010324512080445</x:v>
      </x:c>
      <x:c r="Y563" s="22" t="str">
        <x:f>IF(OR(M563="",U563=""),"未交叉",IF(M563*U563&gt;0,"同向",IF(M563*U563&lt;0,"背离","一侧持平")))</x:f>
        <x:v>未交叉</x:v>
      </x:c>
    </x:row>
    <x:row r="564">
      <x:c r="A564" s="18" t="str">
        <x:v>store.payproglobal.com</x:v>
      </x:c>
      <x:c r="B564" s="19" t="str">
        <x:v>专用支付/结账入口</x:v>
      </x:c>
      <x:c r="C564" s="19" t="str">
        <x:v>高</x:v>
      </x:c>
      <x:c r="D564" s="19" t="str">
        <x:v>Jul 2026</x:v>
      </x:c>
      <x:c r="E564" s="19" t="n">
        <x:v>21</x:v>
      </x:c>
      <x:c r="F564" s="19" t="str">
        <x:v>wic.support</x:v>
      </x:c>
      <x:c r="G564" s="19" t="str">
        <x:v>Computer Hardware</x:v>
      </x:c>
      <x:c r="H564" s="19" t="str">
        <x:v>其他/待核查</x:v>
      </x:c>
      <x:c r="I564" s="19" t="str">
        <x:v>保守归类</x:v>
      </x:c>
      <x:c r="J564" s="19" t="n">
        <x:v>317804</x:v>
      </x:c>
      <x:c r="K564" s="20" t="n">
        <x:v>0.011899999999999999</x:v>
      </x:c>
      <x:c r="L564" s="19" t="str">
        <x:v>上升</x:v>
      </x:c>
      <x:c r="M564" s="20" t="n">
        <x:v>9.5525</x:v>
      </x:c>
      <x:c r="N564" s="21" t="n">
        <x:v>300299</x:v>
      </x:c>
      <x:c r="O564" s="21" t="n">
        <x:v>3574</x:v>
      </x:c>
      <x:c r="P564" s="21" t="n">
        <x:f>ROUND(N564*K564,0)</x:f>
        <x:v>3574</x:v>
      </x:c>
      <x:c r="Q564" s="19" t="str">
        <x:v>否</x:v>
      </x:c>
      <x:c r="R564" s="19" t="str"/>
      <x:c r="S564" s="19" t="n">
        <x:f>IF(Q564="是",0,MIN(10,2+IF(C564="高",2,1)+IF(K564&gt;=3%,3,IF(K564&gt;=1%,2,1))+IF(L564="新出现",2,IF(M564&gt;=100%,3,IF(M564&gt;0,2,0)))))</x:f>
        <x:v>9</x:v>
      </x:c>
      <x:c r="T564" s="21"/>
      <x:c r="U564" s="20"/>
      <x:c r="V564" s="19" t="str">
        <x:v>http://wic.support/</x:v>
      </x:c>
      <x:c r="W564" s="19" t="str">
        <x:v>https://pro.similarweb.com/#/digitalsuite/websiteanalysis/referrals/*/999/1m?webSource=Total&amp;selectedTab=incomingTraffic&amp;key=store.payproglobal.com</x:v>
      </x:c>
      <x:c r="X564" s="20" t="n">
        <x:f>IF(Q564="是",0,IFERROR(P564/SUMIFS($P$2:$P$964,$A$2:$A$964,A564,$Q$2:$Q$964,"否"),0))</x:f>
        <x:v>0.017146750081559806</x:v>
      </x:c>
      <x:c r="Y564" s="22" t="str">
        <x:f>IF(OR(M564="",U564=""),"未交叉",IF(M564*U564&gt;0,"同向",IF(M564*U564&lt;0,"背离","一侧持平")))</x:f>
        <x:v>未交叉</x:v>
      </x:c>
    </x:row>
    <x:row r="565">
      <x:c r="A565" s="18" t="str">
        <x:v>store.payproglobal.com</x:v>
      </x:c>
      <x:c r="B565" s="19" t="str">
        <x:v>专用支付/结账入口</x:v>
      </x:c>
      <x:c r="C565" s="19" t="str">
        <x:v>高</x:v>
      </x:c>
      <x:c r="D565" s="19" t="str">
        <x:v>Jul 2026</x:v>
      </x:c>
      <x:c r="E565" s="19" t="n">
        <x:v>22</x:v>
      </x:c>
      <x:c r="F565" s="19" t="str">
        <x:v>bit.ly</x:v>
      </x:c>
      <x:c r="G565" s="19" t="str">
        <x:v>Unknown</x:v>
      </x:c>
      <x:c r="H565" s="19" t="str">
        <x:v>其他/待核查</x:v>
      </x:c>
      <x:c r="I565" s="19" t="str">
        <x:v>Similarweb 未分类</x:v>
      </x:c>
      <x:c r="J565" s="19"/>
      <x:c r="K565" s="20" t="n">
        <x:v>0.0115</x:v>
      </x:c>
      <x:c r="L565" s="19" t="str">
        <x:v>上升</x:v>
      </x:c>
      <x:c r="M565" s="20" t="n">
        <x:v>17.668699999999998</x:v>
      </x:c>
      <x:c r="N565" s="21" t="n">
        <x:v>300299</x:v>
      </x:c>
      <x:c r="O565" s="21" t="n">
        <x:v>3453</x:v>
      </x:c>
      <x:c r="P565" s="21" t="n">
        <x:f>ROUND(N565*K565,0)</x:f>
        <x:v>3453</x:v>
      </x:c>
      <x:c r="Q565" s="19" t="str">
        <x:v>是</x:v>
      </x:c>
      <x:c r="R565" s="19" t="str">
        <x:v>支付平台、自引荐或流量中介</x:v>
      </x:c>
      <x:c r="S565" s="19" t="n">
        <x:f>IF(Q565="是",0,MIN(10,2+IF(C565="高",2,1)+IF(K565&gt;=3%,3,IF(K565&gt;=1%,2,1))+IF(L565="新出现",2,IF(M565&gt;=100%,3,IF(M565&gt;0,2,0)))))</x:f>
        <x:v>0</x:v>
      </x:c>
      <x:c r="T565" s="21"/>
      <x:c r="U565" s="20"/>
      <x:c r="V565" s="19" t="str">
        <x:v>http://bit.ly/</x:v>
      </x:c>
      <x:c r="W565" s="19" t="str">
        <x:v>https://pro.similarweb.com/#/digitalsuite/websiteanalysis/referrals/*/999/1m?webSource=Total&amp;selectedTab=incomingTraffic&amp;key=store.payproglobal.com</x:v>
      </x:c>
      <x:c r="X565" s="20" t="n">
        <x:f>IF(Q565="是",0,IFERROR(P565/SUMIFS($P$2:$P$964,$A$2:$A$964,A565,$Q$2:$Q$964,"否"),0))</x:f>
        <x:v>0</x:v>
      </x:c>
      <x:c r="Y565" s="22" t="str">
        <x:f>IF(OR(M565="",U565=""),"未交叉",IF(M565*U565&gt;0,"同向",IF(M565*U565&lt;0,"背离","一侧持平")))</x:f>
        <x:v>未交叉</x:v>
      </x:c>
    </x:row>
    <x:row r="566">
      <x:c r="A566" s="18" t="str">
        <x:v>store.payproglobal.com</x:v>
      </x:c>
      <x:c r="B566" s="19" t="str">
        <x:v>专用支付/结账入口</x:v>
      </x:c>
      <x:c r="C566" s="19" t="str">
        <x:v>高</x:v>
      </x:c>
      <x:c r="D566" s="19" t="str">
        <x:v>Jul 2026</x:v>
      </x:c>
      <x:c r="E566" s="19" t="n">
        <x:v>23</x:v>
      </x:c>
      <x:c r="F566" s="19" t="str">
        <x:v>macupdate.com</x:v>
      </x:c>
      <x:c r="G566" s="19" t="str">
        <x:v>Programming and Developer Software</x:v>
      </x:c>
      <x:c r="H566" s="19" t="str">
        <x:v>开发者工具与互联网基础设施</x:v>
      </x:c>
      <x:c r="I566" s="19" t="str">
        <x:v>Similarweb 行业映射</x:v>
      </x:c>
      <x:c r="J566" s="19" t="n">
        <x:v>48037</x:v>
      </x:c>
      <x:c r="K566" s="20" t="n">
        <x:v>0.010700000000000001</x:v>
      </x:c>
      <x:c r="L566" s="19" t="str">
        <x:v>上升</x:v>
      </x:c>
      <x:c r="M566" s="20" t="n">
        <x:v>32.274699999999996</x:v>
      </x:c>
      <x:c r="N566" s="21" t="n">
        <x:v>300299</x:v>
      </x:c>
      <x:c r="O566" s="21" t="n">
        <x:v>3213</x:v>
      </x:c>
      <x:c r="P566" s="21" t="n">
        <x:f>ROUND(N566*K566,0)</x:f>
        <x:v>3213</x:v>
      </x:c>
      <x:c r="Q566" s="19" t="str">
        <x:v>否</x:v>
      </x:c>
      <x:c r="R566" s="19" t="str"/>
      <x:c r="S566" s="19" t="n">
        <x:f>IF(Q566="是",0,MIN(10,2+IF(C566="高",2,1)+IF(K566&gt;=3%,3,IF(K566&gt;=1%,2,1))+IF(L566="新出现",2,IF(M566&gt;=100%,3,IF(M566&gt;0,2,0)))))</x:f>
        <x:v>9</x:v>
      </x:c>
      <x:c r="T566" s="21"/>
      <x:c r="U566" s="20"/>
      <x:c r="V566" s="19" t="str">
        <x:v>http://macupdate.com/</x:v>
      </x:c>
      <x:c r="W566" s="19" t="str">
        <x:v>https://pro.similarweb.com/#/digitalsuite/websiteanalysis/referrals/*/999/1m?webSource=Total&amp;selectedTab=incomingTraffic&amp;key=store.payproglobal.com</x:v>
      </x:c>
      <x:c r="X566" s="20" t="n">
        <x:f>IF(Q566="是",0,IFERROR(P566/SUMIFS($P$2:$P$964,$A$2:$A$964,A566,$Q$2:$Q$964,"否"),0))</x:f>
        <x:v>0.015414803584793415</x:v>
      </x:c>
      <x:c r="Y566" s="22" t="str">
        <x:f>IF(OR(M566="",U566=""),"未交叉",IF(M566*U566&gt;0,"同向",IF(M566*U566&lt;0,"背离","一侧持平")))</x:f>
        <x:v>未交叉</x:v>
      </x:c>
    </x:row>
    <x:row r="567">
      <x:c r="A567" s="18" t="str">
        <x:v>store.payproglobal.com</x:v>
      </x:c>
      <x:c r="B567" s="19" t="str">
        <x:v>专用支付/结账入口</x:v>
      </x:c>
      <x:c r="C567" s="19" t="str">
        <x:v>高</x:v>
      </x:c>
      <x:c r="D567" s="19" t="str">
        <x:v>Jul 2026</x:v>
      </x:c>
      <x:c r="E567" s="19" t="n">
        <x:v>24</x:v>
      </x:c>
      <x:c r="F567" s="19" t="str">
        <x:v>progdvb.com</x:v>
      </x:c>
      <x:c r="G567" s="19" t="str">
        <x:v>Programming and Developer Software</x:v>
      </x:c>
      <x:c r="H567" s="19" t="str">
        <x:v>开发者工具与互联网基础设施</x:v>
      </x:c>
      <x:c r="I567" s="19" t="str">
        <x:v>Similarweb 行业映射</x:v>
      </x:c>
      <x:c r="J567" s="19" t="n">
        <x:v>449580</x:v>
      </x:c>
      <x:c r="K567" s="20" t="n">
        <x:v>0.0103</x:v>
      </x:c>
      <x:c r="L567" s="19" t="str">
        <x:v>上升</x:v>
      </x:c>
      <x:c r="M567" s="20" t="n">
        <x:v>36.2596</x:v>
      </x:c>
      <x:c r="N567" s="21" t="n">
        <x:v>300299</x:v>
      </x:c>
      <x:c r="O567" s="21" t="n">
        <x:v>3093</x:v>
      </x:c>
      <x:c r="P567" s="21" t="n">
        <x:f>ROUND(N567*K567,0)</x:f>
        <x:v>3093</x:v>
      </x:c>
      <x:c r="Q567" s="19" t="str">
        <x:v>否</x:v>
      </x:c>
      <x:c r="R567" s="19" t="str"/>
      <x:c r="S567" s="19" t="n">
        <x:f>IF(Q567="是",0,MIN(10,2+IF(C567="高",2,1)+IF(K567&gt;=3%,3,IF(K567&gt;=1%,2,1))+IF(L567="新出现",2,IF(M567&gt;=100%,3,IF(M567&gt;0,2,0)))))</x:f>
        <x:v>9</x:v>
      </x:c>
      <x:c r="T567" s="21"/>
      <x:c r="U567" s="20"/>
      <x:c r="V567" s="19" t="str">
        <x:v>http://progdvb.com/</x:v>
      </x:c>
      <x:c r="W567" s="19" t="str">
        <x:v>https://pro.similarweb.com/#/digitalsuite/websiteanalysis/referrals/*/999/1m?webSource=Total&amp;selectedTab=incomingTraffic&amp;key=store.payproglobal.com</x:v>
      </x:c>
      <x:c r="X567" s="20" t="n">
        <x:f>IF(Q567="是",0,IFERROR(P567/SUMIFS($P$2:$P$964,$A$2:$A$964,A567,$Q$2:$Q$964,"否"),0))</x:f>
        <x:v>0.014839087297779654</x:v>
      </x:c>
      <x:c r="Y567" s="22" t="str">
        <x:f>IF(OR(M567="",U567=""),"未交叉",IF(M567*U567&gt;0,"同向",IF(M567*U567&lt;0,"背离","一侧持平")))</x:f>
        <x:v>未交叉</x:v>
      </x:c>
    </x:row>
    <x:row r="568">
      <x:c r="A568" s="18" t="str">
        <x:v>store.payproglobal.com</x:v>
      </x:c>
      <x:c r="B568" s="19" t="str">
        <x:v>专用支付/结账入口</x:v>
      </x:c>
      <x:c r="C568" s="19" t="str">
        <x:v>高</x:v>
      </x:c>
      <x:c r="D568" s="19" t="str">
        <x:v>Jul 2026</x:v>
      </x:c>
      <x:c r="E568" s="19" t="n">
        <x:v>25</x:v>
      </x:c>
      <x:c r="F568" s="19" t="str">
        <x:v>phraseexpress.com</x:v>
      </x:c>
      <x:c r="G568" s="19" t="str">
        <x:v>Programming and Developer Software</x:v>
      </x:c>
      <x:c r="H568" s="19" t="str">
        <x:v>开发者工具与互联网基础设施</x:v>
      </x:c>
      <x:c r="I568" s="19" t="str">
        <x:v>Similarweb 行业映射</x:v>
      </x:c>
      <x:c r="J568" s="19" t="n">
        <x:v>519111</x:v>
      </x:c>
      <x:c r="K568" s="20" t="n">
        <x:v>0.0102</x:v>
      </x:c>
      <x:c r="L568" s="19" t="str">
        <x:v>上升</x:v>
      </x:c>
      <x:c r="M568" s="20" t="n">
        <x:v>0.9767</x:v>
      </x:c>
      <x:c r="N568" s="21" t="n">
        <x:v>300299</x:v>
      </x:c>
      <x:c r="O568" s="21" t="n">
        <x:v>3063</x:v>
      </x:c>
      <x:c r="P568" s="21" t="n">
        <x:f>ROUND(N568*K568,0)</x:f>
        <x:v>3063</x:v>
      </x:c>
      <x:c r="Q568" s="19" t="str">
        <x:v>否</x:v>
      </x:c>
      <x:c r="R568" s="19" t="str"/>
      <x:c r="S568" s="19" t="n">
        <x:f>IF(Q568="是",0,MIN(10,2+IF(C568="高",2,1)+IF(K568&gt;=3%,3,IF(K568&gt;=1%,2,1))+IF(L568="新出现",2,IF(M568&gt;=100%,3,IF(M568&gt;0,2,0)))))</x:f>
        <x:v>8</x:v>
      </x:c>
      <x:c r="T568" s="21"/>
      <x:c r="U568" s="20"/>
      <x:c r="V568" s="19" t="str">
        <x:v>http://phraseexpress.com/</x:v>
      </x:c>
      <x:c r="W568" s="19" t="str">
        <x:v>https://pro.similarweb.com/#/digitalsuite/websiteanalysis/referrals/*/999/1m?webSource=Total&amp;selectedTab=incomingTraffic&amp;key=store.payproglobal.com</x:v>
      </x:c>
      <x:c r="X568" s="20" t="n">
        <x:f>IF(Q568="是",0,IFERROR(P568/SUMIFS($P$2:$P$964,$A$2:$A$964,A568,$Q$2:$Q$964,"否"),0))</x:f>
        <x:v>0.014695158226026215</x:v>
      </x:c>
      <x:c r="Y568" s="22" t="str">
        <x:f>IF(OR(M568="",U568=""),"未交叉",IF(M568*U568&gt;0,"同向",IF(M568*U568&lt;0,"背离","一侧持平")))</x:f>
        <x:v>未交叉</x:v>
      </x:c>
    </x:row>
    <x:row r="569">
      <x:c r="A569" s="18" t="str">
        <x:v>store.payproglobal.com</x:v>
      </x:c>
      <x:c r="B569" s="19" t="str">
        <x:v>专用支付/结账入口</x:v>
      </x:c>
      <x:c r="C569" s="19" t="str">
        <x:v>高</x:v>
      </x:c>
      <x:c r="D569" s="19" t="str">
        <x:v>Jul 2026</x:v>
      </x:c>
      <x:c r="E569" s="19" t="n">
        <x:v>26</x:v>
      </x:c>
      <x:c r="F569" s="19" t="str">
        <x:v>ibiksoft.com</x:v>
      </x:c>
      <x:c r="G569" s="19" t="str">
        <x:v>Programming and Developer Software</x:v>
      </x:c>
      <x:c r="H569" s="19" t="str">
        <x:v>开发者工具与互联网基础设施</x:v>
      </x:c>
      <x:c r="I569" s="19" t="str">
        <x:v>Similarweb 行业映射</x:v>
      </x:c>
      <x:c r="J569" s="19" t="n">
        <x:v>345033</x:v>
      </x:c>
      <x:c r="K569" s="20" t="n">
        <x:v>0.0098</x:v>
      </x:c>
      <x:c r="L569" s="19" t="str">
        <x:v>上升</x:v>
      </x:c>
      <x:c r="M569" s="20" t="n">
        <x:v>0.0027</x:v>
      </x:c>
      <x:c r="N569" s="21" t="n">
        <x:v>300299</x:v>
      </x:c>
      <x:c r="O569" s="21" t="n">
        <x:v>2943</x:v>
      </x:c>
      <x:c r="P569" s="21" t="n">
        <x:f>ROUND(N569*K569,0)</x:f>
        <x:v>2943</x:v>
      </x:c>
      <x:c r="Q569" s="19" t="str">
        <x:v>否</x:v>
      </x:c>
      <x:c r="R569" s="19" t="str"/>
      <x:c r="S569" s="19" t="n">
        <x:f>IF(Q569="是",0,MIN(10,2+IF(C569="高",2,1)+IF(K569&gt;=3%,3,IF(K569&gt;=1%,2,1))+IF(L569="新出现",2,IF(M569&gt;=100%,3,IF(M569&gt;0,2,0)))))</x:f>
        <x:v>7</x:v>
      </x:c>
      <x:c r="T569" s="21"/>
      <x:c r="U569" s="20"/>
      <x:c r="V569" s="19" t="str">
        <x:v>http://ibiksoft.com/</x:v>
      </x:c>
      <x:c r="W569" s="19" t="str">
        <x:v>https://pro.similarweb.com/#/digitalsuite/websiteanalysis/referrals/*/999/1m?webSource=Total&amp;selectedTab=incomingTraffic&amp;key=store.payproglobal.com</x:v>
      </x:c>
      <x:c r="X569" s="20" t="n">
        <x:f>IF(Q569="是",0,IFERROR(P569/SUMIFS($P$2:$P$964,$A$2:$A$964,A569,$Q$2:$Q$964,"否"),0))</x:f>
        <x:v>0.014119441939012455</x:v>
      </x:c>
      <x:c r="Y569" s="22" t="str">
        <x:f>IF(OR(M569="",U569=""),"未交叉",IF(M569*U569&gt;0,"同向",IF(M569*U569&lt;0,"背离","一侧持平")))</x:f>
        <x:v>未交叉</x:v>
      </x:c>
    </x:row>
    <x:row r="570">
      <x:c r="A570" s="18" t="str">
        <x:v>store.payproglobal.com</x:v>
      </x:c>
      <x:c r="B570" s="19" t="str">
        <x:v>专用支付/结账入口</x:v>
      </x:c>
      <x:c r="C570" s="19" t="str">
        <x:v>高</x:v>
      </x:c>
      <x:c r="D570" s="19" t="str">
        <x:v>Jul 2026</x:v>
      </x:c>
      <x:c r="E570" s="19" t="n">
        <x:v>27</x:v>
      </x:c>
      <x:c r="F570" s="19" t="str">
        <x:v>duplicatefilesfixer.com</x:v>
      </x:c>
      <x:c r="G570" s="19" t="str">
        <x:v>Programming and Developer Software</x:v>
      </x:c>
      <x:c r="H570" s="19" t="str">
        <x:v>开发者工具与互联网基础设施</x:v>
      </x:c>
      <x:c r="I570" s="19" t="str">
        <x:v>Similarweb 行业映射</x:v>
      </x:c>
      <x:c r="J570" s="19" t="n">
        <x:v>661891</x:v>
      </x:c>
      <x:c r="K570" s="20" t="n">
        <x:v>0.0086</x:v>
      </x:c>
      <x:c r="L570" s="19" t="str">
        <x:v>上升</x:v>
      </x:c>
      <x:c r="M570" s="20" t="n">
        <x:v>0.2535</x:v>
      </x:c>
      <x:c r="N570" s="21" t="n">
        <x:v>300299</x:v>
      </x:c>
      <x:c r="O570" s="21" t="n">
        <x:v>2583</x:v>
      </x:c>
      <x:c r="P570" s="21" t="n">
        <x:f>ROUND(N570*K570,0)</x:f>
        <x:v>2583</x:v>
      </x:c>
      <x:c r="Q570" s="19" t="str">
        <x:v>否</x:v>
      </x:c>
      <x:c r="R570" s="19" t="str"/>
      <x:c r="S570" s="19" t="n">
        <x:f>IF(Q570="是",0,MIN(10,2+IF(C570="高",2,1)+IF(K570&gt;=3%,3,IF(K570&gt;=1%,2,1))+IF(L570="新出现",2,IF(M570&gt;=100%,3,IF(M570&gt;0,2,0)))))</x:f>
        <x:v>7</x:v>
      </x:c>
      <x:c r="T570" s="21"/>
      <x:c r="U570" s="20"/>
      <x:c r="V570" s="19" t="str">
        <x:v>http://duplicatefilesfixer.com/</x:v>
      </x:c>
      <x:c r="W570" s="19" t="str">
        <x:v>https://pro.similarweb.com/#/digitalsuite/websiteanalysis/referrals/*/999/1m?webSource=Total&amp;selectedTab=incomingTraffic&amp;key=store.payproglobal.com</x:v>
      </x:c>
      <x:c r="X570" s="20" t="n">
        <x:f>IF(Q570="是",0,IFERROR(P570/SUMIFS($P$2:$P$964,$A$2:$A$964,A570,$Q$2:$Q$964,"否"),0))</x:f>
        <x:v>0.012392293077971175</x:v>
      </x:c>
      <x:c r="Y570" s="22" t="str">
        <x:f>IF(OR(M570="",U570=""),"未交叉",IF(M570*U570&gt;0,"同向",IF(M570*U570&lt;0,"背离","一侧持平")))</x:f>
        <x:v>未交叉</x:v>
      </x:c>
    </x:row>
    <x:row r="571">
      <x:c r="A571" s="18" t="str">
        <x:v>store.payproglobal.com</x:v>
      </x:c>
      <x:c r="B571" s="19" t="str">
        <x:v>专用支付/结账入口</x:v>
      </x:c>
      <x:c r="C571" s="19" t="str">
        <x:v>高</x:v>
      </x:c>
      <x:c r="D571" s="19" t="str">
        <x:v>Jul 2026</x:v>
      </x:c>
      <x:c r="E571" s="19" t="n">
        <x:v>28</x:v>
      </x:c>
      <x:c r="F571" s="19" t="str">
        <x:v>app.debounce.io</x:v>
      </x:c>
      <x:c r="G571" s="19" t="str">
        <x:v>Email</x:v>
      </x:c>
      <x:c r="H571" s="19" t="str">
        <x:v>营销、生产力与商业服务</x:v>
      </x:c>
      <x:c r="I571" s="19" t="str">
        <x:v>Similarweb 行业映射</x:v>
      </x:c>
      <x:c r="J571" s="19"/>
      <x:c r="K571" s="20" t="n">
        <x:v>0.008100000000000001</x:v>
      </x:c>
      <x:c r="L571" s="19" t="str">
        <x:v>下降</x:v>
      </x:c>
      <x:c r="M571" s="20" t="n">
        <x:v>-0.46909999999999996</x:v>
      </x:c>
      <x:c r="N571" s="21" t="n">
        <x:v>300299</x:v>
      </x:c>
      <x:c r="O571" s="21" t="n">
        <x:v>2432</x:v>
      </x:c>
      <x:c r="P571" s="21" t="n">
        <x:f>ROUND(N571*K571,0)</x:f>
        <x:v>2432</x:v>
      </x:c>
      <x:c r="Q571" s="19" t="str">
        <x:v>否</x:v>
      </x:c>
      <x:c r="R571" s="19" t="str"/>
      <x:c r="S571" s="19" t="n">
        <x:f>IF(Q571="是",0,MIN(10,2+IF(C571="高",2,1)+IF(K571&gt;=3%,3,IF(K571&gt;=1%,2,1))+IF(L571="新出现",2,IF(M571&gt;=100%,3,IF(M571&gt;0,2,0)))))</x:f>
        <x:v>5</x:v>
      </x:c>
      <x:c r="T571" s="21"/>
      <x:c r="U571" s="20"/>
      <x:c r="V571" s="19" t="str">
        <x:v>http://app.debounce.io/</x:v>
      </x:c>
      <x:c r="W571" s="19" t="str">
        <x:v>https://pro.similarweb.com/#/digitalsuite/websiteanalysis/referrals/*/999/1m?webSource=Total&amp;selectedTab=incomingTraffic&amp;key=store.payproglobal.com</x:v>
      </x:c>
      <x:c r="X571" s="20" t="n">
        <x:f>IF(Q571="是",0,IFERROR(P571/SUMIFS($P$2:$P$964,$A$2:$A$964,A571,$Q$2:$Q$964,"否"),0))</x:f>
        <x:v>0.011667850083478861</x:v>
      </x:c>
      <x:c r="Y571" s="22" t="str">
        <x:f>IF(OR(M571="",U571=""),"未交叉",IF(M571*U571&gt;0,"同向",IF(M571*U571&lt;0,"背离","一侧持平")))</x:f>
        <x:v>未交叉</x:v>
      </x:c>
    </x:row>
    <x:row r="572">
      <x:c r="A572" s="18" t="str">
        <x:v>store.payproglobal.com</x:v>
      </x:c>
      <x:c r="B572" s="19" t="str">
        <x:v>专用支付/结账入口</x:v>
      </x:c>
      <x:c r="C572" s="19" t="str">
        <x:v>高</x:v>
      </x:c>
      <x:c r="D572" s="19" t="str">
        <x:v>Jul 2026</x:v>
      </x:c>
      <x:c r="E572" s="19" t="n">
        <x:v>29</x:v>
      </x:c>
      <x:c r="F572" s="19" t="str">
        <x:v>dashboard.marketdata.app</x:v>
      </x:c>
      <x:c r="G572" s="19" t="str">
        <x:v>Investing</x:v>
      </x:c>
      <x:c r="H572" s="19" t="str">
        <x:v>金融、支付与交易服务</x:v>
      </x:c>
      <x:c r="I572" s="19" t="str">
        <x:v>Similarweb 行业映射</x:v>
      </x:c>
      <x:c r="J572" s="19"/>
      <x:c r="K572" s="20" t="n">
        <x:v>0.008100000000000001</x:v>
      </x:c>
      <x:c r="L572" s="19" t="str">
        <x:v>上升</x:v>
      </x:c>
      <x:c r="M572" s="20" t="n">
        <x:v>3.5239</x:v>
      </x:c>
      <x:c r="N572" s="21" t="n">
        <x:v>300299</x:v>
      </x:c>
      <x:c r="O572" s="21" t="n">
        <x:v>2432</x:v>
      </x:c>
      <x:c r="P572" s="21" t="n">
        <x:f>ROUND(N572*K572,0)</x:f>
        <x:v>2432</x:v>
      </x:c>
      <x:c r="Q572" s="19" t="str">
        <x:v>否</x:v>
      </x:c>
      <x:c r="R572" s="19" t="str"/>
      <x:c r="S572" s="19" t="n">
        <x:f>IF(Q572="是",0,MIN(10,2+IF(C572="高",2,1)+IF(K572&gt;=3%,3,IF(K572&gt;=1%,2,1))+IF(L572="新出现",2,IF(M572&gt;=100%,3,IF(M572&gt;0,2,0)))))</x:f>
        <x:v>8</x:v>
      </x:c>
      <x:c r="T572" s="21"/>
      <x:c r="U572" s="20"/>
      <x:c r="V572" s="19" t="str">
        <x:v>http://dashboard.marketdata.app/</x:v>
      </x:c>
      <x:c r="W572" s="19" t="str">
        <x:v>https://pro.similarweb.com/#/digitalsuite/websiteanalysis/referrals/*/999/1m?webSource=Total&amp;selectedTab=incomingTraffic&amp;key=store.payproglobal.com</x:v>
      </x:c>
      <x:c r="X572" s="20" t="n">
        <x:f>IF(Q572="是",0,IFERROR(P572/SUMIFS($P$2:$P$964,$A$2:$A$964,A572,$Q$2:$Q$964,"否"),0))</x:f>
        <x:v>0.011667850083478861</x:v>
      </x:c>
      <x:c r="Y572" s="22" t="str">
        <x:f>IF(OR(M572="",U572=""),"未交叉",IF(M572*U572&gt;0,"同向",IF(M572*U572&lt;0,"背离","一侧持平")))</x:f>
        <x:v>未交叉</x:v>
      </x:c>
    </x:row>
    <x:row r="573">
      <x:c r="A573" s="18" t="str">
        <x:v>store.payproglobal.com</x:v>
      </x:c>
      <x:c r="B573" s="19" t="str">
        <x:v>专用支付/结账入口</x:v>
      </x:c>
      <x:c r="C573" s="19" t="str">
        <x:v>高</x:v>
      </x:c>
      <x:c r="D573" s="19" t="str">
        <x:v>Jul 2026</x:v>
      </x:c>
      <x:c r="E573" s="19" t="n">
        <x:v>30</x:v>
      </x:c>
      <x:c r="F573" s="19" t="str">
        <x:v>usmlefighter.com</x:v>
      </x:c>
      <x:c r="G573" s="19" t="str">
        <x:v>Unknown</x:v>
      </x:c>
      <x:c r="H573" s="19" t="str">
        <x:v>其他/待核查</x:v>
      </x:c>
      <x:c r="I573" s="19" t="str">
        <x:v>Similarweb 未分类</x:v>
      </x:c>
      <x:c r="J573" s="19" t="n">
        <x:v>284681</x:v>
      </x:c>
      <x:c r="K573" s="20" t="n">
        <x:v>0.0078000000000000005</x:v>
      </x:c>
      <x:c r="L573" s="19" t="str">
        <x:v>上升</x:v>
      </x:c>
      <x:c r="M573" s="20" t="n">
        <x:v>15.8584</x:v>
      </x:c>
      <x:c r="N573" s="21" t="n">
        <x:v>300299</x:v>
      </x:c>
      <x:c r="O573" s="21" t="n">
        <x:v>2342</x:v>
      </x:c>
      <x:c r="P573" s="21" t="n">
        <x:f>ROUND(N573*K573,0)</x:f>
        <x:v>2342</x:v>
      </x:c>
      <x:c r="Q573" s="19" t="str">
        <x:v>否</x:v>
      </x:c>
      <x:c r="R573" s="19" t="str"/>
      <x:c r="S573" s="19" t="n">
        <x:f>IF(Q573="是",0,MIN(10,2+IF(C573="高",2,1)+IF(K573&gt;=3%,3,IF(K573&gt;=1%,2,1))+IF(L573="新出现",2,IF(M573&gt;=100%,3,IF(M573&gt;0,2,0)))))</x:f>
        <x:v>8</x:v>
      </x:c>
      <x:c r="T573" s="21"/>
      <x:c r="U573" s="20"/>
      <x:c r="V573" s="19" t="str">
        <x:v>http://usmlefighter.com/</x:v>
      </x:c>
      <x:c r="W573" s="19" t="str">
        <x:v>https://pro.similarweb.com/#/digitalsuite/websiteanalysis/referrals/*/999/1m?webSource=Total&amp;selectedTab=incomingTraffic&amp;key=store.payproglobal.com</x:v>
      </x:c>
      <x:c r="X573" s="20" t="n">
        <x:f>IF(Q573="是",0,IFERROR(P573/SUMIFS($P$2:$P$964,$A$2:$A$964,A573,$Q$2:$Q$964,"否"),0))</x:f>
        <x:v>0.011236062868218542</x:v>
      </x:c>
      <x:c r="Y573" s="22" t="str">
        <x:f>IF(OR(M573="",U573=""),"未交叉",IF(M573*U573&gt;0,"同向",IF(M573*U573&lt;0,"背离","一侧持平")))</x:f>
        <x:v>未交叉</x:v>
      </x:c>
    </x:row>
    <x:row r="574">
      <x:c r="A574" s="18" t="str">
        <x:v>store.payproglobal.com</x:v>
      </x:c>
      <x:c r="B574" s="19" t="str">
        <x:v>专用支付/结账入口</x:v>
      </x:c>
      <x:c r="C574" s="19" t="str">
        <x:v>高</x:v>
      </x:c>
      <x:c r="D574" s="19" t="str">
        <x:v>Jul 2026</x:v>
      </x:c>
      <x:c r="E574" s="19" t="n">
        <x:v>31</x:v>
      </x:c>
      <x:c r="F574" s="19" t="str">
        <x:v>reliefjet.com</x:v>
      </x:c>
      <x:c r="G574" s="19" t="str">
        <x:v>Programming and Developer Software</x:v>
      </x:c>
      <x:c r="H574" s="19" t="str">
        <x:v>开发者工具与互联网基础设施</x:v>
      </x:c>
      <x:c r="I574" s="19" t="str">
        <x:v>Similarweb 行业映射</x:v>
      </x:c>
      <x:c r="J574" s="19" t="n">
        <x:v>1809766</x:v>
      </x:c>
      <x:c r="K574" s="20" t="n">
        <x:v>0.0066</x:v>
      </x:c>
      <x:c r="L574" s="19" t="str">
        <x:v>上升</x:v>
      </x:c>
      <x:c r="M574" s="20" t="n">
        <x:v>50</x:v>
      </x:c>
      <x:c r="N574" s="21" t="n">
        <x:v>300299</x:v>
      </x:c>
      <x:c r="O574" s="21" t="n">
        <x:v>1982</x:v>
      </x:c>
      <x:c r="P574" s="21" t="n">
        <x:f>ROUND(N574*K574,0)</x:f>
        <x:v>1982</x:v>
      </x:c>
      <x:c r="Q574" s="19" t="str">
        <x:v>否</x:v>
      </x:c>
      <x:c r="R574" s="19" t="str"/>
      <x:c r="S574" s="19" t="n">
        <x:f>IF(Q574="是",0,MIN(10,2+IF(C574="高",2,1)+IF(K574&gt;=3%,3,IF(K574&gt;=1%,2,1))+IF(L574="新出现",2,IF(M574&gt;=100%,3,IF(M574&gt;0,2,0)))))</x:f>
        <x:v>8</x:v>
      </x:c>
      <x:c r="T574" s="21"/>
      <x:c r="U574" s="20"/>
      <x:c r="V574" s="19" t="str">
        <x:v>http://reliefjet.com/</x:v>
      </x:c>
      <x:c r="W574" s="19" t="str">
        <x:v>https://pro.similarweb.com/#/digitalsuite/websiteanalysis/referrals/*/999/1m?webSource=Total&amp;selectedTab=incomingTraffic&amp;key=store.payproglobal.com</x:v>
      </x:c>
      <x:c r="X574" s="20" t="n">
        <x:f>IF(Q574="是",0,IFERROR(P574/SUMIFS($P$2:$P$964,$A$2:$A$964,A574,$Q$2:$Q$964,"否"),0))</x:f>
        <x:v>0.009508914007177263</x:v>
      </x:c>
      <x:c r="Y574" s="22" t="str">
        <x:f>IF(OR(M574="",U574=""),"未交叉",IF(M574*U574&gt;0,"同向",IF(M574*U574&lt;0,"背离","一侧持平")))</x:f>
        <x:v>未交叉</x:v>
      </x:c>
    </x:row>
    <x:row r="575">
      <x:c r="A575" s="18" t="str">
        <x:v>store.payproglobal.com</x:v>
      </x:c>
      <x:c r="B575" s="19" t="str">
        <x:v>专用支付/结账入口</x:v>
      </x:c>
      <x:c r="C575" s="19" t="str">
        <x:v>高</x:v>
      </x:c>
      <x:c r="D575" s="19" t="str">
        <x:v>Jul 2026</x:v>
      </x:c>
      <x:c r="E575" s="19" t="n">
        <x:v>32</x:v>
      </x:c>
      <x:c r="F575" s="19" t="str">
        <x:v>imagetotext.info</x:v>
      </x:c>
      <x:c r="G575" s="19" t="str">
        <x:v>Dictionaries and Encyclopedias</x:v>
      </x:c>
      <x:c r="H575" s="19" t="str">
        <x:v>其他/待核查</x:v>
      </x:c>
      <x:c r="I575" s="19" t="str">
        <x:v>保守归类</x:v>
      </x:c>
      <x:c r="J575" s="19" t="n">
        <x:v>15147</x:v>
      </x:c>
      <x:c r="K575" s="20" t="n">
        <x:v>0.0058</x:v>
      </x:c>
      <x:c r="L575" s="19" t="str">
        <x:v>上升</x:v>
      </x:c>
      <x:c r="M575" s="20" t="n">
        <x:v>45.1843</x:v>
      </x:c>
      <x:c r="N575" s="21" t="n">
        <x:v>300299</x:v>
      </x:c>
      <x:c r="O575" s="21" t="n">
        <x:v>1742</x:v>
      </x:c>
      <x:c r="P575" s="21" t="n">
        <x:f>ROUND(N575*K575,0)</x:f>
        <x:v>1742</x:v>
      </x:c>
      <x:c r="Q575" s="19" t="str">
        <x:v>否</x:v>
      </x:c>
      <x:c r="R575" s="19" t="str"/>
      <x:c r="S575" s="19" t="n">
        <x:f>IF(Q575="是",0,MIN(10,2+IF(C575="高",2,1)+IF(K575&gt;=3%,3,IF(K575&gt;=1%,2,1))+IF(L575="新出现",2,IF(M575&gt;=100%,3,IF(M575&gt;0,2,0)))))</x:f>
        <x:v>8</x:v>
      </x:c>
      <x:c r="T575" s="21"/>
      <x:c r="U575" s="20"/>
      <x:c r="V575" s="19" t="str">
        <x:v>http://imagetotext.info/</x:v>
      </x:c>
      <x:c r="W575" s="19" t="str">
        <x:v>https://pro.similarweb.com/#/digitalsuite/websiteanalysis/referrals/*/999/1m?webSource=Total&amp;selectedTab=incomingTraffic&amp;key=store.payproglobal.com</x:v>
      </x:c>
      <x:c r="X575" s="20" t="n">
        <x:f>IF(Q575="是",0,IFERROR(P575/SUMIFS($P$2:$P$964,$A$2:$A$964,A575,$Q$2:$Q$964,"否"),0))</x:f>
        <x:v>0.008357481433149743</x:v>
      </x:c>
      <x:c r="Y575" s="22" t="str">
        <x:f>IF(OR(M575="",U575=""),"未交叉",IF(M575*U575&gt;0,"同向",IF(M575*U575&lt;0,"背离","一侧持平")))</x:f>
        <x:v>未交叉</x:v>
      </x:c>
    </x:row>
    <x:row r="576">
      <x:c r="A576" s="18" t="str">
        <x:v>store.payproglobal.com</x:v>
      </x:c>
      <x:c r="B576" s="19" t="str">
        <x:v>专用支付/结账入口</x:v>
      </x:c>
      <x:c r="C576" s="19" t="str">
        <x:v>高</x:v>
      </x:c>
      <x:c r="D576" s="19" t="str">
        <x:v>Jul 2026</x:v>
      </x:c>
      <x:c r="E576" s="19" t="n">
        <x:v>33</x:v>
      </x:c>
      <x:c r="F576" s="19" t="str">
        <x:v>gphotoshow.com</x:v>
      </x:c>
      <x:c r="G576" s="19" t="str">
        <x:v>Programming and Developer Software</x:v>
      </x:c>
      <x:c r="H576" s="19" t="str">
        <x:v>开发者工具与互联网基础设施</x:v>
      </x:c>
      <x:c r="I576" s="19" t="str">
        <x:v>Similarweb 行业映射</x:v>
      </x:c>
      <x:c r="J576" s="19" t="n">
        <x:v>1290800</x:v>
      </x:c>
      <x:c r="K576" s="20" t="n">
        <x:v>0.005699999999999999</x:v>
      </x:c>
      <x:c r="L576" s="19" t="str">
        <x:v>上升</x:v>
      </x:c>
      <x:c r="M576" s="20" t="n">
        <x:v>0.1293</x:v>
      </x:c>
      <x:c r="N576" s="21" t="n">
        <x:v>300299</x:v>
      </x:c>
      <x:c r="O576" s="21" t="n">
        <x:v>1712</x:v>
      </x:c>
      <x:c r="P576" s="21" t="n">
        <x:f>ROUND(N576*K576,0)</x:f>
        <x:v>1712</x:v>
      </x:c>
      <x:c r="Q576" s="19" t="str">
        <x:v>否</x:v>
      </x:c>
      <x:c r="R576" s="19" t="str"/>
      <x:c r="S576" s="19" t="n">
        <x:f>IF(Q576="是",0,MIN(10,2+IF(C576="高",2,1)+IF(K576&gt;=3%,3,IF(K576&gt;=1%,2,1))+IF(L576="新出现",2,IF(M576&gt;=100%,3,IF(M576&gt;0,2,0)))))</x:f>
        <x:v>7</x:v>
      </x:c>
      <x:c r="T576" s="21"/>
      <x:c r="U576" s="20"/>
      <x:c r="V576" s="19" t="str">
        <x:v>http://gphotoshow.com/</x:v>
      </x:c>
      <x:c r="W576" s="19" t="str">
        <x:v>https://pro.similarweb.com/#/digitalsuite/websiteanalysis/referrals/*/999/1m?webSource=Total&amp;selectedTab=incomingTraffic&amp;key=store.payproglobal.com</x:v>
      </x:c>
      <x:c r="X576" s="20" t="n">
        <x:f>IF(Q576="是",0,IFERROR(P576/SUMIFS($P$2:$P$964,$A$2:$A$964,A576,$Q$2:$Q$964,"否"),0))</x:f>
        <x:v>0.008213552361396304</x:v>
      </x:c>
      <x:c r="Y576" s="22" t="str">
        <x:f>IF(OR(M576="",U576=""),"未交叉",IF(M576*U576&gt;0,"同向",IF(M576*U576&lt;0,"背离","一侧持平")))</x:f>
        <x:v>未交叉</x:v>
      </x:c>
    </x:row>
    <x:row r="577">
      <x:c r="A577" s="18" t="str">
        <x:v>store.payproglobal.com</x:v>
      </x:c>
      <x:c r="B577" s="19" t="str">
        <x:v>专用支付/结账入口</x:v>
      </x:c>
      <x:c r="C577" s="19" t="str">
        <x:v>高</x:v>
      </x:c>
      <x:c r="D577" s="19" t="str">
        <x:v>Jul 2026</x:v>
      </x:c>
      <x:c r="E577" s="19" t="n">
        <x:v>34</x:v>
      </x:c>
      <x:c r="F577" s="19" t="str">
        <x:v>aitoolnet.com</x:v>
      </x:c>
      <x:c r="G577" s="19" t="str">
        <x:v>Computers Electronics and Technology</x:v>
      </x:c>
      <x:c r="H577" s="19" t="str">
        <x:v>通用数字产品与技术服务</x:v>
      </x:c>
      <x:c r="I577" s="19" t="str">
        <x:v>Similarweb 行业映射</x:v>
      </x:c>
      <x:c r="J577" s="19" t="n">
        <x:v>1005123</x:v>
      </x:c>
      <x:c r="K577" s="20" t="n">
        <x:v>0.005699999999999999</x:v>
      </x:c>
      <x:c r="L577" s="19" t="str">
        <x:v>上升</x:v>
      </x:c>
      <x:c r="M577" s="20" t="n">
        <x:v>1.2494</x:v>
      </x:c>
      <x:c r="N577" s="21" t="n">
        <x:v>300299</x:v>
      </x:c>
      <x:c r="O577" s="21" t="n">
        <x:v>1712</x:v>
      </x:c>
      <x:c r="P577" s="21" t="n">
        <x:f>ROUND(N577*K577,0)</x:f>
        <x:v>1712</x:v>
      </x:c>
      <x:c r="Q577" s="19" t="str">
        <x:v>否</x:v>
      </x:c>
      <x:c r="R577" s="19" t="str"/>
      <x:c r="S577" s="19" t="n">
        <x:f>IF(Q577="是",0,MIN(10,2+IF(C577="高",2,1)+IF(K577&gt;=3%,3,IF(K577&gt;=1%,2,1))+IF(L577="新出现",2,IF(M577&gt;=100%,3,IF(M577&gt;0,2,0)))))</x:f>
        <x:v>8</x:v>
      </x:c>
      <x:c r="T577" s="21"/>
      <x:c r="U577" s="20"/>
      <x:c r="V577" s="19" t="str">
        <x:v>http://aitoolnet.com/</x:v>
      </x:c>
      <x:c r="W577" s="19" t="str">
        <x:v>https://pro.similarweb.com/#/digitalsuite/websiteanalysis/referrals/*/999/1m?webSource=Total&amp;selectedTab=incomingTraffic&amp;key=store.payproglobal.com</x:v>
      </x:c>
      <x:c r="X577" s="20" t="n">
        <x:f>IF(Q577="是",0,IFERROR(P577/SUMIFS($P$2:$P$964,$A$2:$A$964,A577,$Q$2:$Q$964,"否"),0))</x:f>
        <x:v>0.008213552361396304</x:v>
      </x:c>
      <x:c r="Y577" s="22" t="str">
        <x:f>IF(OR(M577="",U577=""),"未交叉",IF(M577*U577&gt;0,"同向",IF(M577*U577&lt;0,"背离","一侧持平")))</x:f>
        <x:v>未交叉</x:v>
      </x:c>
    </x:row>
    <x:row r="578">
      <x:c r="A578" s="18" t="str">
        <x:v>store.payproglobal.com</x:v>
      </x:c>
      <x:c r="B578" s="19" t="str">
        <x:v>专用支付/结账入口</x:v>
      </x:c>
      <x:c r="C578" s="19" t="str">
        <x:v>高</x:v>
      </x:c>
      <x:c r="D578" s="19" t="str">
        <x:v>Jul 2026</x:v>
      </x:c>
      <x:c r="E578" s="19" t="n">
        <x:v>35</x:v>
      </x:c>
      <x:c r="F578" s="19" t="str">
        <x:v>2captcha.com</x:v>
      </x:c>
      <x:c r="G578" s="19" t="str">
        <x:v>Computers Electronics and Technology</x:v>
      </x:c>
      <x:c r="H578" s="19" t="str">
        <x:v>通用数字产品与技术服务</x:v>
      </x:c>
      <x:c r="I578" s="19" t="str">
        <x:v>Similarweb 行业映射</x:v>
      </x:c>
      <x:c r="J578" s="19" t="n">
        <x:v>43691</x:v>
      </x:c>
      <x:c r="K578" s="20" t="n">
        <x:v>0.005600000000000001</x:v>
      </x:c>
      <x:c r="L578" s="19" t="str">
        <x:v>上升</x:v>
      </x:c>
      <x:c r="M578" s="20" t="n">
        <x:v>6.0436000000000005</x:v>
      </x:c>
      <x:c r="N578" s="21" t="n">
        <x:v>300299</x:v>
      </x:c>
      <x:c r="O578" s="21" t="n">
        <x:v>1682</x:v>
      </x:c>
      <x:c r="P578" s="21" t="n">
        <x:f>ROUND(N578*K578,0)</x:f>
        <x:v>1682</x:v>
      </x:c>
      <x:c r="Q578" s="19" t="str">
        <x:v>否</x:v>
      </x:c>
      <x:c r="R578" s="19" t="str"/>
      <x:c r="S578" s="19" t="n">
        <x:f>IF(Q578="是",0,MIN(10,2+IF(C578="高",2,1)+IF(K578&gt;=3%,3,IF(K578&gt;=1%,2,1))+IF(L578="新出现",2,IF(M578&gt;=100%,3,IF(M578&gt;0,2,0)))))</x:f>
        <x:v>8</x:v>
      </x:c>
      <x:c r="T578" s="21"/>
      <x:c r="U578" s="20"/>
      <x:c r="V578" s="19" t="str">
        <x:v>http://2captcha.com/</x:v>
      </x:c>
      <x:c r="W578" s="19" t="str">
        <x:v>https://pro.similarweb.com/#/digitalsuite/websiteanalysis/referrals/*/999/1m?webSource=Total&amp;selectedTab=incomingTraffic&amp;key=store.payproglobal.com</x:v>
      </x:c>
      <x:c r="X578" s="20" t="n">
        <x:f>IF(Q578="是",0,IFERROR(P578/SUMIFS($P$2:$P$964,$A$2:$A$964,A578,$Q$2:$Q$964,"否"),0))</x:f>
        <x:v>0.008069623289642863</x:v>
      </x:c>
      <x:c r="Y578" s="22" t="str">
        <x:f>IF(OR(M578="",U578=""),"未交叉",IF(M578*U578&gt;0,"同向",IF(M578*U578&lt;0,"背离","一侧持平")))</x:f>
        <x:v>未交叉</x:v>
      </x:c>
    </x:row>
    <x:row r="579">
      <x:c r="A579" s="18" t="str">
        <x:v>store.payproglobal.com</x:v>
      </x:c>
      <x:c r="B579" s="19" t="str">
        <x:v>专用支付/结账入口</x:v>
      </x:c>
      <x:c r="C579" s="19" t="str">
        <x:v>高</x:v>
      </x:c>
      <x:c r="D579" s="19" t="str">
        <x:v>Jul 2026</x:v>
      </x:c>
      <x:c r="E579" s="19" t="n">
        <x:v>36</x:v>
      </x:c>
      <x:c r="F579" s="19" t="str">
        <x:v>bablosoft.com</x:v>
      </x:c>
      <x:c r="G579" s="19" t="str">
        <x:v>Web Hosting and Domain Names</x:v>
      </x:c>
      <x:c r="H579" s="19" t="str">
        <x:v>开发者工具与互联网基础设施</x:v>
      </x:c>
      <x:c r="I579" s="19" t="str">
        <x:v>Similarweb 行业映射</x:v>
      </x:c>
      <x:c r="J579" s="19" t="n">
        <x:v>298562</x:v>
      </x:c>
      <x:c r="K579" s="20" t="n">
        <x:v>0.0055000000000000005</x:v>
      </x:c>
      <x:c r="L579" s="19" t="str">
        <x:v>下降</x:v>
      </x:c>
      <x:c r="M579" s="20" t="n">
        <x:v>-0.6518999999999999</x:v>
      </x:c>
      <x:c r="N579" s="21" t="n">
        <x:v>300299</x:v>
      </x:c>
      <x:c r="O579" s="21" t="n">
        <x:v>1652</x:v>
      </x:c>
      <x:c r="P579" s="21" t="n">
        <x:f>ROUND(N579*K579,0)</x:f>
        <x:v>1652</x:v>
      </x:c>
      <x:c r="Q579" s="19" t="str">
        <x:v>否</x:v>
      </x:c>
      <x:c r="R579" s="19" t="str"/>
      <x:c r="S579" s="19" t="n">
        <x:f>IF(Q579="是",0,MIN(10,2+IF(C579="高",2,1)+IF(K579&gt;=3%,3,IF(K579&gt;=1%,2,1))+IF(L579="新出现",2,IF(M579&gt;=100%,3,IF(M579&gt;0,2,0)))))</x:f>
        <x:v>5</x:v>
      </x:c>
      <x:c r="T579" s="21"/>
      <x:c r="U579" s="20"/>
      <x:c r="V579" s="19" t="str">
        <x:v>http://bablosoft.com/</x:v>
      </x:c>
      <x:c r="W579" s="19" t="str">
        <x:v>https://pro.similarweb.com/#/digitalsuite/websiteanalysis/referrals/*/999/1m?webSource=Total&amp;selectedTab=incomingTraffic&amp;key=store.payproglobal.com</x:v>
      </x:c>
      <x:c r="X579" s="20" t="n">
        <x:f>IF(Q579="是",0,IFERROR(P579/SUMIFS($P$2:$P$964,$A$2:$A$964,A579,$Q$2:$Q$964,"否"),0))</x:f>
        <x:v>0.007925694217889424</x:v>
      </x:c>
      <x:c r="Y579" s="22" t="str">
        <x:f>IF(OR(M579="",U579=""),"未交叉",IF(M579*U579&gt;0,"同向",IF(M579*U579&lt;0,"背离","一侧持平")))</x:f>
        <x:v>未交叉</x:v>
      </x:c>
    </x:row>
    <x:row r="580">
      <x:c r="A580" s="18" t="str">
        <x:v>store.payproglobal.com</x:v>
      </x:c>
      <x:c r="B580" s="19" t="str">
        <x:v>专用支付/结账入口</x:v>
      </x:c>
      <x:c r="C580" s="19" t="str">
        <x:v>高</x:v>
      </x:c>
      <x:c r="D580" s="19" t="str">
        <x:v>Jul 2026</x:v>
      </x:c>
      <x:c r="E580" s="19" t="n">
        <x:v>37</x:v>
      </x:c>
      <x:c r="F580" s="19" t="str">
        <x:v>software.pcworld.com</x:v>
      </x:c>
      <x:c r="G580" s="19" t="str">
        <x:v>Computer Security</x:v>
      </x:c>
      <x:c r="H580" s="19" t="str">
        <x:v>开发者工具与互联网基础设施</x:v>
      </x:c>
      <x:c r="I580" s="19" t="str">
        <x:v>Similarweb 行业映射</x:v>
      </x:c>
      <x:c r="J580" s="19" t="n">
        <x:v>1087749</x:v>
      </x:c>
      <x:c r="K580" s="20" t="n">
        <x:v>0.0052</x:v>
      </x:c>
      <x:c r="L580" s="19" t="str">
        <x:v>下降</x:v>
      </x:c>
      <x:c r="M580" s="20" t="n">
        <x:v>-0.0148</x:v>
      </x:c>
      <x:c r="N580" s="21" t="n">
        <x:v>300299</x:v>
      </x:c>
      <x:c r="O580" s="21" t="n">
        <x:v>1562</x:v>
      </x:c>
      <x:c r="P580" s="21" t="n">
        <x:f>ROUND(N580*K580,0)</x:f>
        <x:v>1562</x:v>
      </x:c>
      <x:c r="Q580" s="19" t="str">
        <x:v>否</x:v>
      </x:c>
      <x:c r="R580" s="19" t="str"/>
      <x:c r="S580" s="19" t="n">
        <x:f>IF(Q580="是",0,MIN(10,2+IF(C580="高",2,1)+IF(K580&gt;=3%,3,IF(K580&gt;=1%,2,1))+IF(L580="新出现",2,IF(M580&gt;=100%,3,IF(M580&gt;0,2,0)))))</x:f>
        <x:v>5</x:v>
      </x:c>
      <x:c r="T580" s="21"/>
      <x:c r="U580" s="20"/>
      <x:c r="V580" s="19" t="str">
        <x:v>http://software.pcworld.com/</x:v>
      </x:c>
      <x:c r="W580" s="19" t="str">
        <x:v>https://pro.similarweb.com/#/digitalsuite/websiteanalysis/referrals/*/999/1m?webSource=Total&amp;selectedTab=incomingTraffic&amp;key=store.payproglobal.com</x:v>
      </x:c>
      <x:c r="X580" s="20" t="n">
        <x:f>IF(Q580="是",0,IFERROR(P580/SUMIFS($P$2:$P$964,$A$2:$A$964,A580,$Q$2:$Q$964,"否"),0))</x:f>
        <x:v>0.007493907002629105</x:v>
      </x:c>
      <x:c r="Y580" s="22" t="str">
        <x:f>IF(OR(M580="",U580=""),"未交叉",IF(M580*U580&gt;0,"同向",IF(M580*U580&lt;0,"背离","一侧持平")))</x:f>
        <x:v>未交叉</x:v>
      </x:c>
    </x:row>
    <x:row r="581">
      <x:c r="A581" s="18" t="str">
        <x:v>store.payproglobal.com</x:v>
      </x:c>
      <x:c r="B581" s="19" t="str">
        <x:v>专用支付/结账入口</x:v>
      </x:c>
      <x:c r="C581" s="19" t="str">
        <x:v>高</x:v>
      </x:c>
      <x:c r="D581" s="19" t="str">
        <x:v>Jul 2026</x:v>
      </x:c>
      <x:c r="E581" s="19" t="n">
        <x:v>38</x:v>
      </x:c>
      <x:c r="F581" s="19" t="str">
        <x:v>multisellerpro.com</x:v>
      </x:c>
      <x:c r="G581" s="19" t="str">
        <x:v>Unknown</x:v>
      </x:c>
      <x:c r="H581" s="19" t="str">
        <x:v>其他/待核查</x:v>
      </x:c>
      <x:c r="I581" s="19" t="str">
        <x:v>Similarweb 未分类</x:v>
      </x:c>
      <x:c r="J581" s="19" t="n">
        <x:v>1073538</x:v>
      </x:c>
      <x:c r="K581" s="20" t="n">
        <x:v>0.005</x:v>
      </x:c>
      <x:c r="L581" s="19" t="str">
        <x:v>上升</x:v>
      </x:c>
      <x:c r="M581" s="20" t="n">
        <x:v>0.23199999999999998</x:v>
      </x:c>
      <x:c r="N581" s="21" t="n">
        <x:v>300299</x:v>
      </x:c>
      <x:c r="O581" s="21" t="n">
        <x:v>1501</x:v>
      </x:c>
      <x:c r="P581" s="21" t="n">
        <x:f>ROUND(N581*K581,0)</x:f>
        <x:v>1501</x:v>
      </x:c>
      <x:c r="Q581" s="19" t="str">
        <x:v>否</x:v>
      </x:c>
      <x:c r="R581" s="19" t="str"/>
      <x:c r="S581" s="19" t="n">
        <x:f>IF(Q581="是",0,MIN(10,2+IF(C581="高",2,1)+IF(K581&gt;=3%,3,IF(K581&gt;=1%,2,1))+IF(L581="新出现",2,IF(M581&gt;=100%,3,IF(M581&gt;0,2,0)))))</x:f>
        <x:v>7</x:v>
      </x:c>
      <x:c r="T581" s="21"/>
      <x:c r="U581" s="20"/>
      <x:c r="V581" s="19" t="str">
        <x:v>http://multisellerpro.com/</x:v>
      </x:c>
      <x:c r="W581" s="19" t="str">
        <x:v>https://pro.similarweb.com/#/digitalsuite/websiteanalysis/referrals/*/999/1m?webSource=Total&amp;selectedTab=incomingTraffic&amp;key=store.payproglobal.com</x:v>
      </x:c>
      <x:c r="X581" s="20" t="n">
        <x:f>IF(Q581="是",0,IFERROR(P581/SUMIFS($P$2:$P$964,$A$2:$A$964,A581,$Q$2:$Q$964,"否"),0))</x:f>
        <x:v>0.0072012512233971095</x:v>
      </x:c>
      <x:c r="Y581" s="22" t="str">
        <x:f>IF(OR(M581="",U581=""),"未交叉",IF(M581*U581&gt;0,"同向",IF(M581*U581&lt;0,"背离","一侧持平")))</x:f>
        <x:v>未交叉</x:v>
      </x:c>
    </x:row>
    <x:row r="582">
      <x:c r="A582" s="18" t="str">
        <x:v>store.payproglobal.com</x:v>
      </x:c>
      <x:c r="B582" s="19" t="str">
        <x:v>专用支付/结账入口</x:v>
      </x:c>
      <x:c r="C582" s="19" t="str">
        <x:v>高</x:v>
      </x:c>
      <x:c r="D582" s="19" t="str">
        <x:v>Jul 2026</x:v>
      </x:c>
      <x:c r="E582" s="19" t="n">
        <x:v>39</x:v>
      </x:c>
      <x:c r="F582" s="19" t="str">
        <x:v>tunesbro.com</x:v>
      </x:c>
      <x:c r="G582" s="19" t="str">
        <x:v>Computers Electronics and Technology</x:v>
      </x:c>
      <x:c r="H582" s="19" t="str">
        <x:v>通用数字产品与技术服务</x:v>
      </x:c>
      <x:c r="I582" s="19" t="str">
        <x:v>Similarweb 行业映射</x:v>
      </x:c>
      <x:c r="J582" s="19" t="n">
        <x:v>325979</x:v>
      </x:c>
      <x:c r="K582" s="20" t="n">
        <x:v>0.0048</x:v>
      </x:c>
      <x:c r="L582" s="19" t="str">
        <x:v>上升</x:v>
      </x:c>
      <x:c r="M582" s="20" t="n">
        <x:v>1.9143999999999999</x:v>
      </x:c>
      <x:c r="N582" s="21" t="n">
        <x:v>300299</x:v>
      </x:c>
      <x:c r="O582" s="21" t="n">
        <x:v>1441</x:v>
      </x:c>
      <x:c r="P582" s="21" t="n">
        <x:f>ROUND(N582*K582,0)</x:f>
        <x:v>1441</x:v>
      </x:c>
      <x:c r="Q582" s="19" t="str">
        <x:v>否</x:v>
      </x:c>
      <x:c r="R582" s="19" t="str"/>
      <x:c r="S582" s="19" t="n">
        <x:f>IF(Q582="是",0,MIN(10,2+IF(C582="高",2,1)+IF(K582&gt;=3%,3,IF(K582&gt;=1%,2,1))+IF(L582="新出现",2,IF(M582&gt;=100%,3,IF(M582&gt;0,2,0)))))</x:f>
        <x:v>8</x:v>
      </x:c>
      <x:c r="T582" s="21"/>
      <x:c r="U582" s="20"/>
      <x:c r="V582" s="19" t="str">
        <x:v>http://tunesbro.com/</x:v>
      </x:c>
      <x:c r="W582" s="19" t="str">
        <x:v>https://pro.similarweb.com/#/digitalsuite/websiteanalysis/referrals/*/999/1m?webSource=Total&amp;selectedTab=incomingTraffic&amp;key=store.payproglobal.com</x:v>
      </x:c>
      <x:c r="X582" s="20" t="n">
        <x:f>IF(Q582="是",0,IFERROR(P582/SUMIFS($P$2:$P$964,$A$2:$A$964,A582,$Q$2:$Q$964,"否"),0))</x:f>
        <x:v>0.00691339307989023</x:v>
      </x:c>
      <x:c r="Y582" s="22" t="str">
        <x:f>IF(OR(M582="",U582=""),"未交叉",IF(M582*U582&gt;0,"同向",IF(M582*U582&lt;0,"背离","一侧持平")))</x:f>
        <x:v>未交叉</x:v>
      </x:c>
    </x:row>
    <x:row r="583">
      <x:c r="A583" s="18" t="str">
        <x:v>store.payproglobal.com</x:v>
      </x:c>
      <x:c r="B583" s="19" t="str">
        <x:v>专用支付/结账入口</x:v>
      </x:c>
      <x:c r="C583" s="19" t="str">
        <x:v>高</x:v>
      </x:c>
      <x:c r="D583" s="19" t="str">
        <x:v>Jul 2026</x:v>
      </x:c>
      <x:c r="E583" s="19" t="n">
        <x:v>40</x:v>
      </x:c>
      <x:c r="F583" s="19" t="str">
        <x:v>forextester.jp</x:v>
      </x:c>
      <x:c r="G583" s="19" t="str">
        <x:v>Investing</x:v>
      </x:c>
      <x:c r="H583" s="19" t="str">
        <x:v>金融、支付与交易服务</x:v>
      </x:c>
      <x:c r="I583" s="19" t="str">
        <x:v>Similarweb 行业映射</x:v>
      </x:c>
      <x:c r="J583" s="19" t="n">
        <x:v>1912718</x:v>
      </x:c>
      <x:c r="K583" s="20" t="n">
        <x:v>0.0046</x:v>
      </x:c>
      <x:c r="L583" s="19" t="str">
        <x:v>下降</x:v>
      </x:c>
      <x:c r="M583" s="20" t="n">
        <x:v>-0.46509999999999996</x:v>
      </x:c>
      <x:c r="N583" s="21" t="n">
        <x:v>300299</x:v>
      </x:c>
      <x:c r="O583" s="21" t="n">
        <x:v>1381</x:v>
      </x:c>
      <x:c r="P583" s="21" t="n">
        <x:f>ROUND(N583*K583,0)</x:f>
        <x:v>1381</x:v>
      </x:c>
      <x:c r="Q583" s="19" t="str">
        <x:v>否</x:v>
      </x:c>
      <x:c r="R583" s="19" t="str"/>
      <x:c r="S583" s="19" t="n">
        <x:f>IF(Q583="是",0,MIN(10,2+IF(C583="高",2,1)+IF(K583&gt;=3%,3,IF(K583&gt;=1%,2,1))+IF(L583="新出现",2,IF(M583&gt;=100%,3,IF(M583&gt;0,2,0)))))</x:f>
        <x:v>5</x:v>
      </x:c>
      <x:c r="T583" s="21"/>
      <x:c r="U583" s="20"/>
      <x:c r="V583" s="19" t="str">
        <x:v>http://forextester.jp/</x:v>
      </x:c>
      <x:c r="W583" s="19" t="str">
        <x:v>https://pro.similarweb.com/#/digitalsuite/websiteanalysis/referrals/*/999/1m?webSource=Total&amp;selectedTab=incomingTraffic&amp;key=store.payproglobal.com</x:v>
      </x:c>
      <x:c r="X583" s="20" t="n">
        <x:f>IF(Q583="是",0,IFERROR(P583/SUMIFS($P$2:$P$964,$A$2:$A$964,A583,$Q$2:$Q$964,"否"),0))</x:f>
        <x:v>0.00662553493638335</x:v>
      </x:c>
      <x:c r="Y583" s="22" t="str">
        <x:f>IF(OR(M583="",U583=""),"未交叉",IF(M583*U583&gt;0,"同向",IF(M583*U583&lt;0,"背离","一侧持平")))</x:f>
        <x:v>未交叉</x:v>
      </x:c>
    </x:row>
    <x:row r="584">
      <x:c r="A584" s="18" t="str">
        <x:v>store.payproglobal.com</x:v>
      </x:c>
      <x:c r="B584" s="19" t="str">
        <x:v>专用支付/结账入口</x:v>
      </x:c>
      <x:c r="C584" s="19" t="str">
        <x:v>高</x:v>
      </x:c>
      <x:c r="D584" s="19" t="str">
        <x:v>Jul 2026</x:v>
      </x:c>
      <x:c r="E584" s="19" t="n">
        <x:v>41</x:v>
      </x:c>
      <x:c r="F584" s="19" t="str">
        <x:v>actcad.com</x:v>
      </x:c>
      <x:c r="G584" s="19" t="str">
        <x:v>Computers Electronics and Technology</x:v>
      </x:c>
      <x:c r="H584" s="19" t="str">
        <x:v>通用数字产品与技术服务</x:v>
      </x:c>
      <x:c r="I584" s="19" t="str">
        <x:v>Similarweb 行业映射</x:v>
      </x:c>
      <x:c r="J584" s="19" t="n">
        <x:v>3082610</x:v>
      </x:c>
      <x:c r="K584" s="20" t="n">
        <x:v>0.0044</x:v>
      </x:c>
      <x:c r="L584" s="19" t="str">
        <x:v>下降</x:v>
      </x:c>
      <x:c r="M584" s="20" t="n">
        <x:v>-0.7748999999999999</x:v>
      </x:c>
      <x:c r="N584" s="21" t="n">
        <x:v>300299</x:v>
      </x:c>
      <x:c r="O584" s="21" t="n">
        <x:v>1321</x:v>
      </x:c>
      <x:c r="P584" s="21" t="n">
        <x:f>ROUND(N584*K584,0)</x:f>
        <x:v>1321</x:v>
      </x:c>
      <x:c r="Q584" s="19" t="str">
        <x:v>否</x:v>
      </x:c>
      <x:c r="R584" s="19" t="str"/>
      <x:c r="S584" s="19" t="n">
        <x:f>IF(Q584="是",0,MIN(10,2+IF(C584="高",2,1)+IF(K584&gt;=3%,3,IF(K584&gt;=1%,2,1))+IF(L584="新出现",2,IF(M584&gt;=100%,3,IF(M584&gt;0,2,0)))))</x:f>
        <x:v>5</x:v>
      </x:c>
      <x:c r="T584" s="21"/>
      <x:c r="U584" s="20"/>
      <x:c r="V584" s="19" t="str">
        <x:v>http://actcad.com/</x:v>
      </x:c>
      <x:c r="W584" s="19" t="str">
        <x:v>https://pro.similarweb.com/#/digitalsuite/websiteanalysis/referrals/*/999/1m?webSource=Total&amp;selectedTab=incomingTraffic&amp;key=store.payproglobal.com</x:v>
      </x:c>
      <x:c r="X584" s="20" t="n">
        <x:f>IF(Q584="是",0,IFERROR(P584/SUMIFS($P$2:$P$964,$A$2:$A$964,A584,$Q$2:$Q$964,"否"),0))</x:f>
        <x:v>0.006337676792876471</x:v>
      </x:c>
      <x:c r="Y584" s="22" t="str">
        <x:f>IF(OR(M584="",U584=""),"未交叉",IF(M584*U584&gt;0,"同向",IF(M584*U584&lt;0,"背离","一侧持平")))</x:f>
        <x:v>未交叉</x:v>
      </x:c>
    </x:row>
    <x:row r="585">
      <x:c r="A585" s="18" t="str">
        <x:v>store.payproglobal.com</x:v>
      </x:c>
      <x:c r="B585" s="19" t="str">
        <x:v>专用支付/结账入口</x:v>
      </x:c>
      <x:c r="C585" s="19" t="str">
        <x:v>高</x:v>
      </x:c>
      <x:c r="D585" s="19" t="str">
        <x:v>Jul 2026</x:v>
      </x:c>
      <x:c r="E585" s="19" t="n">
        <x:v>42</x:v>
      </x:c>
      <x:c r="F585" s="19" t="str">
        <x:v>fr.labrika.com</x:v>
      </x:c>
      <x:c r="G585" s="19" t="str">
        <x:v>Unknown</x:v>
      </x:c>
      <x:c r="H585" s="19" t="str">
        <x:v>其他/待核查</x:v>
      </x:c>
      <x:c r="I585" s="19" t="str">
        <x:v>Similarweb 未分类</x:v>
      </x:c>
      <x:c r="J585" s="19"/>
      <x:c r="K585" s="20" t="n">
        <x:v>0.0043</x:v>
      </x:c>
      <x:c r="L585" s="19" t="str">
        <x:v>新出现</x:v>
      </x:c>
      <x:c r="M585" s="20"/>
      <x:c r="N585" s="21" t="n">
        <x:v>300299</x:v>
      </x:c>
      <x:c r="O585" s="21" t="n">
        <x:v>1291</x:v>
      </x:c>
      <x:c r="P585" s="21" t="n">
        <x:f>ROUND(N585*K585,0)</x:f>
        <x:v>1291</x:v>
      </x:c>
      <x:c r="Q585" s="19" t="str">
        <x:v>否</x:v>
      </x:c>
      <x:c r="R585" s="19" t="str"/>
      <x:c r="S585" s="19" t="n">
        <x:f>IF(Q585="是",0,MIN(10,2+IF(C585="高",2,1)+IF(K585&gt;=3%,3,IF(K585&gt;=1%,2,1))+IF(L585="新出现",2,IF(M585&gt;=100%,3,IF(M585&gt;0,2,0)))))</x:f>
        <x:v>7</x:v>
      </x:c>
      <x:c r="T585" s="21"/>
      <x:c r="U585" s="20"/>
      <x:c r="V585" s="19" t="str">
        <x:v>http://fr.labrika.com/</x:v>
      </x:c>
      <x:c r="W585" s="19" t="str">
        <x:v>https://pro.similarweb.com/#/digitalsuite/websiteanalysis/referrals/*/999/1m?webSource=Total&amp;selectedTab=incomingTraffic&amp;key=store.payproglobal.com</x:v>
      </x:c>
      <x:c r="X585" s="20" t="n">
        <x:f>IF(Q585="是",0,IFERROR(P585/SUMIFS($P$2:$P$964,$A$2:$A$964,A585,$Q$2:$Q$964,"否"),0))</x:f>
        <x:v>0.0061937477211230305</x:v>
      </x:c>
      <x:c r="Y585" s="22" t="str">
        <x:f>IF(OR(M585="",U585=""),"未交叉",IF(M585*U585&gt;0,"同向",IF(M585*U585&lt;0,"背离","一侧持平")))</x:f>
        <x:v>未交叉</x:v>
      </x:c>
    </x:row>
    <x:row r="586">
      <x:c r="A586" s="18" t="str">
        <x:v>store.payproglobal.com</x:v>
      </x:c>
      <x:c r="B586" s="19" t="str">
        <x:v>专用支付/结账入口</x:v>
      </x:c>
      <x:c r="C586" s="19" t="str">
        <x:v>高</x:v>
      </x:c>
      <x:c r="D586" s="19" t="str">
        <x:v>Jul 2026</x:v>
      </x:c>
      <x:c r="E586" s="19" t="n">
        <x:v>43</x:v>
      </x:c>
      <x:c r="F586" s="19" t="str">
        <x:v>my.evomi.com</x:v>
      </x:c>
      <x:c r="G586" s="19" t="str">
        <x:v>Web Hosting and Domain Names</x:v>
      </x:c>
      <x:c r="H586" s="19" t="str">
        <x:v>开发者工具与互联网基础设施</x:v>
      </x:c>
      <x:c r="I586" s="19" t="str">
        <x:v>Similarweb 行业映射</x:v>
      </x:c>
      <x:c r="J586" s="19"/>
      <x:c r="K586" s="20" t="n">
        <x:v>0.0042</x:v>
      </x:c>
      <x:c r="L586" s="19" t="str">
        <x:v>上升</x:v>
      </x:c>
      <x:c r="M586" s="20" t="n">
        <x:v>1.3047</x:v>
      </x:c>
      <x:c r="N586" s="21" t="n">
        <x:v>300299</x:v>
      </x:c>
      <x:c r="O586" s="21" t="n">
        <x:v>1261</x:v>
      </x:c>
      <x:c r="P586" s="21" t="n">
        <x:f>ROUND(N586*K586,0)</x:f>
        <x:v>1261</x:v>
      </x:c>
      <x:c r="Q586" s="19" t="str">
        <x:v>否</x:v>
      </x:c>
      <x:c r="R586" s="19" t="str"/>
      <x:c r="S586" s="19" t="n">
        <x:f>IF(Q586="是",0,MIN(10,2+IF(C586="高",2,1)+IF(K586&gt;=3%,3,IF(K586&gt;=1%,2,1))+IF(L586="新出现",2,IF(M586&gt;=100%,3,IF(M586&gt;0,2,0)))))</x:f>
        <x:v>8</x:v>
      </x:c>
      <x:c r="T586" s="21"/>
      <x:c r="U586" s="20"/>
      <x:c r="V586" s="19" t="str">
        <x:v>http://my.evomi.com/</x:v>
      </x:c>
      <x:c r="W586" s="19" t="str">
        <x:v>https://pro.similarweb.com/#/digitalsuite/websiteanalysis/referrals/*/999/1m?webSource=Total&amp;selectedTab=incomingTraffic&amp;key=store.payproglobal.com</x:v>
      </x:c>
      <x:c r="X586" s="20" t="n">
        <x:f>IF(Q586="是",0,IFERROR(P586/SUMIFS($P$2:$P$964,$A$2:$A$964,A586,$Q$2:$Q$964,"否"),0))</x:f>
        <x:v>0.00604981864936959</x:v>
      </x:c>
      <x:c r="Y586" s="22" t="str">
        <x:f>IF(OR(M586="",U586=""),"未交叉",IF(M586*U586&gt;0,"同向",IF(M586*U586&lt;0,"背离","一侧持平")))</x:f>
        <x:v>未交叉</x:v>
      </x:c>
    </x:row>
    <x:row r="587">
      <x:c r="A587" s="18" t="str">
        <x:v>store.payproglobal.com</x:v>
      </x:c>
      <x:c r="B587" s="19" t="str">
        <x:v>专用支付/结账入口</x:v>
      </x:c>
      <x:c r="C587" s="19" t="str">
        <x:v>高</x:v>
      </x:c>
      <x:c r="D587" s="19" t="str">
        <x:v>Jul 2026</x:v>
      </x:c>
      <x:c r="E587" s="19" t="n">
        <x:v>44</x:v>
      </x:c>
      <x:c r="F587" s="19" t="str">
        <x:v>store.computeractive.co.uk</x:v>
      </x:c>
      <x:c r="G587" s="19" t="str">
        <x:v>Computer Security</x:v>
      </x:c>
      <x:c r="H587" s="19" t="str">
        <x:v>开发者工具与互联网基础设施</x:v>
      </x:c>
      <x:c r="I587" s="19" t="str">
        <x:v>Similarweb 行业映射</x:v>
      </x:c>
      <x:c r="J587" s="19"/>
      <x:c r="K587" s="20" t="n">
        <x:v>0.004</x:v>
      </x:c>
      <x:c r="L587" s="19" t="str">
        <x:v>上升</x:v>
      </x:c>
      <x:c r="M587" s="20" t="n">
        <x:v>1.9808000000000001</x:v>
      </x:c>
      <x:c r="N587" s="21" t="n">
        <x:v>300299</x:v>
      </x:c>
      <x:c r="O587" s="21" t="n">
        <x:v>1201</x:v>
      </x:c>
      <x:c r="P587" s="21" t="n">
        <x:f>ROUND(N587*K587,0)</x:f>
        <x:v>1201</x:v>
      </x:c>
      <x:c r="Q587" s="19" t="str">
        <x:v>否</x:v>
      </x:c>
      <x:c r="R587" s="19" t="str"/>
      <x:c r="S587" s="19" t="n">
        <x:f>IF(Q587="是",0,MIN(10,2+IF(C587="高",2,1)+IF(K587&gt;=3%,3,IF(K587&gt;=1%,2,1))+IF(L587="新出现",2,IF(M587&gt;=100%,3,IF(M587&gt;0,2,0)))))</x:f>
        <x:v>8</x:v>
      </x:c>
      <x:c r="T587" s="21"/>
      <x:c r="U587" s="20"/>
      <x:c r="V587" s="19" t="str">
        <x:v>http://store.computeractive.co.uk/</x:v>
      </x:c>
      <x:c r="W587" s="19" t="str">
        <x:v>https://pro.similarweb.com/#/digitalsuite/websiteanalysis/referrals/*/999/1m?webSource=Total&amp;selectedTab=incomingTraffic&amp;key=store.payproglobal.com</x:v>
      </x:c>
      <x:c r="X587" s="20" t="n">
        <x:f>IF(Q587="是",0,IFERROR(P587/SUMIFS($P$2:$P$964,$A$2:$A$964,A587,$Q$2:$Q$964,"否"),0))</x:f>
        <x:v>0.005761960505862711</x:v>
      </x:c>
      <x:c r="Y587" s="22" t="str">
        <x:f>IF(OR(M587="",U587=""),"未交叉",IF(M587*U587&gt;0,"同向",IF(M587*U587&lt;0,"背离","一侧持平")))</x:f>
        <x:v>未交叉</x:v>
      </x:c>
    </x:row>
    <x:row r="588">
      <x:c r="A588" s="18" t="str">
        <x:v>store.payproglobal.com</x:v>
      </x:c>
      <x:c r="B588" s="19" t="str">
        <x:v>专用支付/结账入口</x:v>
      </x:c>
      <x:c r="C588" s="19" t="str">
        <x:v>高</x:v>
      </x:c>
      <x:c r="D588" s="19" t="str">
        <x:v>Jul 2026</x:v>
      </x:c>
      <x:c r="E588" s="19" t="n">
        <x:v>45</x:v>
      </x:c>
      <x:c r="F588" s="19" t="str">
        <x:v>maintain.se</x:v>
      </x:c>
      <x:c r="G588" s="19" t="str">
        <x:v>Computers Electronics and Technology</x:v>
      </x:c>
      <x:c r="H588" s="19" t="str">
        <x:v>通用数字产品与技术服务</x:v>
      </x:c>
      <x:c r="I588" s="19" t="str">
        <x:v>Similarweb 行业映射</x:v>
      </x:c>
      <x:c r="J588" s="19" t="n">
        <x:v>1614992</x:v>
      </x:c>
      <x:c r="K588" s="20" t="n">
        <x:v>0.0038</x:v>
      </x:c>
      <x:c r="L588" s="19" t="str">
        <x:v>新出现</x:v>
      </x:c>
      <x:c r="M588" s="20"/>
      <x:c r="N588" s="21" t="n">
        <x:v>300299</x:v>
      </x:c>
      <x:c r="O588" s="21" t="n">
        <x:v>1141</x:v>
      </x:c>
      <x:c r="P588" s="21" t="n">
        <x:f>ROUND(N588*K588,0)</x:f>
        <x:v>1141</x:v>
      </x:c>
      <x:c r="Q588" s="19" t="str">
        <x:v>否</x:v>
      </x:c>
      <x:c r="R588" s="19" t="str"/>
      <x:c r="S588" s="19" t="n">
        <x:f>IF(Q588="是",0,MIN(10,2+IF(C588="高",2,1)+IF(K588&gt;=3%,3,IF(K588&gt;=1%,2,1))+IF(L588="新出现",2,IF(M588&gt;=100%,3,IF(M588&gt;0,2,0)))))</x:f>
        <x:v>7</x:v>
      </x:c>
      <x:c r="T588" s="21"/>
      <x:c r="U588" s="20"/>
      <x:c r="V588" s="19" t="str">
        <x:v>http://maintain.se/</x:v>
      </x:c>
      <x:c r="W588" s="19" t="str">
        <x:v>https://pro.similarweb.com/#/digitalsuite/websiteanalysis/referrals/*/999/1m?webSource=Total&amp;selectedTab=incomingTraffic&amp;key=store.payproglobal.com</x:v>
      </x:c>
      <x:c r="X588" s="20" t="n">
        <x:f>IF(Q588="是",0,IFERROR(P588/SUMIFS($P$2:$P$964,$A$2:$A$964,A588,$Q$2:$Q$964,"否"),0))</x:f>
        <x:v>0.005474102362355831</x:v>
      </x:c>
      <x:c r="Y588" s="22" t="str">
        <x:f>IF(OR(M588="",U588=""),"未交叉",IF(M588*U588&gt;0,"同向",IF(M588*U588&lt;0,"背离","一侧持平")))</x:f>
        <x:v>未交叉</x:v>
      </x:c>
    </x:row>
    <x:row r="589">
      <x:c r="A589" s="18" t="str">
        <x:v>store.payproglobal.com</x:v>
      </x:c>
      <x:c r="B589" s="19" t="str">
        <x:v>专用支付/结账入口</x:v>
      </x:c>
      <x:c r="C589" s="19" t="str">
        <x:v>高</x:v>
      </x:c>
      <x:c r="D589" s="19" t="str">
        <x:v>Jul 2026</x:v>
      </x:c>
      <x:c r="E589" s="19" t="n">
        <x:v>46</x:v>
      </x:c>
      <x:c r="F589" s="19" t="str">
        <x:v>app.insert.link</x:v>
      </x:c>
      <x:c r="G589" s="19" t="str">
        <x:v>Computers Electronics and Technology</x:v>
      </x:c>
      <x:c r="H589" s="19" t="str">
        <x:v>通用数字产品与技术服务</x:v>
      </x:c>
      <x:c r="I589" s="19" t="str">
        <x:v>Similarweb 行业映射</x:v>
      </x:c>
      <x:c r="J589" s="19"/>
      <x:c r="K589" s="20" t="n">
        <x:v>0.0037</x:v>
      </x:c>
      <x:c r="L589" s="19" t="str">
        <x:v>下降</x:v>
      </x:c>
      <x:c r="M589" s="20" t="n">
        <x:v>-0.3049</x:v>
      </x:c>
      <x:c r="N589" s="21" t="n">
        <x:v>300299</x:v>
      </x:c>
      <x:c r="O589" s="21" t="n">
        <x:v>1111</x:v>
      </x:c>
      <x:c r="P589" s="21" t="n">
        <x:f>ROUND(N589*K589,0)</x:f>
        <x:v>1111</x:v>
      </x:c>
      <x:c r="Q589" s="19" t="str">
        <x:v>否</x:v>
      </x:c>
      <x:c r="R589" s="19" t="str"/>
      <x:c r="S589" s="19" t="n">
        <x:f>IF(Q589="是",0,MIN(10,2+IF(C589="高",2,1)+IF(K589&gt;=3%,3,IF(K589&gt;=1%,2,1))+IF(L589="新出现",2,IF(M589&gt;=100%,3,IF(M589&gt;0,2,0)))))</x:f>
        <x:v>5</x:v>
      </x:c>
      <x:c r="T589" s="21"/>
      <x:c r="U589" s="20"/>
      <x:c r="V589" s="19" t="str">
        <x:v>http://app.insert.link/</x:v>
      </x:c>
      <x:c r="W589" s="19" t="str">
        <x:v>https://pro.similarweb.com/#/digitalsuite/websiteanalysis/referrals/*/999/1m?webSource=Total&amp;selectedTab=incomingTraffic&amp;key=store.payproglobal.com</x:v>
      </x:c>
      <x:c r="X589" s="20" t="n">
        <x:f>IF(Q589="是",0,IFERROR(P589/SUMIFS($P$2:$P$964,$A$2:$A$964,A589,$Q$2:$Q$964,"否"),0))</x:f>
        <x:v>0.005330173290602391</x:v>
      </x:c>
      <x:c r="Y589" s="22" t="str">
        <x:f>IF(OR(M589="",U589=""),"未交叉",IF(M589*U589&gt;0,"同向",IF(M589*U589&lt;0,"背离","一侧持平")))</x:f>
        <x:v>未交叉</x:v>
      </x:c>
    </x:row>
    <x:row r="590">
      <x:c r="A590" s="18" t="str">
        <x:v>store.payproglobal.com</x:v>
      </x:c>
      <x:c r="B590" s="19" t="str">
        <x:v>专用支付/结账入口</x:v>
      </x:c>
      <x:c r="C590" s="19" t="str">
        <x:v>高</x:v>
      </x:c>
      <x:c r="D590" s="19" t="str">
        <x:v>Jul 2026</x:v>
      </x:c>
      <x:c r="E590" s="19" t="n">
        <x:v>47</x:v>
      </x:c>
      <x:c r="F590" s="19" t="str">
        <x:v>pvrender.camp</x:v>
      </x:c>
      <x:c r="G590" s="19" t="str">
        <x:v>Programming and Developer Software</x:v>
      </x:c>
      <x:c r="H590" s="19" t="str">
        <x:v>开发者工具与互联网基础设施</x:v>
      </x:c>
      <x:c r="I590" s="19" t="str">
        <x:v>Similarweb 行业映射</x:v>
      </x:c>
      <x:c r="J590" s="19" t="n">
        <x:v>1265608</x:v>
      </x:c>
      <x:c r="K590" s="20" t="n">
        <x:v>0.0036</x:v>
      </x:c>
      <x:c r="L590" s="19" t="str">
        <x:v>上升</x:v>
      </x:c>
      <x:c r="M590" s="20" t="n">
        <x:v>1.7731999999999999</x:v>
      </x:c>
      <x:c r="N590" s="21" t="n">
        <x:v>300299</x:v>
      </x:c>
      <x:c r="O590" s="21" t="n">
        <x:v>1081</x:v>
      </x:c>
      <x:c r="P590" s="21" t="n">
        <x:f>ROUND(N590*K590,0)</x:f>
        <x:v>1081</x:v>
      </x:c>
      <x:c r="Q590" s="19" t="str">
        <x:v>否</x:v>
      </x:c>
      <x:c r="R590" s="19" t="str"/>
      <x:c r="S590" s="19" t="n">
        <x:f>IF(Q590="是",0,MIN(10,2+IF(C590="高",2,1)+IF(K590&gt;=3%,3,IF(K590&gt;=1%,2,1))+IF(L590="新出现",2,IF(M590&gt;=100%,3,IF(M590&gt;0,2,0)))))</x:f>
        <x:v>8</x:v>
      </x:c>
      <x:c r="T590" s="21"/>
      <x:c r="U590" s="20"/>
      <x:c r="V590" s="19" t="str">
        <x:v>http://pvrender.camp/</x:v>
      </x:c>
      <x:c r="W590" s="19" t="str">
        <x:v>https://pro.similarweb.com/#/digitalsuite/websiteanalysis/referrals/*/999/1m?webSource=Total&amp;selectedTab=incomingTraffic&amp;key=store.payproglobal.com</x:v>
      </x:c>
      <x:c r="X590" s="20" t="n">
        <x:f>IF(Q590="是",0,IFERROR(P590/SUMIFS($P$2:$P$964,$A$2:$A$964,A590,$Q$2:$Q$964,"否"),0))</x:f>
        <x:v>0.0051862442188489516</x:v>
      </x:c>
      <x:c r="Y590" s="22" t="str">
        <x:f>IF(OR(M590="",U590=""),"未交叉",IF(M590*U590&gt;0,"同向",IF(M590*U590&lt;0,"背离","一侧持平")))</x:f>
        <x:v>未交叉</x:v>
      </x:c>
    </x:row>
    <x:row r="591">
      <x:c r="A591" s="18" t="str">
        <x:v>store.payproglobal.com</x:v>
      </x:c>
      <x:c r="B591" s="19" t="str">
        <x:v>专用支付/结账入口</x:v>
      </x:c>
      <x:c r="C591" s="19" t="str">
        <x:v>高</x:v>
      </x:c>
      <x:c r="D591" s="19" t="str">
        <x:v>Jul 2026</x:v>
      </x:c>
      <x:c r="E591" s="19" t="n">
        <x:v>48</x:v>
      </x:c>
      <x:c r="F591" s="19" t="str">
        <x:v>console.green-api.com</x:v>
      </x:c>
      <x:c r="G591" s="19" t="str">
        <x:v>Telecommunications</x:v>
      </x:c>
      <x:c r="H591" s="19" t="str">
        <x:v>其他/待核查</x:v>
      </x:c>
      <x:c r="I591" s="19" t="str">
        <x:v>保守归类</x:v>
      </x:c>
      <x:c r="J591" s="19"/>
      <x:c r="K591" s="20" t="n">
        <x:v>0.0034999999999999996</x:v>
      </x:c>
      <x:c r="L591" s="19" t="str">
        <x:v>下降</x:v>
      </x:c>
      <x:c r="M591" s="20" t="n">
        <x:v>-0.75</x:v>
      </x:c>
      <x:c r="N591" s="21" t="n">
        <x:v>300299</x:v>
      </x:c>
      <x:c r="O591" s="21" t="n">
        <x:v>1051</x:v>
      </x:c>
      <x:c r="P591" s="21" t="n">
        <x:f>ROUND(N591*K591,0)</x:f>
        <x:v>1051</x:v>
      </x:c>
      <x:c r="Q591" s="19" t="str">
        <x:v>否</x:v>
      </x:c>
      <x:c r="R591" s="19" t="str"/>
      <x:c r="S591" s="19" t="n">
        <x:f>IF(Q591="是",0,MIN(10,2+IF(C591="高",2,1)+IF(K591&gt;=3%,3,IF(K591&gt;=1%,2,1))+IF(L591="新出现",2,IF(M591&gt;=100%,3,IF(M591&gt;0,2,0)))))</x:f>
        <x:v>5</x:v>
      </x:c>
      <x:c r="T591" s="21"/>
      <x:c r="U591" s="20"/>
      <x:c r="V591" s="19" t="str">
        <x:v>http://console.green-api.com/</x:v>
      </x:c>
      <x:c r="W591" s="19" t="str">
        <x:v>https://pro.similarweb.com/#/digitalsuite/websiteanalysis/referrals/*/999/1m?webSource=Total&amp;selectedTab=incomingTraffic&amp;key=store.payproglobal.com</x:v>
      </x:c>
      <x:c r="X591" s="20" t="n">
        <x:f>IF(Q591="是",0,IFERROR(P591/SUMIFS($P$2:$P$964,$A$2:$A$964,A591,$Q$2:$Q$964,"否"),0))</x:f>
        <x:v>0.0050423151470955115</x:v>
      </x:c>
      <x:c r="Y591" s="22" t="str">
        <x:f>IF(OR(M591="",U591=""),"未交叉",IF(M591*U591&gt;0,"同向",IF(M591*U591&lt;0,"背离","一侧持平")))</x:f>
        <x:v>未交叉</x:v>
      </x:c>
    </x:row>
    <x:row r="592">
      <x:c r="A592" s="18" t="str">
        <x:v>store.payproglobal.com</x:v>
      </x:c>
      <x:c r="B592" s="19" t="str">
        <x:v>专用支付/结账入口</x:v>
      </x:c>
      <x:c r="C592" s="19" t="str">
        <x:v>高</x:v>
      </x:c>
      <x:c r="D592" s="19" t="str">
        <x:v>Jul 2026</x:v>
      </x:c>
      <x:c r="E592" s="19" t="n">
        <x:v>49</x:v>
      </x:c>
      <x:c r="F592" s="19" t="str">
        <x:v>ocr.ac</x:v>
      </x:c>
      <x:c r="G592" s="19" t="str">
        <x:v>Programming and Developer Software</x:v>
      </x:c>
      <x:c r="H592" s="19" t="str">
        <x:v>开发者工具与互联网基础设施</x:v>
      </x:c>
      <x:c r="I592" s="19" t="str">
        <x:v>Similarweb 行业映射</x:v>
      </x:c>
      <x:c r="J592" s="19" t="n">
        <x:v>285601</x:v>
      </x:c>
      <x:c r="K592" s="20" t="n">
        <x:v>0.0034000000000000002</x:v>
      </x:c>
      <x:c r="L592" s="19" t="str">
        <x:v>新出现</x:v>
      </x:c>
      <x:c r="M592" s="20"/>
      <x:c r="N592" s="21" t="n">
        <x:v>300299</x:v>
      </x:c>
      <x:c r="O592" s="21" t="n">
        <x:v>1021</x:v>
      </x:c>
      <x:c r="P592" s="21" t="n">
        <x:f>ROUND(N592*K592,0)</x:f>
        <x:v>1021</x:v>
      </x:c>
      <x:c r="Q592" s="19" t="str">
        <x:v>否</x:v>
      </x:c>
      <x:c r="R592" s="19" t="str"/>
      <x:c r="S592" s="19" t="n">
        <x:f>IF(Q592="是",0,MIN(10,2+IF(C592="高",2,1)+IF(K592&gt;=3%,3,IF(K592&gt;=1%,2,1))+IF(L592="新出现",2,IF(M592&gt;=100%,3,IF(M592&gt;0,2,0)))))</x:f>
        <x:v>7</x:v>
      </x:c>
      <x:c r="T592" s="21"/>
      <x:c r="U592" s="20"/>
      <x:c r="V592" s="19" t="str">
        <x:v>http://ocr.ac/</x:v>
      </x:c>
      <x:c r="W592" s="19" t="str">
        <x:v>https://pro.similarweb.com/#/digitalsuite/websiteanalysis/referrals/*/999/1m?webSource=Total&amp;selectedTab=incomingTraffic&amp;key=store.payproglobal.com</x:v>
      </x:c>
      <x:c r="X592" s="20" t="n">
        <x:f>IF(Q592="是",0,IFERROR(P592/SUMIFS($P$2:$P$964,$A$2:$A$964,A592,$Q$2:$Q$964,"否"),0))</x:f>
        <x:v>0.004898386075342071</x:v>
      </x:c>
      <x:c r="Y592" s="22" t="str">
        <x:f>IF(OR(M592="",U592=""),"未交叉",IF(M592*U592&gt;0,"同向",IF(M592*U592&lt;0,"背离","一侧持平")))</x:f>
        <x:v>未交叉</x:v>
      </x:c>
    </x:row>
    <x:row r="593">
      <x:c r="A593" s="18" t="str">
        <x:v>store.payproglobal.com</x:v>
      </x:c>
      <x:c r="B593" s="19" t="str">
        <x:v>专用支付/结账入口</x:v>
      </x:c>
      <x:c r="C593" s="19" t="str">
        <x:v>高</x:v>
      </x:c>
      <x:c r="D593" s="19" t="str">
        <x:v>Jul 2026</x:v>
      </x:c>
      <x:c r="E593" s="19" t="n">
        <x:v>50</x:v>
      </x:c>
      <x:c r="F593" s="19" t="str">
        <x:v>topvisor.com</x:v>
      </x:c>
      <x:c r="G593" s="19" t="str">
        <x:v>Online Marketing</x:v>
      </x:c>
      <x:c r="H593" s="19" t="str">
        <x:v>营销、生产力与商业服务</x:v>
      </x:c>
      <x:c r="I593" s="19" t="str">
        <x:v>Similarweb 行业映射</x:v>
      </x:c>
      <x:c r="J593" s="19" t="n">
        <x:v>76598</x:v>
      </x:c>
      <x:c r="K593" s="20" t="n">
        <x:v>0.0034000000000000002</x:v>
      </x:c>
      <x:c r="L593" s="19" t="str">
        <x:v>下降</x:v>
      </x:c>
      <x:c r="M593" s="20" t="n">
        <x:v>-0.39289999999999997</x:v>
      </x:c>
      <x:c r="N593" s="21" t="n">
        <x:v>300299</x:v>
      </x:c>
      <x:c r="O593" s="21" t="n">
        <x:v>1021</x:v>
      </x:c>
      <x:c r="P593" s="21" t="n">
        <x:f>ROUND(N593*K593,0)</x:f>
        <x:v>1021</x:v>
      </x:c>
      <x:c r="Q593" s="19" t="str">
        <x:v>否</x:v>
      </x:c>
      <x:c r="R593" s="19" t="str"/>
      <x:c r="S593" s="19" t="n">
        <x:f>IF(Q593="是",0,MIN(10,2+IF(C593="高",2,1)+IF(K593&gt;=3%,3,IF(K593&gt;=1%,2,1))+IF(L593="新出现",2,IF(M593&gt;=100%,3,IF(M593&gt;0,2,0)))))</x:f>
        <x:v>5</x:v>
      </x:c>
      <x:c r="T593" s="21"/>
      <x:c r="U593" s="20"/>
      <x:c r="V593" s="19" t="str">
        <x:v>http://topvisor.com/</x:v>
      </x:c>
      <x:c r="W593" s="19" t="str">
        <x:v>https://pro.similarweb.com/#/digitalsuite/websiteanalysis/referrals/*/999/1m?webSource=Total&amp;selectedTab=incomingTraffic&amp;key=store.payproglobal.com</x:v>
      </x:c>
      <x:c r="X593" s="20" t="n">
        <x:f>IF(Q593="是",0,IFERROR(P593/SUMIFS($P$2:$P$964,$A$2:$A$964,A593,$Q$2:$Q$964,"否"),0))</x:f>
        <x:v>0.004898386075342071</x:v>
      </x:c>
      <x:c r="Y593" s="22" t="str">
        <x:f>IF(OR(M593="",U593=""),"未交叉",IF(M593*U593&gt;0,"同向",IF(M593*U593&lt;0,"背离","一侧持平")))</x:f>
        <x:v>未交叉</x:v>
      </x:c>
    </x:row>
    <x:row r="594">
      <x:c r="A594" s="18" t="str">
        <x:v>store.payproglobal.com</x:v>
      </x:c>
      <x:c r="B594" s="19" t="str">
        <x:v>专用支付/结账入口</x:v>
      </x:c>
      <x:c r="C594" s="19" t="str">
        <x:v>高</x:v>
      </x:c>
      <x:c r="D594" s="19" t="str">
        <x:v>Jul 2026</x:v>
      </x:c>
      <x:c r="E594" s="19" t="n">
        <x:v>51</x:v>
      </x:c>
      <x:c r="F594" s="19" t="str">
        <x:v>software.pcwelt.de</x:v>
      </x:c>
      <x:c r="G594" s="19" t="str">
        <x:v>Consumer Electronics</x:v>
      </x:c>
      <x:c r="H594" s="19" t="str">
        <x:v>其他/待核查</x:v>
      </x:c>
      <x:c r="I594" s="19" t="str">
        <x:v>保守归类</x:v>
      </x:c>
      <x:c r="J594" s="19" t="n">
        <x:v>3479509</x:v>
      </x:c>
      <x:c r="K594" s="20" t="n">
        <x:v>0.0034000000000000002</x:v>
      </x:c>
      <x:c r="L594" s="19" t="str">
        <x:v>新出现</x:v>
      </x:c>
      <x:c r="M594" s="20"/>
      <x:c r="N594" s="21" t="n">
        <x:v>300299</x:v>
      </x:c>
      <x:c r="O594" s="21" t="n">
        <x:v>1021</x:v>
      </x:c>
      <x:c r="P594" s="21" t="n">
        <x:f>ROUND(N594*K594,0)</x:f>
        <x:v>1021</x:v>
      </x:c>
      <x:c r="Q594" s="19" t="str">
        <x:v>否</x:v>
      </x:c>
      <x:c r="R594" s="19" t="str"/>
      <x:c r="S594" s="19" t="n">
        <x:f>IF(Q594="是",0,MIN(10,2+IF(C594="高",2,1)+IF(K594&gt;=3%,3,IF(K594&gt;=1%,2,1))+IF(L594="新出现",2,IF(M594&gt;=100%,3,IF(M594&gt;0,2,0)))))</x:f>
        <x:v>7</x:v>
      </x:c>
      <x:c r="T594" s="21"/>
      <x:c r="U594" s="20"/>
      <x:c r="V594" s="19" t="str">
        <x:v>http://software.pcwelt.de/</x:v>
      </x:c>
      <x:c r="W594" s="19" t="str">
        <x:v>https://pro.similarweb.com/#/digitalsuite/websiteanalysis/referrals/*/999/1m?webSource=Total&amp;selectedTab=incomingTraffic&amp;key=store.payproglobal.com</x:v>
      </x:c>
      <x:c r="X594" s="20" t="n">
        <x:f>IF(Q594="是",0,IFERROR(P594/SUMIFS($P$2:$P$964,$A$2:$A$964,A594,$Q$2:$Q$964,"否"),0))</x:f>
        <x:v>0.004898386075342071</x:v>
      </x:c>
      <x:c r="Y594" s="22" t="str">
        <x:f>IF(OR(M594="",U594=""),"未交叉",IF(M594*U594&gt;0,"同向",IF(M594*U594&lt;0,"背离","一侧持平")))</x:f>
        <x:v>未交叉</x:v>
      </x:c>
    </x:row>
    <x:row r="595">
      <x:c r="A595" s="18" t="str">
        <x:v>store.payproglobal.com</x:v>
      </x:c>
      <x:c r="B595" s="19" t="str">
        <x:v>专用支付/结账入口</x:v>
      </x:c>
      <x:c r="C595" s="19" t="str">
        <x:v>高</x:v>
      </x:c>
      <x:c r="D595" s="19" t="str">
        <x:v>Jul 2026</x:v>
      </x:c>
      <x:c r="E595" s="19" t="n">
        <x:v>52</x:v>
      </x:c>
      <x:c r="F595" s="19" t="str">
        <x:v>bittorrent.com</x:v>
      </x:c>
      <x:c r="G595" s="19" t="str">
        <x:v>File Sharing and Hosting</x:v>
      </x:c>
      <x:c r="H595" s="19" t="str">
        <x:v>开发者工具与互联网基础设施</x:v>
      </x:c>
      <x:c r="I595" s="19" t="str">
        <x:v>Similarweb 行业映射</x:v>
      </x:c>
      <x:c r="J595" s="19" t="n">
        <x:v>35240</x:v>
      </x:c>
      <x:c r="K595" s="20" t="n">
        <x:v>0.0034000000000000002</x:v>
      </x:c>
      <x:c r="L595" s="19" t="str">
        <x:v>上升</x:v>
      </x:c>
      <x:c r="M595" s="20" t="n">
        <x:v>2.4108</x:v>
      </x:c>
      <x:c r="N595" s="21" t="n">
        <x:v>300299</x:v>
      </x:c>
      <x:c r="O595" s="21" t="n">
        <x:v>1021</x:v>
      </x:c>
      <x:c r="P595" s="21" t="n">
        <x:f>ROUND(N595*K595,0)</x:f>
        <x:v>1021</x:v>
      </x:c>
      <x:c r="Q595" s="19" t="str">
        <x:v>否</x:v>
      </x:c>
      <x:c r="R595" s="19" t="str"/>
      <x:c r="S595" s="19" t="n">
        <x:f>IF(Q595="是",0,MIN(10,2+IF(C595="高",2,1)+IF(K595&gt;=3%,3,IF(K595&gt;=1%,2,1))+IF(L595="新出现",2,IF(M595&gt;=100%,3,IF(M595&gt;0,2,0)))))</x:f>
        <x:v>8</x:v>
      </x:c>
      <x:c r="T595" s="21"/>
      <x:c r="U595" s="20"/>
      <x:c r="V595" s="19" t="str">
        <x:v>http://bittorrent.com/</x:v>
      </x:c>
      <x:c r="W595" s="19" t="str">
        <x:v>https://pro.similarweb.com/#/digitalsuite/websiteanalysis/referrals/*/999/1m?webSource=Total&amp;selectedTab=incomingTraffic&amp;key=store.payproglobal.com</x:v>
      </x:c>
      <x:c r="X595" s="20" t="n">
        <x:f>IF(Q595="是",0,IFERROR(P595/SUMIFS($P$2:$P$964,$A$2:$A$964,A595,$Q$2:$Q$964,"否"),0))</x:f>
        <x:v>0.004898386075342071</x:v>
      </x:c>
      <x:c r="Y595" s="22" t="str">
        <x:f>IF(OR(M595="",U595=""),"未交叉",IF(M595*U595&gt;0,"同向",IF(M595*U595&lt;0,"背离","一侧持平")))</x:f>
        <x:v>未交叉</x:v>
      </x:c>
    </x:row>
    <x:row r="596">
      <x:c r="A596" s="18" t="str">
        <x:v>store.payproglobal.com</x:v>
      </x:c>
      <x:c r="B596" s="19" t="str">
        <x:v>专用支付/结账入口</x:v>
      </x:c>
      <x:c r="C596" s="19" t="str">
        <x:v>高</x:v>
      </x:c>
      <x:c r="D596" s="19" t="str">
        <x:v>Jul 2026</x:v>
      </x:c>
      <x:c r="E596" s="19" t="n">
        <x:v>53</x:v>
      </x:c>
      <x:c r="F596" s="19" t="str">
        <x:v>actualtools.com</x:v>
      </x:c>
      <x:c r="G596" s="19" t="str">
        <x:v>Programming and Developer Software</x:v>
      </x:c>
      <x:c r="H596" s="19" t="str">
        <x:v>开发者工具与互联网基础设施</x:v>
      </x:c>
      <x:c r="I596" s="19" t="str">
        <x:v>Similarweb 行业映射</x:v>
      </x:c>
      <x:c r="J596" s="19" t="n">
        <x:v>534768</x:v>
      </x:c>
      <x:c r="K596" s="20" t="n">
        <x:v>0.0034000000000000002</x:v>
      </x:c>
      <x:c r="L596" s="19" t="str">
        <x:v>新出现</x:v>
      </x:c>
      <x:c r="M596" s="20"/>
      <x:c r="N596" s="21" t="n">
        <x:v>300299</x:v>
      </x:c>
      <x:c r="O596" s="21" t="n">
        <x:v>1021</x:v>
      </x:c>
      <x:c r="P596" s="21" t="n">
        <x:f>ROUND(N596*K596,0)</x:f>
        <x:v>1021</x:v>
      </x:c>
      <x:c r="Q596" s="19" t="str">
        <x:v>否</x:v>
      </x:c>
      <x:c r="R596" s="19" t="str"/>
      <x:c r="S596" s="19" t="n">
        <x:f>IF(Q596="是",0,MIN(10,2+IF(C596="高",2,1)+IF(K596&gt;=3%,3,IF(K596&gt;=1%,2,1))+IF(L596="新出现",2,IF(M596&gt;=100%,3,IF(M596&gt;0,2,0)))))</x:f>
        <x:v>7</x:v>
      </x:c>
      <x:c r="T596" s="21"/>
      <x:c r="U596" s="20"/>
      <x:c r="V596" s="19" t="str">
        <x:v>http://actualtools.com/</x:v>
      </x:c>
      <x:c r="W596" s="19" t="str">
        <x:v>https://pro.similarweb.com/#/digitalsuite/websiteanalysis/referrals/*/999/1m?webSource=Total&amp;selectedTab=incomingTraffic&amp;key=store.payproglobal.com</x:v>
      </x:c>
      <x:c r="X596" s="20" t="n">
        <x:f>IF(Q596="是",0,IFERROR(P596/SUMIFS($P$2:$P$964,$A$2:$A$964,A596,$Q$2:$Q$964,"否"),0))</x:f>
        <x:v>0.004898386075342071</x:v>
      </x:c>
      <x:c r="Y596" s="22" t="str">
        <x:f>IF(OR(M596="",U596=""),"未交叉",IF(M596*U596&gt;0,"同向",IF(M596*U596&lt;0,"背离","一侧持平")))</x:f>
        <x:v>未交叉</x:v>
      </x:c>
    </x:row>
    <x:row r="597">
      <x:c r="A597" s="18" t="str">
        <x:v>store.payproglobal.com</x:v>
      </x:c>
      <x:c r="B597" s="19" t="str">
        <x:v>专用支付/结账入口</x:v>
      </x:c>
      <x:c r="C597" s="19" t="str">
        <x:v>高</x:v>
      </x:c>
      <x:c r="D597" s="19" t="str">
        <x:v>Jul 2026</x:v>
      </x:c>
      <x:c r="E597" s="19" t="n">
        <x:v>54</x:v>
      </x:c>
      <x:c r="F597" s="19" t="str">
        <x:v>pilgway.com</x:v>
      </x:c>
      <x:c r="G597" s="19" t="str">
        <x:v>Programming and Developer Software</x:v>
      </x:c>
      <x:c r="H597" s="19" t="str">
        <x:v>开发者工具与互联网基础设施</x:v>
      </x:c>
      <x:c r="I597" s="19" t="str">
        <x:v>Similarweb 行业映射</x:v>
      </x:c>
      <x:c r="J597" s="19" t="n">
        <x:v>851020</x:v>
      </x:c>
      <x:c r="K597" s="20" t="n">
        <x:v>0.0033</x:v>
      </x:c>
      <x:c r="L597" s="19" t="str">
        <x:v>上升</x:v>
      </x:c>
      <x:c r="M597" s="20" t="n">
        <x:v>11.041099999999998</x:v>
      </x:c>
      <x:c r="N597" s="21" t="n">
        <x:v>300299</x:v>
      </x:c>
      <x:c r="O597" s="21" t="n">
        <x:v>991</x:v>
      </x:c>
      <x:c r="P597" s="21" t="n">
        <x:f>ROUND(N597*K597,0)</x:f>
        <x:v>991</x:v>
      </x:c>
      <x:c r="Q597" s="19" t="str">
        <x:v>否</x:v>
      </x:c>
      <x:c r="R597" s="19" t="str"/>
      <x:c r="S597" s="19" t="n">
        <x:f>IF(Q597="是",0,MIN(10,2+IF(C597="高",2,1)+IF(K597&gt;=3%,3,IF(K597&gt;=1%,2,1))+IF(L597="新出现",2,IF(M597&gt;=100%,3,IF(M597&gt;0,2,0)))))</x:f>
        <x:v>8</x:v>
      </x:c>
      <x:c r="T597" s="21"/>
      <x:c r="U597" s="20"/>
      <x:c r="V597" s="19" t="str">
        <x:v>http://pilgway.com/</x:v>
      </x:c>
      <x:c r="W597" s="19" t="str">
        <x:v>https://pro.similarweb.com/#/digitalsuite/websiteanalysis/referrals/*/999/1m?webSource=Total&amp;selectedTab=incomingTraffic&amp;key=store.payproglobal.com</x:v>
      </x:c>
      <x:c r="X597" s="20" t="n">
        <x:f>IF(Q597="是",0,IFERROR(P597/SUMIFS($P$2:$P$964,$A$2:$A$964,A597,$Q$2:$Q$964,"否"),0))</x:f>
        <x:v>0.004754457003588631</x:v>
      </x:c>
      <x:c r="Y597" s="22" t="str">
        <x:f>IF(OR(M597="",U597=""),"未交叉",IF(M597*U597&gt;0,"同向",IF(M597*U597&lt;0,"背离","一侧持平")))</x:f>
        <x:v>未交叉</x:v>
      </x:c>
    </x:row>
    <x:row r="598">
      <x:c r="A598" s="18" t="str">
        <x:v>store.payproglobal.com</x:v>
      </x:c>
      <x:c r="B598" s="19" t="str">
        <x:v>专用支付/结账入口</x:v>
      </x:c>
      <x:c r="C598" s="19" t="str">
        <x:v>高</x:v>
      </x:c>
      <x:c r="D598" s="19" t="str">
        <x:v>Jul 2026</x:v>
      </x:c>
      <x:c r="E598" s="19" t="n">
        <x:v>55</x:v>
      </x:c>
      <x:c r="F598" s="19" t="str">
        <x:v>prepmasterdigital.com</x:v>
      </x:c>
      <x:c r="G598" s="19" t="str">
        <x:v>Unknown</x:v>
      </x:c>
      <x:c r="H598" s="19" t="str">
        <x:v>其他/待核查</x:v>
      </x:c>
      <x:c r="I598" s="19" t="str">
        <x:v>Similarweb 未分类</x:v>
      </x:c>
      <x:c r="J598" s="19" t="n">
        <x:v>1928780</x:v>
      </x:c>
      <x:c r="K598" s="20" t="n">
        <x:v>0.0033</x:v>
      </x:c>
      <x:c r="L598" s="19" t="str">
        <x:v>新出现</x:v>
      </x:c>
      <x:c r="M598" s="20"/>
      <x:c r="N598" s="21" t="n">
        <x:v>300299</x:v>
      </x:c>
      <x:c r="O598" s="21" t="n">
        <x:v>991</x:v>
      </x:c>
      <x:c r="P598" s="21" t="n">
        <x:f>ROUND(N598*K598,0)</x:f>
        <x:v>991</x:v>
      </x:c>
      <x:c r="Q598" s="19" t="str">
        <x:v>否</x:v>
      </x:c>
      <x:c r="R598" s="19" t="str"/>
      <x:c r="S598" s="19" t="n">
        <x:f>IF(Q598="是",0,MIN(10,2+IF(C598="高",2,1)+IF(K598&gt;=3%,3,IF(K598&gt;=1%,2,1))+IF(L598="新出现",2,IF(M598&gt;=100%,3,IF(M598&gt;0,2,0)))))</x:f>
        <x:v>7</x:v>
      </x:c>
      <x:c r="T598" s="21"/>
      <x:c r="U598" s="20"/>
      <x:c r="V598" s="19" t="str">
        <x:v>http://prepmasterdigital.com/</x:v>
      </x:c>
      <x:c r="W598" s="19" t="str">
        <x:v>https://pro.similarweb.com/#/digitalsuite/websiteanalysis/referrals/*/999/1m?webSource=Total&amp;selectedTab=incomingTraffic&amp;key=store.payproglobal.com</x:v>
      </x:c>
      <x:c r="X598" s="20" t="n">
        <x:f>IF(Q598="是",0,IFERROR(P598/SUMIFS($P$2:$P$964,$A$2:$A$964,A598,$Q$2:$Q$964,"否"),0))</x:f>
        <x:v>0.004754457003588631</x:v>
      </x:c>
      <x:c r="Y598" s="22" t="str">
        <x:f>IF(OR(M598="",U598=""),"未交叉",IF(M598*U598&gt;0,"同向",IF(M598*U598&lt;0,"背离","一侧持平")))</x:f>
        <x:v>未交叉</x:v>
      </x:c>
    </x:row>
    <x:row r="599">
      <x:c r="A599" s="18" t="str">
        <x:v>store.payproglobal.com</x:v>
      </x:c>
      <x:c r="B599" s="19" t="str">
        <x:v>专用支付/结账入口</x:v>
      </x:c>
      <x:c r="C599" s="19" t="str">
        <x:v>高</x:v>
      </x:c>
      <x:c r="D599" s="19" t="str">
        <x:v>Jul 2026</x:v>
      </x:c>
      <x:c r="E599" s="19" t="n">
        <x:v>56</x:v>
      </x:c>
      <x:c r="F599" s="19" t="str">
        <x:v>azofreeware.com</x:v>
      </x:c>
      <x:c r="G599" s="19" t="str">
        <x:v>Programming and Developer Software</x:v>
      </x:c>
      <x:c r="H599" s="19" t="str">
        <x:v>开发者工具与互联网基础设施</x:v>
      </x:c>
      <x:c r="I599" s="19" t="str">
        <x:v>Similarweb 行业映射</x:v>
      </x:c>
      <x:c r="J599" s="19" t="n">
        <x:v>70472</x:v>
      </x:c>
      <x:c r="K599" s="20" t="n">
        <x:v>0.0033</x:v>
      </x:c>
      <x:c r="L599" s="19" t="str">
        <x:v>上升</x:v>
      </x:c>
      <x:c r="M599" s="20" t="n">
        <x:v>40.3452</x:v>
      </x:c>
      <x:c r="N599" s="21" t="n">
        <x:v>300299</x:v>
      </x:c>
      <x:c r="O599" s="21" t="n">
        <x:v>991</x:v>
      </x:c>
      <x:c r="P599" s="21" t="n">
        <x:f>ROUND(N599*K599,0)</x:f>
        <x:v>991</x:v>
      </x:c>
      <x:c r="Q599" s="19" t="str">
        <x:v>否</x:v>
      </x:c>
      <x:c r="R599" s="19" t="str"/>
      <x:c r="S599" s="19" t="n">
        <x:f>IF(Q599="是",0,MIN(10,2+IF(C599="高",2,1)+IF(K599&gt;=3%,3,IF(K599&gt;=1%,2,1))+IF(L599="新出现",2,IF(M599&gt;=100%,3,IF(M599&gt;0,2,0)))))</x:f>
        <x:v>8</x:v>
      </x:c>
      <x:c r="T599" s="21"/>
      <x:c r="U599" s="20"/>
      <x:c r="V599" s="19" t="str">
        <x:v>http://azofreeware.com/</x:v>
      </x:c>
      <x:c r="W599" s="19" t="str">
        <x:v>https://pro.similarweb.com/#/digitalsuite/websiteanalysis/referrals/*/999/1m?webSource=Total&amp;selectedTab=incomingTraffic&amp;key=store.payproglobal.com</x:v>
      </x:c>
      <x:c r="X599" s="20" t="n">
        <x:f>IF(Q599="是",0,IFERROR(P599/SUMIFS($P$2:$P$964,$A$2:$A$964,A599,$Q$2:$Q$964,"否"),0))</x:f>
        <x:v>0.004754457003588631</x:v>
      </x:c>
      <x:c r="Y599" s="22" t="str">
        <x:f>IF(OR(M599="",U599=""),"未交叉",IF(M599*U599&gt;0,"同向",IF(M599*U599&lt;0,"背离","一侧持平")))</x:f>
        <x:v>未交叉</x:v>
      </x:c>
    </x:row>
    <x:row r="600">
      <x:c r="A600" s="18" t="str">
        <x:v>store.payproglobal.com</x:v>
      </x:c>
      <x:c r="B600" s="19" t="str">
        <x:v>专用支付/结账入口</x:v>
      </x:c>
      <x:c r="C600" s="19" t="str">
        <x:v>高</x:v>
      </x:c>
      <x:c r="D600" s="19" t="str">
        <x:v>Jul 2026</x:v>
      </x:c>
      <x:c r="E600" s="19" t="n">
        <x:v>57</x:v>
      </x:c>
      <x:c r="F600" s="19" t="str">
        <x:v>aiseefox.com</x:v>
      </x:c>
      <x:c r="G600" s="19" t="str">
        <x:v>Programming and Developer Software</x:v>
      </x:c>
      <x:c r="H600" s="19" t="str">
        <x:v>开发者工具与互联网基础设施</x:v>
      </x:c>
      <x:c r="I600" s="19" t="str">
        <x:v>Similarweb 行业映射</x:v>
      </x:c>
      <x:c r="J600" s="19" t="n">
        <x:v>496306</x:v>
      </x:c>
      <x:c r="K600" s="20" t="n">
        <x:v>0.0033</x:v>
      </x:c>
      <x:c r="L600" s="19" t="str">
        <x:v>新出现</x:v>
      </x:c>
      <x:c r="M600" s="20"/>
      <x:c r="N600" s="21" t="n">
        <x:v>300299</x:v>
      </x:c>
      <x:c r="O600" s="21" t="n">
        <x:v>991</x:v>
      </x:c>
      <x:c r="P600" s="21" t="n">
        <x:f>ROUND(N600*K600,0)</x:f>
        <x:v>991</x:v>
      </x:c>
      <x:c r="Q600" s="19" t="str">
        <x:v>否</x:v>
      </x:c>
      <x:c r="R600" s="19" t="str"/>
      <x:c r="S600" s="19" t="n">
        <x:f>IF(Q600="是",0,MIN(10,2+IF(C600="高",2,1)+IF(K600&gt;=3%,3,IF(K600&gt;=1%,2,1))+IF(L600="新出现",2,IF(M600&gt;=100%,3,IF(M600&gt;0,2,0)))))</x:f>
        <x:v>7</x:v>
      </x:c>
      <x:c r="T600" s="21"/>
      <x:c r="U600" s="20"/>
      <x:c r="V600" s="19" t="str">
        <x:v>http://aiseefox.com/</x:v>
      </x:c>
      <x:c r="W600" s="19" t="str">
        <x:v>https://pro.similarweb.com/#/digitalsuite/websiteanalysis/referrals/*/999/1m?webSource=Total&amp;selectedTab=incomingTraffic&amp;key=store.payproglobal.com</x:v>
      </x:c>
      <x:c r="X600" s="20" t="n">
        <x:f>IF(Q600="是",0,IFERROR(P600/SUMIFS($P$2:$P$964,$A$2:$A$964,A600,$Q$2:$Q$964,"否"),0))</x:f>
        <x:v>0.004754457003588631</x:v>
      </x:c>
      <x:c r="Y600" s="22" t="str">
        <x:f>IF(OR(M600="",U600=""),"未交叉",IF(M600*U600&gt;0,"同向",IF(M600*U600&lt;0,"背离","一侧持平")))</x:f>
        <x:v>未交叉</x:v>
      </x:c>
    </x:row>
    <x:row r="601">
      <x:c r="A601" s="18" t="str">
        <x:v>store.payproglobal.com</x:v>
      </x:c>
      <x:c r="B601" s="19" t="str">
        <x:v>专用支付/结账入口</x:v>
      </x:c>
      <x:c r="C601" s="19" t="str">
        <x:v>高</x:v>
      </x:c>
      <x:c r="D601" s="19" t="str">
        <x:v>Jul 2026</x:v>
      </x:c>
      <x:c r="E601" s="19" t="n">
        <x:v>58</x:v>
      </x:c>
      <x:c r="F601" s="19" t="str">
        <x:v>ursasoftware.com</x:v>
      </x:c>
      <x:c r="G601" s="19" t="str">
        <x:v>Home and Garden</x:v>
      </x:c>
      <x:c r="H601" s="19" t="str">
        <x:v>内容媒体、线下与实体消费</x:v>
      </x:c>
      <x:c r="I601" s="19" t="str">
        <x:v>Similarweb 行业映射</x:v>
      </x:c>
      <x:c r="J601" s="19" t="n">
        <x:v>1418158</x:v>
      </x:c>
      <x:c r="K601" s="20" t="n">
        <x:v>0.003</x:v>
      </x:c>
      <x:c r="L601" s="19" t="str">
        <x:v>上升</x:v>
      </x:c>
      <x:c r="M601" s="20" t="n">
        <x:v>0.21059999999999998</x:v>
      </x:c>
      <x:c r="N601" s="21" t="n">
        <x:v>300299</x:v>
      </x:c>
      <x:c r="O601" s="21" t="n">
        <x:v>901</x:v>
      </x:c>
      <x:c r="P601" s="21" t="n">
        <x:f>ROUND(N601*K601,0)</x:f>
        <x:v>901</x:v>
      </x:c>
      <x:c r="Q601" s="19" t="str">
        <x:v>否</x:v>
      </x:c>
      <x:c r="R601" s="19" t="str"/>
      <x:c r="S601" s="19" t="n">
        <x:f>IF(Q601="是",0,MIN(10,2+IF(C601="高",2,1)+IF(K601&gt;=3%,3,IF(K601&gt;=1%,2,1))+IF(L601="新出现",2,IF(M601&gt;=100%,3,IF(M601&gt;0,2,0)))))</x:f>
        <x:v>7</x:v>
      </x:c>
      <x:c r="T601" s="21"/>
      <x:c r="U601" s="20"/>
      <x:c r="V601" s="19" t="str">
        <x:v>http://ursasoftware.com/</x:v>
      </x:c>
      <x:c r="W601" s="19" t="str">
        <x:v>https://pro.similarweb.com/#/digitalsuite/websiteanalysis/referrals/*/999/1m?webSource=Total&amp;selectedTab=incomingTraffic&amp;key=store.payproglobal.com</x:v>
      </x:c>
      <x:c r="X601" s="20" t="n">
        <x:f>IF(Q601="是",0,IFERROR(P601/SUMIFS($P$2:$P$964,$A$2:$A$964,A601,$Q$2:$Q$964,"否"),0))</x:f>
        <x:v>0.004322669788328312</x:v>
      </x:c>
      <x:c r="Y601" s="22" t="str">
        <x:f>IF(OR(M601="",U601=""),"未交叉",IF(M601*U601&gt;0,"同向",IF(M601*U601&lt;0,"背离","一侧持平")))</x:f>
        <x:v>未交叉</x:v>
      </x:c>
    </x:row>
    <x:row r="602">
      <x:c r="A602" s="18" t="str">
        <x:v>store.payproglobal.com</x:v>
      </x:c>
      <x:c r="B602" s="19" t="str">
        <x:v>专用支付/结账入口</x:v>
      </x:c>
      <x:c r="C602" s="19" t="str">
        <x:v>高</x:v>
      </x:c>
      <x:c r="D602" s="19" t="str">
        <x:v>Jul 2026</x:v>
      </x:c>
      <x:c r="E602" s="19" t="n">
        <x:v>59</x:v>
      </x:c>
      <x:c r="F602" s="19" t="str">
        <x:v>simplemind.eu</x:v>
      </x:c>
      <x:c r="G602" s="19" t="str">
        <x:v>Programming and Developer Software</x:v>
      </x:c>
      <x:c r="H602" s="19" t="str">
        <x:v>开发者工具与互联网基础设施</x:v>
      </x:c>
      <x:c r="I602" s="19" t="str">
        <x:v>Similarweb 行业映射</x:v>
      </x:c>
      <x:c r="J602" s="19" t="n">
        <x:v>268201</x:v>
      </x:c>
      <x:c r="K602" s="20" t="n">
        <x:v>0.0029</x:v>
      </x:c>
      <x:c r="L602" s="19" t="str">
        <x:v>上升</x:v>
      </x:c>
      <x:c r="M602" s="20" t="n">
        <x:v>0.08539999999999999</x:v>
      </x:c>
      <x:c r="N602" s="21" t="n">
        <x:v>300299</x:v>
      </x:c>
      <x:c r="O602" s="21" t="n">
        <x:v>871</x:v>
      </x:c>
      <x:c r="P602" s="21" t="n">
        <x:f>ROUND(N602*K602,0)</x:f>
        <x:v>871</x:v>
      </x:c>
      <x:c r="Q602" s="19" t="str">
        <x:v>否</x:v>
      </x:c>
      <x:c r="R602" s="19" t="str"/>
      <x:c r="S602" s="19" t="n">
        <x:f>IF(Q602="是",0,MIN(10,2+IF(C602="高",2,1)+IF(K602&gt;=3%,3,IF(K602&gt;=1%,2,1))+IF(L602="新出现",2,IF(M602&gt;=100%,3,IF(M602&gt;0,2,0)))))</x:f>
        <x:v>7</x:v>
      </x:c>
      <x:c r="T602" s="21"/>
      <x:c r="U602" s="20"/>
      <x:c r="V602" s="19" t="str">
        <x:v>http://simplemind.eu/</x:v>
      </x:c>
      <x:c r="W602" s="19" t="str">
        <x:v>https://pro.similarweb.com/#/digitalsuite/websiteanalysis/referrals/*/999/1m?webSource=Total&amp;selectedTab=incomingTraffic&amp;key=store.payproglobal.com</x:v>
      </x:c>
      <x:c r="X602" s="20" t="n">
        <x:f>IF(Q602="是",0,IFERROR(P602/SUMIFS($P$2:$P$964,$A$2:$A$964,A602,$Q$2:$Q$964,"否"),0))</x:f>
        <x:v>0.004178740716574872</x:v>
      </x:c>
      <x:c r="Y602" s="22" t="str">
        <x:f>IF(OR(M602="",U602=""),"未交叉",IF(M602*U602&gt;0,"同向",IF(M602*U602&lt;0,"背离","一侧持平")))</x:f>
        <x:v>未交叉</x:v>
      </x:c>
    </x:row>
    <x:row r="603">
      <x:c r="A603" s="18" t="str">
        <x:v>store.payproglobal.com</x:v>
      </x:c>
      <x:c r="B603" s="19" t="str">
        <x:v>专用支付/结账入口</x:v>
      </x:c>
      <x:c r="C603" s="19" t="str">
        <x:v>高</x:v>
      </x:c>
      <x:c r="D603" s="19" t="str">
        <x:v>Jul 2026</x:v>
      </x:c>
      <x:c r="E603" s="19" t="n">
        <x:v>60</x:v>
      </x:c>
      <x:c r="F603" s="19" t="str">
        <x:v>botsailor.com</x:v>
      </x:c>
      <x:c r="G603" s="19" t="str">
        <x:v>Web Hosting and Domain Names</x:v>
      </x:c>
      <x:c r="H603" s="19" t="str">
        <x:v>开发者工具与互联网基础设施</x:v>
      </x:c>
      <x:c r="I603" s="19" t="str">
        <x:v>Similarweb 行业映射</x:v>
      </x:c>
      <x:c r="J603" s="19" t="n">
        <x:v>419249</x:v>
      </x:c>
      <x:c r="K603" s="20" t="n">
        <x:v>0.0028000000000000004</x:v>
      </x:c>
      <x:c r="L603" s="19" t="str">
        <x:v>下降</x:v>
      </x:c>
      <x:c r="M603" s="20" t="n">
        <x:v>-0.1637</x:v>
      </x:c>
      <x:c r="N603" s="21" t="n">
        <x:v>300299</x:v>
      </x:c>
      <x:c r="O603" s="21" t="n">
        <x:v>841</x:v>
      </x:c>
      <x:c r="P603" s="21" t="n">
        <x:f>ROUND(N603*K603,0)</x:f>
        <x:v>841</x:v>
      </x:c>
      <x:c r="Q603" s="19" t="str">
        <x:v>否</x:v>
      </x:c>
      <x:c r="R603" s="19" t="str"/>
      <x:c r="S603" s="19" t="n">
        <x:f>IF(Q603="是",0,MIN(10,2+IF(C603="高",2,1)+IF(K603&gt;=3%,3,IF(K603&gt;=1%,2,1))+IF(L603="新出现",2,IF(M603&gt;=100%,3,IF(M603&gt;0,2,0)))))</x:f>
        <x:v>5</x:v>
      </x:c>
      <x:c r="T603" s="21"/>
      <x:c r="U603" s="20"/>
      <x:c r="V603" s="19" t="str">
        <x:v>http://botsailor.com/</x:v>
      </x:c>
      <x:c r="W603" s="19" t="str">
        <x:v>https://pro.similarweb.com/#/digitalsuite/websiteanalysis/referrals/*/999/1m?webSource=Total&amp;selectedTab=incomingTraffic&amp;key=store.payproglobal.com</x:v>
      </x:c>
      <x:c r="X603" s="20" t="n">
        <x:f>IF(Q603="是",0,IFERROR(P603/SUMIFS($P$2:$P$964,$A$2:$A$964,A603,$Q$2:$Q$964,"否"),0))</x:f>
        <x:v>0.004034811644821432</x:v>
      </x:c>
      <x:c r="Y603" s="22" t="str">
        <x:f>IF(OR(M603="",U603=""),"未交叉",IF(M603*U603&gt;0,"同向",IF(M603*U603&lt;0,"背离","一侧持平")))</x:f>
        <x:v>未交叉</x:v>
      </x:c>
    </x:row>
    <x:row r="604">
      <x:c r="A604" s="18" t="str">
        <x:v>store.payproglobal.com</x:v>
      </x:c>
      <x:c r="B604" s="19" t="str">
        <x:v>专用支付/结账入口</x:v>
      </x:c>
      <x:c r="C604" s="19" t="str">
        <x:v>高</x:v>
      </x:c>
      <x:c r="D604" s="19" t="str">
        <x:v>Jul 2026</x:v>
      </x:c>
      <x:c r="E604" s="19" t="n">
        <x:v>61</x:v>
      </x:c>
      <x:c r="F604" s="19" t="str">
        <x:v>mangovpn.app</x:v>
      </x:c>
      <x:c r="G604" s="19" t="str">
        <x:v>Unknown</x:v>
      </x:c>
      <x:c r="H604" s="19" t="str">
        <x:v>其他/待核查</x:v>
      </x:c>
      <x:c r="I604" s="19" t="str">
        <x:v>Similarweb 未分类</x:v>
      </x:c>
      <x:c r="J604" s="19" t="n">
        <x:v>954940</x:v>
      </x:c>
      <x:c r="K604" s="20" t="n">
        <x:v>0.0025</x:v>
      </x:c>
      <x:c r="L604" s="19" t="str">
        <x:v>上升</x:v>
      </x:c>
      <x:c r="M604" s="20" t="n">
        <x:v>5.6465</x:v>
      </x:c>
      <x:c r="N604" s="21" t="n">
        <x:v>300299</x:v>
      </x:c>
      <x:c r="O604" s="21" t="n">
        <x:v>751</x:v>
      </x:c>
      <x:c r="P604" s="21" t="n">
        <x:f>ROUND(N604*K604,0)</x:f>
        <x:v>751</x:v>
      </x:c>
      <x:c r="Q604" s="19" t="str">
        <x:v>否</x:v>
      </x:c>
      <x:c r="R604" s="19" t="str"/>
      <x:c r="S604" s="19" t="n">
        <x:f>IF(Q604="是",0,MIN(10,2+IF(C604="高",2,1)+IF(K604&gt;=3%,3,IF(K604&gt;=1%,2,1))+IF(L604="新出现",2,IF(M604&gt;=100%,3,IF(M604&gt;0,2,0)))))</x:f>
        <x:v>8</x:v>
      </x:c>
      <x:c r="T604" s="21"/>
      <x:c r="U604" s="20"/>
      <x:c r="V604" s="19" t="str">
        <x:v>http://mangovpn.app/</x:v>
      </x:c>
      <x:c r="W604" s="19" t="str">
        <x:v>https://pro.similarweb.com/#/digitalsuite/websiteanalysis/referrals/*/999/1m?webSource=Total&amp;selectedTab=incomingTraffic&amp;key=store.payproglobal.com</x:v>
      </x:c>
      <x:c r="X604" s="20" t="n">
        <x:f>IF(Q604="是",0,IFERROR(P604/SUMIFS($P$2:$P$964,$A$2:$A$964,A604,$Q$2:$Q$964,"否"),0))</x:f>
        <x:v>0.003603024429561112</x:v>
      </x:c>
      <x:c r="Y604" s="22" t="str">
        <x:f>IF(OR(M604="",U604=""),"未交叉",IF(M604*U604&gt;0,"同向",IF(M604*U604&lt;0,"背离","一侧持平")))</x:f>
        <x:v>未交叉</x:v>
      </x:c>
    </x:row>
    <x:row r="605">
      <x:c r="A605" s="18" t="str">
        <x:v>store.payproglobal.com</x:v>
      </x:c>
      <x:c r="B605" s="19" t="str">
        <x:v>专用支付/结账入口</x:v>
      </x:c>
      <x:c r="C605" s="19" t="str">
        <x:v>高</x:v>
      </x:c>
      <x:c r="D605" s="19" t="str">
        <x:v>Jul 2026</x:v>
      </x:c>
      <x:c r="E605" s="19" t="n">
        <x:v>62</x:v>
      </x:c>
      <x:c r="F605" s="19" t="str">
        <x:v>vac.muzychenko.net</x:v>
      </x:c>
      <x:c r="G605" s="19" t="str">
        <x:v>Graphics Multimedia and Web Design</x:v>
      </x:c>
      <x:c r="H605" s="19" t="str">
        <x:v>创作、设计与多媒体工具</x:v>
      </x:c>
      <x:c r="I605" s="19" t="str">
        <x:v>Similarweb 行业映射</x:v>
      </x:c>
      <x:c r="J605" s="19"/>
      <x:c r="K605" s="20" t="n">
        <x:v>0.0025</x:v>
      </x:c>
      <x:c r="L605" s="19" t="str">
        <x:v>上升</x:v>
      </x:c>
      <x:c r="M605" s="20" t="n">
        <x:v>7.3515</x:v>
      </x:c>
      <x:c r="N605" s="21" t="n">
        <x:v>300299</x:v>
      </x:c>
      <x:c r="O605" s="21" t="n">
        <x:v>751</x:v>
      </x:c>
      <x:c r="P605" s="21" t="n">
        <x:f>ROUND(N605*K605,0)</x:f>
        <x:v>751</x:v>
      </x:c>
      <x:c r="Q605" s="19" t="str">
        <x:v>否</x:v>
      </x:c>
      <x:c r="R605" s="19" t="str"/>
      <x:c r="S605" s="19" t="n">
        <x:f>IF(Q605="是",0,MIN(10,2+IF(C605="高",2,1)+IF(K605&gt;=3%,3,IF(K605&gt;=1%,2,1))+IF(L605="新出现",2,IF(M605&gt;=100%,3,IF(M605&gt;0,2,0)))))</x:f>
        <x:v>8</x:v>
      </x:c>
      <x:c r="T605" s="21"/>
      <x:c r="U605" s="20"/>
      <x:c r="V605" s="19" t="str">
        <x:v>http://vac.muzychenko.net/</x:v>
      </x:c>
      <x:c r="W605" s="19" t="str">
        <x:v>https://pro.similarweb.com/#/digitalsuite/websiteanalysis/referrals/*/999/1m?webSource=Total&amp;selectedTab=incomingTraffic&amp;key=store.payproglobal.com</x:v>
      </x:c>
      <x:c r="X605" s="20" t="n">
        <x:f>IF(Q605="是",0,IFERROR(P605/SUMIFS($P$2:$P$964,$A$2:$A$964,A605,$Q$2:$Q$964,"否"),0))</x:f>
        <x:v>0.003603024429561112</x:v>
      </x:c>
      <x:c r="Y605" s="22" t="str">
        <x:f>IF(OR(M605="",U605=""),"未交叉",IF(M605*U605&gt;0,"同向",IF(M605*U605&lt;0,"背离","一侧持平")))</x:f>
        <x:v>未交叉</x:v>
      </x:c>
    </x:row>
    <x:row r="606">
      <x:c r="A606" s="18" t="str">
        <x:v>store.payproglobal.com</x:v>
      </x:c>
      <x:c r="B606" s="19" t="str">
        <x:v>专用支付/结账入口</x:v>
      </x:c>
      <x:c r="C606" s="19" t="str">
        <x:v>高</x:v>
      </x:c>
      <x:c r="D606" s="19" t="str">
        <x:v>Jul 2026</x:v>
      </x:c>
      <x:c r="E606" s="19" t="n">
        <x:v>63</x:v>
      </x:c>
      <x:c r="F606" s="19" t="str">
        <x:v>httptoolkit.com</x:v>
      </x:c>
      <x:c r="G606" s="19" t="str">
        <x:v>Programming and Developer Software</x:v>
      </x:c>
      <x:c r="H606" s="19" t="str">
        <x:v>开发者工具与互联网基础设施</x:v>
      </x:c>
      <x:c r="I606" s="19" t="str">
        <x:v>Similarweb 行业映射</x:v>
      </x:c>
      <x:c r="J606" s="19" t="n">
        <x:v>320801</x:v>
      </x:c>
      <x:c r="K606" s="20" t="n">
        <x:v>0.0025</x:v>
      </x:c>
      <x:c r="L606" s="19" t="str">
        <x:v>上升</x:v>
      </x:c>
      <x:c r="M606" s="20" t="n">
        <x:v>10.849400000000001</x:v>
      </x:c>
      <x:c r="N606" s="21" t="n">
        <x:v>300299</x:v>
      </x:c>
      <x:c r="O606" s="21" t="n">
        <x:v>751</x:v>
      </x:c>
      <x:c r="P606" s="21" t="n">
        <x:f>ROUND(N606*K606,0)</x:f>
        <x:v>751</x:v>
      </x:c>
      <x:c r="Q606" s="19" t="str">
        <x:v>否</x:v>
      </x:c>
      <x:c r="R606" s="19" t="str"/>
      <x:c r="S606" s="19" t="n">
        <x:f>IF(Q606="是",0,MIN(10,2+IF(C606="高",2,1)+IF(K606&gt;=3%,3,IF(K606&gt;=1%,2,1))+IF(L606="新出现",2,IF(M606&gt;=100%,3,IF(M606&gt;0,2,0)))))</x:f>
        <x:v>8</x:v>
      </x:c>
      <x:c r="T606" s="21"/>
      <x:c r="U606" s="20"/>
      <x:c r="V606" s="19" t="str">
        <x:v>http://httptoolkit.com/</x:v>
      </x:c>
      <x:c r="W606" s="19" t="str">
        <x:v>https://pro.similarweb.com/#/digitalsuite/websiteanalysis/referrals/*/999/1m?webSource=Total&amp;selectedTab=incomingTraffic&amp;key=store.payproglobal.com</x:v>
      </x:c>
      <x:c r="X606" s="20" t="n">
        <x:f>IF(Q606="是",0,IFERROR(P606/SUMIFS($P$2:$P$964,$A$2:$A$964,A606,$Q$2:$Q$964,"否"),0))</x:f>
        <x:v>0.003603024429561112</x:v>
      </x:c>
      <x:c r="Y606" s="22" t="str">
        <x:f>IF(OR(M606="",U606=""),"未交叉",IF(M606*U606&gt;0,"同向",IF(M606*U606&lt;0,"背离","一侧持平")))</x:f>
        <x:v>未交叉</x:v>
      </x:c>
    </x:row>
    <x:row r="607">
      <x:c r="A607" s="18" t="str">
        <x:v>store.payproglobal.com</x:v>
      </x:c>
      <x:c r="B607" s="19" t="str">
        <x:v>专用支付/结账入口</x:v>
      </x:c>
      <x:c r="C607" s="19" t="str">
        <x:v>高</x:v>
      </x:c>
      <x:c r="D607" s="19" t="str">
        <x:v>Jul 2026</x:v>
      </x:c>
      <x:c r="E607" s="19" t="n">
        <x:v>64</x:v>
      </x:c>
      <x:c r="F607" s="19" t="str">
        <x:v>foldermarker.com</x:v>
      </x:c>
      <x:c r="G607" s="19" t="str">
        <x:v>Programming and Developer Software</x:v>
      </x:c>
      <x:c r="H607" s="19" t="str">
        <x:v>开发者工具与互联网基础设施</x:v>
      </x:c>
      <x:c r="I607" s="19" t="str">
        <x:v>Similarweb 行业映射</x:v>
      </x:c>
      <x:c r="J607" s="19" t="n">
        <x:v>556229</x:v>
      </x:c>
      <x:c r="K607" s="20" t="n">
        <x:v>0.0024</x:v>
      </x:c>
      <x:c r="L607" s="19" t="str">
        <x:v>上升</x:v>
      </x:c>
      <x:c r="M607" s="20" t="n">
        <x:v>0.5912</x:v>
      </x:c>
      <x:c r="N607" s="21" t="n">
        <x:v>300299</x:v>
      </x:c>
      <x:c r="O607" s="21" t="n">
        <x:v>721</x:v>
      </x:c>
      <x:c r="P607" s="21" t="n">
        <x:f>ROUND(N607*K607,0)</x:f>
        <x:v>721</x:v>
      </x:c>
      <x:c r="Q607" s="19" t="str">
        <x:v>否</x:v>
      </x:c>
      <x:c r="R607" s="19" t="str"/>
      <x:c r="S607" s="19" t="n">
        <x:f>IF(Q607="是",0,MIN(10,2+IF(C607="高",2,1)+IF(K607&gt;=3%,3,IF(K607&gt;=1%,2,1))+IF(L607="新出现",2,IF(M607&gt;=100%,3,IF(M607&gt;0,2,0)))))</x:f>
        <x:v>7</x:v>
      </x:c>
      <x:c r="T607" s="21"/>
      <x:c r="U607" s="20"/>
      <x:c r="V607" s="19" t="str">
        <x:v>http://foldermarker.com/</x:v>
      </x:c>
      <x:c r="W607" s="19" t="str">
        <x:v>https://pro.similarweb.com/#/digitalsuite/websiteanalysis/referrals/*/999/1m?webSource=Total&amp;selectedTab=incomingTraffic&amp;key=store.payproglobal.com</x:v>
      </x:c>
      <x:c r="X607" s="20" t="n">
        <x:f>IF(Q607="是",0,IFERROR(P607/SUMIFS($P$2:$P$964,$A$2:$A$964,A607,$Q$2:$Q$964,"否"),0))</x:f>
        <x:v>0.0034590953578076725</x:v>
      </x:c>
      <x:c r="Y607" s="22" t="str">
        <x:f>IF(OR(M607="",U607=""),"未交叉",IF(M607*U607&gt;0,"同向",IF(M607*U607&lt;0,"背离","一侧持平")))</x:f>
        <x:v>未交叉</x:v>
      </x:c>
    </x:row>
    <x:row r="608">
      <x:c r="A608" s="18" t="str">
        <x:v>store.payproglobal.com</x:v>
      </x:c>
      <x:c r="B608" s="19" t="str">
        <x:v>专用支付/结账入口</x:v>
      </x:c>
      <x:c r="C608" s="19" t="str">
        <x:v>高</x:v>
      </x:c>
      <x:c r="D608" s="19" t="str">
        <x:v>Jul 2026</x:v>
      </x:c>
      <x:c r="E608" s="19" t="n">
        <x:v>65</x:v>
      </x:c>
      <x:c r="F608" s="19" t="str">
        <x:v>photokit.com</x:v>
      </x:c>
      <x:c r="G608" s="19" t="str">
        <x:v>Graphics Multimedia and Web Design</x:v>
      </x:c>
      <x:c r="H608" s="19" t="str">
        <x:v>创作、设计与多媒体工具</x:v>
      </x:c>
      <x:c r="I608" s="19" t="str">
        <x:v>Similarweb 行业映射</x:v>
      </x:c>
      <x:c r="J608" s="19" t="n">
        <x:v>90007</x:v>
      </x:c>
      <x:c r="K608" s="20" t="n">
        <x:v>0.0024</x:v>
      </x:c>
      <x:c r="L608" s="19" t="str">
        <x:v>上升</x:v>
      </x:c>
      <x:c r="M608" s="20" t="n">
        <x:v>6.2501999999999995</x:v>
      </x:c>
      <x:c r="N608" s="21" t="n">
        <x:v>300299</x:v>
      </x:c>
      <x:c r="O608" s="21" t="n">
        <x:v>721</x:v>
      </x:c>
      <x:c r="P608" s="21" t="n">
        <x:f>ROUND(N608*K608,0)</x:f>
        <x:v>721</x:v>
      </x:c>
      <x:c r="Q608" s="19" t="str">
        <x:v>否</x:v>
      </x:c>
      <x:c r="R608" s="19" t="str"/>
      <x:c r="S608" s="19" t="n">
        <x:f>IF(Q608="是",0,MIN(10,2+IF(C608="高",2,1)+IF(K608&gt;=3%,3,IF(K608&gt;=1%,2,1))+IF(L608="新出现",2,IF(M608&gt;=100%,3,IF(M608&gt;0,2,0)))))</x:f>
        <x:v>8</x:v>
      </x:c>
      <x:c r="T608" s="21"/>
      <x:c r="U608" s="20"/>
      <x:c r="V608" s="19" t="str">
        <x:v>http://photokit.com/</x:v>
      </x:c>
      <x:c r="W608" s="19" t="str">
        <x:v>https://pro.similarweb.com/#/digitalsuite/websiteanalysis/referrals/*/999/1m?webSource=Total&amp;selectedTab=incomingTraffic&amp;key=store.payproglobal.com</x:v>
      </x:c>
      <x:c r="X608" s="20" t="n">
        <x:f>IF(Q608="是",0,IFERROR(P608/SUMIFS($P$2:$P$964,$A$2:$A$964,A608,$Q$2:$Q$964,"否"),0))</x:f>
        <x:v>0.0034590953578076725</x:v>
      </x:c>
      <x:c r="Y608" s="22" t="str">
        <x:f>IF(OR(M608="",U608=""),"未交叉",IF(M608*U608&gt;0,"同向",IF(M608*U608&lt;0,"背离","一侧持平")))</x:f>
        <x:v>未交叉</x:v>
      </x:c>
    </x:row>
    <x:row r="609">
      <x:c r="A609" s="18" t="str">
        <x:v>store.payproglobal.com</x:v>
      </x:c>
      <x:c r="B609" s="19" t="str">
        <x:v>专用支付/结账入口</x:v>
      </x:c>
      <x:c r="C609" s="19" t="str">
        <x:v>高</x:v>
      </x:c>
      <x:c r="D609" s="19" t="str">
        <x:v>Jul 2026</x:v>
      </x:c>
      <x:c r="E609" s="19" t="n">
        <x:v>66</x:v>
      </x:c>
      <x:c r="F609" s="19" t="str">
        <x:v>internals.work</x:v>
      </x:c>
      <x:c r="G609" s="19" t="str">
        <x:v>Unknown</x:v>
      </x:c>
      <x:c r="H609" s="19" t="str">
        <x:v>其他/待核查</x:v>
      </x:c>
      <x:c r="I609" s="19" t="str">
        <x:v>Similarweb 未分类</x:v>
      </x:c>
      <x:c r="J609" s="19" t="n">
        <x:v>897389</x:v>
      </x:c>
      <x:c r="K609" s="20" t="n">
        <x:v>0.0024</x:v>
      </x:c>
      <x:c r="L609" s="19" t="str">
        <x:v>下降</x:v>
      </x:c>
      <x:c r="M609" s="20" t="n">
        <x:v>-0.185</x:v>
      </x:c>
      <x:c r="N609" s="21" t="n">
        <x:v>300299</x:v>
      </x:c>
      <x:c r="O609" s="21" t="n">
        <x:v>721</x:v>
      </x:c>
      <x:c r="P609" s="21" t="n">
        <x:f>ROUND(N609*K609,0)</x:f>
        <x:v>721</x:v>
      </x:c>
      <x:c r="Q609" s="19" t="str">
        <x:v>否</x:v>
      </x:c>
      <x:c r="R609" s="19" t="str"/>
      <x:c r="S609" s="19" t="n">
        <x:f>IF(Q609="是",0,MIN(10,2+IF(C609="高",2,1)+IF(K609&gt;=3%,3,IF(K609&gt;=1%,2,1))+IF(L609="新出现",2,IF(M609&gt;=100%,3,IF(M609&gt;0,2,0)))))</x:f>
        <x:v>5</x:v>
      </x:c>
      <x:c r="T609" s="21"/>
      <x:c r="U609" s="20"/>
      <x:c r="V609" s="19" t="str">
        <x:v>http://internals.work/</x:v>
      </x:c>
      <x:c r="W609" s="19" t="str">
        <x:v>https://pro.similarweb.com/#/digitalsuite/websiteanalysis/referrals/*/999/1m?webSource=Total&amp;selectedTab=incomingTraffic&amp;key=store.payproglobal.com</x:v>
      </x:c>
      <x:c r="X609" s="20" t="n">
        <x:f>IF(Q609="是",0,IFERROR(P609/SUMIFS($P$2:$P$964,$A$2:$A$964,A609,$Q$2:$Q$964,"否"),0))</x:f>
        <x:v>0.0034590953578076725</x:v>
      </x:c>
      <x:c r="Y609" s="22" t="str">
        <x:f>IF(OR(M609="",U609=""),"未交叉",IF(M609*U609&gt;0,"同向",IF(M609*U609&lt;0,"背离","一侧持平")))</x:f>
        <x:v>未交叉</x:v>
      </x:c>
    </x:row>
    <x:row r="610">
      <x:c r="A610" s="18" t="str">
        <x:v>store.payproglobal.com</x:v>
      </x:c>
      <x:c r="B610" s="19" t="str">
        <x:v>专用支付/结账入口</x:v>
      </x:c>
      <x:c r="C610" s="19" t="str">
        <x:v>高</x:v>
      </x:c>
      <x:c r="D610" s="19" t="str">
        <x:v>Jul 2026</x:v>
      </x:c>
      <x:c r="E610" s="19" t="n">
        <x:v>67</x:v>
      </x:c>
      <x:c r="F610" s="19" t="str">
        <x:v>rainberrytv.com</x:v>
      </x:c>
      <x:c r="G610" s="19" t="str">
        <x:v>File Sharing and Hosting</x:v>
      </x:c>
      <x:c r="H610" s="19" t="str">
        <x:v>开发者工具与互联网基础设施</x:v>
      </x:c>
      <x:c r="I610" s="19" t="str">
        <x:v>Similarweb 行业映射</x:v>
      </x:c>
      <x:c r="J610" s="19" t="n">
        <x:v>3057</x:v>
      </x:c>
      <x:c r="K610" s="20" t="n">
        <x:v>0.0024</x:v>
      </x:c>
      <x:c r="L610" s="19" t="str">
        <x:v>上升</x:v>
      </x:c>
      <x:c r="M610" s="20" t="n">
        <x:v>33.0704</x:v>
      </x:c>
      <x:c r="N610" s="21" t="n">
        <x:v>300299</x:v>
      </x:c>
      <x:c r="O610" s="21" t="n">
        <x:v>721</x:v>
      </x:c>
      <x:c r="P610" s="21" t="n">
        <x:f>ROUND(N610*K610,0)</x:f>
        <x:v>721</x:v>
      </x:c>
      <x:c r="Q610" s="19" t="str">
        <x:v>否</x:v>
      </x:c>
      <x:c r="R610" s="19" t="str"/>
      <x:c r="S610" s="19" t="n">
        <x:f>IF(Q610="是",0,MIN(10,2+IF(C610="高",2,1)+IF(K610&gt;=3%,3,IF(K610&gt;=1%,2,1))+IF(L610="新出现",2,IF(M610&gt;=100%,3,IF(M610&gt;0,2,0)))))</x:f>
        <x:v>8</x:v>
      </x:c>
      <x:c r="T610" s="21"/>
      <x:c r="U610" s="20"/>
      <x:c r="V610" s="19" t="str">
        <x:v>http://rainberrytv.com/</x:v>
      </x:c>
      <x:c r="W610" s="19" t="str">
        <x:v>https://pro.similarweb.com/#/digitalsuite/websiteanalysis/referrals/*/999/1m?webSource=Total&amp;selectedTab=incomingTraffic&amp;key=store.payproglobal.com</x:v>
      </x:c>
      <x:c r="X610" s="20" t="n">
        <x:f>IF(Q610="是",0,IFERROR(P610/SUMIFS($P$2:$P$964,$A$2:$A$964,A610,$Q$2:$Q$964,"否"),0))</x:f>
        <x:v>0.0034590953578076725</x:v>
      </x:c>
      <x:c r="Y610" s="22" t="str">
        <x:f>IF(OR(M610="",U610=""),"未交叉",IF(M610*U610&gt;0,"同向",IF(M610*U610&lt;0,"背离","一侧持平")))</x:f>
        <x:v>未交叉</x:v>
      </x:c>
    </x:row>
    <x:row r="611">
      <x:c r="A611" s="18" t="str">
        <x:v>store.payproglobal.com</x:v>
      </x:c>
      <x:c r="B611" s="19" t="str">
        <x:v>专用支付/结账入口</x:v>
      </x:c>
      <x:c r="C611" s="19" t="str">
        <x:v>高</x:v>
      </x:c>
      <x:c r="D611" s="19" t="str">
        <x:v>Jul 2026</x:v>
      </x:c>
      <x:c r="E611" s="19" t="n">
        <x:v>68</x:v>
      </x:c>
      <x:c r="F611" s="19" t="str">
        <x:v>domains-monitor.com</x:v>
      </x:c>
      <x:c r="G611" s="19" t="str">
        <x:v>Web Hosting and Domain Names</x:v>
      </x:c>
      <x:c r="H611" s="19" t="str">
        <x:v>开发者工具与互联网基础设施</x:v>
      </x:c>
      <x:c r="I611" s="19" t="str">
        <x:v>Similarweb 行业映射</x:v>
      </x:c>
      <x:c r="J611" s="19" t="n">
        <x:v>1003329</x:v>
      </x:c>
      <x:c r="K611" s="20" t="n">
        <x:v>0.0022</x:v>
      </x:c>
      <x:c r="L611" s="19" t="str">
        <x:v>上升</x:v>
      </x:c>
      <x:c r="M611" s="20" t="n">
        <x:v>6.1111</x:v>
      </x:c>
      <x:c r="N611" s="21" t="n">
        <x:v>300299</x:v>
      </x:c>
      <x:c r="O611" s="21" t="n">
        <x:v>661</x:v>
      </x:c>
      <x:c r="P611" s="21" t="n">
        <x:f>ROUND(N611*K611,0)</x:f>
        <x:v>661</x:v>
      </x:c>
      <x:c r="Q611" s="19" t="str">
        <x:v>否</x:v>
      </x:c>
      <x:c r="R611" s="19" t="str"/>
      <x:c r="S611" s="19" t="n">
        <x:f>IF(Q611="是",0,MIN(10,2+IF(C611="高",2,1)+IF(K611&gt;=3%,3,IF(K611&gt;=1%,2,1))+IF(L611="新出现",2,IF(M611&gt;=100%,3,IF(M611&gt;0,2,0)))))</x:f>
        <x:v>8</x:v>
      </x:c>
      <x:c r="T611" s="21"/>
      <x:c r="U611" s="20"/>
      <x:c r="V611" s="19" t="str">
        <x:v>http://domains-monitor.com/</x:v>
      </x:c>
      <x:c r="W611" s="19" t="str">
        <x:v>https://pro.similarweb.com/#/digitalsuite/websiteanalysis/referrals/*/999/1m?webSource=Total&amp;selectedTab=incomingTraffic&amp;key=store.payproglobal.com</x:v>
      </x:c>
      <x:c r="X611" s="20" t="n">
        <x:f>IF(Q611="是",0,IFERROR(P611/SUMIFS($P$2:$P$964,$A$2:$A$964,A611,$Q$2:$Q$964,"否"),0))</x:f>
        <x:v>0.0031712372143007928</x:v>
      </x:c>
      <x:c r="Y611" s="22" t="str">
        <x:f>IF(OR(M611="",U611=""),"未交叉",IF(M611*U611&gt;0,"同向",IF(M611*U611&lt;0,"背离","一侧持平")))</x:f>
        <x:v>未交叉</x:v>
      </x:c>
    </x:row>
    <x:row r="612">
      <x:c r="A612" s="18" t="str">
        <x:v>store.payproglobal.com</x:v>
      </x:c>
      <x:c r="B612" s="19" t="str">
        <x:v>专用支付/结账入口</x:v>
      </x:c>
      <x:c r="C612" s="19" t="str">
        <x:v>高</x:v>
      </x:c>
      <x:c r="D612" s="19" t="str">
        <x:v>Jul 2026</x:v>
      </x:c>
      <x:c r="E612" s="19" t="n">
        <x:v>69</x:v>
      </x:c>
      <x:c r="F612" s="19" t="str">
        <x:v>jvsg.com</x:v>
      </x:c>
      <x:c r="G612" s="19" t="str">
        <x:v>Business Services</x:v>
      </x:c>
      <x:c r="H612" s="19" t="str">
        <x:v>营销、生产力与商业服务</x:v>
      </x:c>
      <x:c r="I612" s="19" t="str">
        <x:v>Similarweb 行业映射</x:v>
      </x:c>
      <x:c r="J612" s="19" t="n">
        <x:v>398844</x:v>
      </x:c>
      <x:c r="K612" s="20" t="n">
        <x:v>0.002</x:v>
      </x:c>
      <x:c r="L612" s="19" t="str">
        <x:v>新出现</x:v>
      </x:c>
      <x:c r="M612" s="20"/>
      <x:c r="N612" s="21" t="n">
        <x:v>300299</x:v>
      </x:c>
      <x:c r="O612" s="21" t="n">
        <x:v>601</x:v>
      </x:c>
      <x:c r="P612" s="21" t="n">
        <x:f>ROUND(N612*K612,0)</x:f>
        <x:v>601</x:v>
      </x:c>
      <x:c r="Q612" s="19" t="str">
        <x:v>否</x:v>
      </x:c>
      <x:c r="R612" s="19" t="str"/>
      <x:c r="S612" s="19" t="n">
        <x:f>IF(Q612="是",0,MIN(10,2+IF(C612="高",2,1)+IF(K612&gt;=3%,3,IF(K612&gt;=1%,2,1))+IF(L612="新出现",2,IF(M612&gt;=100%,3,IF(M612&gt;0,2,0)))))</x:f>
        <x:v>7</x:v>
      </x:c>
      <x:c r="T612" s="21"/>
      <x:c r="U612" s="20"/>
      <x:c r="V612" s="19" t="str">
        <x:v>http://jvsg.com/</x:v>
      </x:c>
      <x:c r="W612" s="19" t="str">
        <x:v>https://pro.similarweb.com/#/digitalsuite/websiteanalysis/referrals/*/999/1m?webSource=Total&amp;selectedTab=incomingTraffic&amp;key=store.payproglobal.com</x:v>
      </x:c>
      <x:c r="X612" s="20" t="n">
        <x:f>IF(Q612="是",0,IFERROR(P612/SUMIFS($P$2:$P$964,$A$2:$A$964,A612,$Q$2:$Q$964,"否"),0))</x:f>
        <x:v>0.0028833790707939125</x:v>
      </x:c>
      <x:c r="Y612" s="22" t="str">
        <x:f>IF(OR(M612="",U612=""),"未交叉",IF(M612*U612&gt;0,"同向",IF(M612*U612&lt;0,"背离","一侧持平")))</x:f>
        <x:v>未交叉</x:v>
      </x:c>
    </x:row>
    <x:row r="613">
      <x:c r="A613" s="18" t="str">
        <x:v>store.payproglobal.com</x:v>
      </x:c>
      <x:c r="B613" s="19" t="str">
        <x:v>专用支付/结账入口</x:v>
      </x:c>
      <x:c r="C613" s="19" t="str">
        <x:v>高</x:v>
      </x:c>
      <x:c r="D613" s="19" t="str">
        <x:v>Jul 2026</x:v>
      </x:c>
      <x:c r="E613" s="19" t="n">
        <x:v>70</x:v>
      </x:c>
      <x:c r="F613" s="19" t="str">
        <x:v>forum.makemkv.com</x:v>
      </x:c>
      <x:c r="G613" s="19" t="str">
        <x:v>Computer Hardware</x:v>
      </x:c>
      <x:c r="H613" s="19" t="str">
        <x:v>其他/待核查</x:v>
      </x:c>
      <x:c r="I613" s="19" t="str">
        <x:v>保守归类</x:v>
      </x:c>
      <x:c r="J613" s="19"/>
      <x:c r="K613" s="20" t="n">
        <x:v>0.002</x:v>
      </x:c>
      <x:c r="L613" s="19" t="str">
        <x:v>新出现</x:v>
      </x:c>
      <x:c r="M613" s="20"/>
      <x:c r="N613" s="21" t="n">
        <x:v>300299</x:v>
      </x:c>
      <x:c r="O613" s="21" t="n">
        <x:v>601</x:v>
      </x:c>
      <x:c r="P613" s="21" t="n">
        <x:f>ROUND(N613*K613,0)</x:f>
        <x:v>601</x:v>
      </x:c>
      <x:c r="Q613" s="19" t="str">
        <x:v>否</x:v>
      </x:c>
      <x:c r="R613" s="19" t="str"/>
      <x:c r="S613" s="19" t="n">
        <x:f>IF(Q613="是",0,MIN(10,2+IF(C613="高",2,1)+IF(K613&gt;=3%,3,IF(K613&gt;=1%,2,1))+IF(L613="新出现",2,IF(M613&gt;=100%,3,IF(M613&gt;0,2,0)))))</x:f>
        <x:v>7</x:v>
      </x:c>
      <x:c r="T613" s="21"/>
      <x:c r="U613" s="20"/>
      <x:c r="V613" s="19" t="str">
        <x:v>http://forum.makemkv.com/</x:v>
      </x:c>
      <x:c r="W613" s="19" t="str">
        <x:v>https://pro.similarweb.com/#/digitalsuite/websiteanalysis/referrals/*/999/1m?webSource=Total&amp;selectedTab=incomingTraffic&amp;key=store.payproglobal.com</x:v>
      </x:c>
      <x:c r="X613" s="20" t="n">
        <x:f>IF(Q613="是",0,IFERROR(P613/SUMIFS($P$2:$P$964,$A$2:$A$964,A613,$Q$2:$Q$964,"否"),0))</x:f>
        <x:v>0.0028833790707939125</x:v>
      </x:c>
      <x:c r="Y613" s="22" t="str">
        <x:f>IF(OR(M613="",U613=""),"未交叉",IF(M613*U613&gt;0,"同向",IF(M613*U613&lt;0,"背离","一侧持平")))</x:f>
        <x:v>未交叉</x:v>
      </x:c>
    </x:row>
    <x:row r="614">
      <x:c r="A614" s="18" t="str">
        <x:v>store.payproglobal.com</x:v>
      </x:c>
      <x:c r="B614" s="19" t="str">
        <x:v>专用支付/结账入口</x:v>
      </x:c>
      <x:c r="C614" s="19" t="str">
        <x:v>高</x:v>
      </x:c>
      <x:c r="D614" s="19" t="str">
        <x:v>Jul 2026</x:v>
      </x:c>
      <x:c r="E614" s="19" t="n">
        <x:v>71</x:v>
      </x:c>
      <x:c r="F614" s="19" t="str">
        <x:v>gridinsoft.com</x:v>
      </x:c>
      <x:c r="G614" s="19" t="str">
        <x:v>Programming and Developer Software</x:v>
      </x:c>
      <x:c r="H614" s="19" t="str">
        <x:v>开发者工具与互联网基础设施</x:v>
      </x:c>
      <x:c r="I614" s="19" t="str">
        <x:v>Similarweb 行业映射</x:v>
      </x:c>
      <x:c r="J614" s="19" t="n">
        <x:v>33188</x:v>
      </x:c>
      <x:c r="K614" s="20" t="n">
        <x:v>0.002</x:v>
      </x:c>
      <x:c r="L614" s="19" t="str">
        <x:v>新出现</x:v>
      </x:c>
      <x:c r="M614" s="20"/>
      <x:c r="N614" s="21" t="n">
        <x:v>300299</x:v>
      </x:c>
      <x:c r="O614" s="21" t="n">
        <x:v>601</x:v>
      </x:c>
      <x:c r="P614" s="21" t="n">
        <x:f>ROUND(N614*K614,0)</x:f>
        <x:v>601</x:v>
      </x:c>
      <x:c r="Q614" s="19" t="str">
        <x:v>否</x:v>
      </x:c>
      <x:c r="R614" s="19" t="str"/>
      <x:c r="S614" s="19" t="n">
        <x:f>IF(Q614="是",0,MIN(10,2+IF(C614="高",2,1)+IF(K614&gt;=3%,3,IF(K614&gt;=1%,2,1))+IF(L614="新出现",2,IF(M614&gt;=100%,3,IF(M614&gt;0,2,0)))))</x:f>
        <x:v>7</x:v>
      </x:c>
      <x:c r="T614" s="21"/>
      <x:c r="U614" s="20"/>
      <x:c r="V614" s="19" t="str">
        <x:v>http://gridinsoft.com/</x:v>
      </x:c>
      <x:c r="W614" s="19" t="str">
        <x:v>https://pro.similarweb.com/#/digitalsuite/websiteanalysis/referrals/*/999/1m?webSource=Total&amp;selectedTab=incomingTraffic&amp;key=store.payproglobal.com</x:v>
      </x:c>
      <x:c r="X614" s="20" t="n">
        <x:f>IF(Q614="是",0,IFERROR(P614/SUMIFS($P$2:$P$964,$A$2:$A$964,A614,$Q$2:$Q$964,"否"),0))</x:f>
        <x:v>0.0028833790707939125</x:v>
      </x:c>
      <x:c r="Y614" s="22" t="str">
        <x:f>IF(OR(M614="",U614=""),"未交叉",IF(M614*U614&gt;0,"同向",IF(M614*U614&lt;0,"背离","一侧持平")))</x:f>
        <x:v>未交叉</x:v>
      </x:c>
    </x:row>
    <x:row r="615">
      <x:c r="A615" s="18" t="str">
        <x:v>store.payproglobal.com</x:v>
      </x:c>
      <x:c r="B615" s="19" t="str">
        <x:v>专用支付/结账入口</x:v>
      </x:c>
      <x:c r="C615" s="19" t="str">
        <x:v>高</x:v>
      </x:c>
      <x:c r="D615" s="19" t="str">
        <x:v>Jul 2026</x:v>
      </x:c>
      <x:c r="E615" s="19" t="n">
        <x:v>72</x:v>
      </x:c>
      <x:c r="F615" s="19" t="str">
        <x:v>airlivedrive.com</x:v>
      </x:c>
      <x:c r="G615" s="19" t="str">
        <x:v>Programming and Developer Software</x:v>
      </x:c>
      <x:c r="H615" s="19" t="str">
        <x:v>开发者工具与互联网基础设施</x:v>
      </x:c>
      <x:c r="I615" s="19" t="str">
        <x:v>Similarweb 行业映射</x:v>
      </x:c>
      <x:c r="J615" s="19" t="n">
        <x:v>1029868</x:v>
      </x:c>
      <x:c r="K615" s="20" t="n">
        <x:v>0.0019</x:v>
      </x:c>
      <x:c r="L615" s="19" t="str">
        <x:v>上升</x:v>
      </x:c>
      <x:c r="M615" s="20" t="n">
        <x:v>8.1563</x:v>
      </x:c>
      <x:c r="N615" s="21" t="n">
        <x:v>300299</x:v>
      </x:c>
      <x:c r="O615" s="21" t="n">
        <x:v>571</x:v>
      </x:c>
      <x:c r="P615" s="21" t="n">
        <x:f>ROUND(N615*K615,0)</x:f>
        <x:v>571</x:v>
      </x:c>
      <x:c r="Q615" s="19" t="str">
        <x:v>否</x:v>
      </x:c>
      <x:c r="R615" s="19" t="str"/>
      <x:c r="S615" s="19" t="n">
        <x:f>IF(Q615="是",0,MIN(10,2+IF(C615="高",2,1)+IF(K615&gt;=3%,3,IF(K615&gt;=1%,2,1))+IF(L615="新出现",2,IF(M615&gt;=100%,3,IF(M615&gt;0,2,0)))))</x:f>
        <x:v>8</x:v>
      </x:c>
      <x:c r="T615" s="21"/>
      <x:c r="U615" s="20"/>
      <x:c r="V615" s="19" t="str">
        <x:v>http://airlivedrive.com/</x:v>
      </x:c>
      <x:c r="W615" s="19" t="str">
        <x:v>https://pro.similarweb.com/#/digitalsuite/websiteanalysis/referrals/*/999/1m?webSource=Total&amp;selectedTab=incomingTraffic&amp;key=store.payproglobal.com</x:v>
      </x:c>
      <x:c r="X615" s="20" t="n">
        <x:f>IF(Q615="是",0,IFERROR(P615/SUMIFS($P$2:$P$964,$A$2:$A$964,A615,$Q$2:$Q$964,"否"),0))</x:f>
        <x:v>0.002739449999040473</x:v>
      </x:c>
      <x:c r="Y615" s="22" t="str">
        <x:f>IF(OR(M615="",U615=""),"未交叉",IF(M615*U615&gt;0,"同向",IF(M615*U615&lt;0,"背离","一侧持平")))</x:f>
        <x:v>未交叉</x:v>
      </x:c>
    </x:row>
    <x:row r="616">
      <x:c r="A616" s="18" t="str">
        <x:v>store.payproglobal.com</x:v>
      </x:c>
      <x:c r="B616" s="19" t="str">
        <x:v>专用支付/结账入口</x:v>
      </x:c>
      <x:c r="C616" s="19" t="str">
        <x:v>高</x:v>
      </x:c>
      <x:c r="D616" s="19" t="str">
        <x:v>Jul 2026</x:v>
      </x:c>
      <x:c r="E616" s="19" t="n">
        <x:v>73</x:v>
      </x:c>
      <x:c r="F616" s="19" t="str">
        <x:v>airexplorer.net</x:v>
      </x:c>
      <x:c r="G616" s="19" t="str">
        <x:v>Programming and Developer Software</x:v>
      </x:c>
      <x:c r="H616" s="19" t="str">
        <x:v>开发者工具与互联网基础设施</x:v>
      </x:c>
      <x:c r="I616" s="19" t="str">
        <x:v>Similarweb 行业映射</x:v>
      </x:c>
      <x:c r="J616" s="19" t="n">
        <x:v>519472</x:v>
      </x:c>
      <x:c r="K616" s="20" t="n">
        <x:v>0.0019</x:v>
      </x:c>
      <x:c r="L616" s="19" t="str">
        <x:v>下降</x:v>
      </x:c>
      <x:c r="M616" s="20" t="n">
        <x:v>-0.4276</x:v>
      </x:c>
      <x:c r="N616" s="21" t="n">
        <x:v>300299</x:v>
      </x:c>
      <x:c r="O616" s="21" t="n">
        <x:v>571</x:v>
      </x:c>
      <x:c r="P616" s="21" t="n">
        <x:f>ROUND(N616*K616,0)</x:f>
        <x:v>571</x:v>
      </x:c>
      <x:c r="Q616" s="19" t="str">
        <x:v>否</x:v>
      </x:c>
      <x:c r="R616" s="19" t="str"/>
      <x:c r="S616" s="19" t="n">
        <x:f>IF(Q616="是",0,MIN(10,2+IF(C616="高",2,1)+IF(K616&gt;=3%,3,IF(K616&gt;=1%,2,1))+IF(L616="新出现",2,IF(M616&gt;=100%,3,IF(M616&gt;0,2,0)))))</x:f>
        <x:v>5</x:v>
      </x:c>
      <x:c r="T616" s="21"/>
      <x:c r="U616" s="20"/>
      <x:c r="V616" s="19" t="str">
        <x:v>http://airexplorer.net/</x:v>
      </x:c>
      <x:c r="W616" s="19" t="str">
        <x:v>https://pro.similarweb.com/#/digitalsuite/websiteanalysis/referrals/*/999/1m?webSource=Total&amp;selectedTab=incomingTraffic&amp;key=store.payproglobal.com</x:v>
      </x:c>
      <x:c r="X616" s="20" t="n">
        <x:f>IF(Q616="是",0,IFERROR(P616/SUMIFS($P$2:$P$964,$A$2:$A$964,A616,$Q$2:$Q$964,"否"),0))</x:f>
        <x:v>0.002739449999040473</x:v>
      </x:c>
      <x:c r="Y616" s="22" t="str">
        <x:f>IF(OR(M616="",U616=""),"未交叉",IF(M616*U616&gt;0,"同向",IF(M616*U616&lt;0,"背离","一侧持平")))</x:f>
        <x:v>未交叉</x:v>
      </x:c>
    </x:row>
    <x:row r="617">
      <x:c r="A617" s="18" t="str">
        <x:v>store.payproglobal.com</x:v>
      </x:c>
      <x:c r="B617" s="19" t="str">
        <x:v>专用支付/结账入口</x:v>
      </x:c>
      <x:c r="C617" s="19" t="str">
        <x:v>高</x:v>
      </x:c>
      <x:c r="D617" s="19" t="str">
        <x:v>Jul 2026</x:v>
      </x:c>
      <x:c r="E617" s="19" t="n">
        <x:v>74</x:v>
      </x:c>
      <x:c r="F617" s="19" t="str">
        <x:v>app.importify.net</x:v>
      </x:c>
      <x:c r="G617" s="19" t="str">
        <x:v>Business Services</x:v>
      </x:c>
      <x:c r="H617" s="19" t="str">
        <x:v>营销、生产力与商业服务</x:v>
      </x:c>
      <x:c r="I617" s="19" t="str">
        <x:v>Similarweb 行业映射</x:v>
      </x:c>
      <x:c r="J617" s="19"/>
      <x:c r="K617" s="20" t="n">
        <x:v>0.0019</x:v>
      </x:c>
      <x:c r="L617" s="19" t="str">
        <x:v>上升</x:v>
      </x:c>
      <x:c r="M617" s="20" t="n">
        <x:v>0.7801</x:v>
      </x:c>
      <x:c r="N617" s="21" t="n">
        <x:v>300299</x:v>
      </x:c>
      <x:c r="O617" s="21" t="n">
        <x:v>571</x:v>
      </x:c>
      <x:c r="P617" s="21" t="n">
        <x:f>ROUND(N617*K617,0)</x:f>
        <x:v>571</x:v>
      </x:c>
      <x:c r="Q617" s="19" t="str">
        <x:v>否</x:v>
      </x:c>
      <x:c r="R617" s="19" t="str"/>
      <x:c r="S617" s="19" t="n">
        <x:f>IF(Q617="是",0,MIN(10,2+IF(C617="高",2,1)+IF(K617&gt;=3%,3,IF(K617&gt;=1%,2,1))+IF(L617="新出现",2,IF(M617&gt;=100%,3,IF(M617&gt;0,2,0)))))</x:f>
        <x:v>7</x:v>
      </x:c>
      <x:c r="T617" s="21"/>
      <x:c r="U617" s="20"/>
      <x:c r="V617" s="19" t="str">
        <x:v>http://app.importify.net/</x:v>
      </x:c>
      <x:c r="W617" s="19" t="str">
        <x:v>https://pro.similarweb.com/#/digitalsuite/websiteanalysis/referrals/*/999/1m?webSource=Total&amp;selectedTab=incomingTraffic&amp;key=store.payproglobal.com</x:v>
      </x:c>
      <x:c r="X617" s="20" t="n">
        <x:f>IF(Q617="是",0,IFERROR(P617/SUMIFS($P$2:$P$964,$A$2:$A$964,A617,$Q$2:$Q$964,"否"),0))</x:f>
        <x:v>0.002739449999040473</x:v>
      </x:c>
      <x:c r="Y617" s="22" t="str">
        <x:f>IF(OR(M617="",U617=""),"未交叉",IF(M617*U617&gt;0,"同向",IF(M617*U617&lt;0,"背离","一侧持平")))</x:f>
        <x:v>未交叉</x:v>
      </x:c>
    </x:row>
    <x:row r="618">
      <x:c r="A618" s="18" t="str">
        <x:v>store.payproglobal.com</x:v>
      </x:c>
      <x:c r="B618" s="19" t="str">
        <x:v>专用支付/结账入口</x:v>
      </x:c>
      <x:c r="C618" s="19" t="str">
        <x:v>高</x:v>
      </x:c>
      <x:c r="D618" s="19" t="str">
        <x:v>Jul 2026</x:v>
      </x:c>
      <x:c r="E618" s="19" t="n">
        <x:v>75</x:v>
      </x:c>
      <x:c r="F618" s="19" t="str">
        <x:v>nepeto.com</x:v>
      </x:c>
      <x:c r="G618" s="19" t="str">
        <x:v>Beauty and Cosmetics</x:v>
      </x:c>
      <x:c r="H618" s="19" t="str">
        <x:v>内容媒体、线下与实体消费</x:v>
      </x:c>
      <x:c r="I618" s="19" t="str">
        <x:v>Similarweb 行业映射</x:v>
      </x:c>
      <x:c r="J618" s="19" t="n">
        <x:v>1934144</x:v>
      </x:c>
      <x:c r="K618" s="20" t="n">
        <x:v>0.0018</x:v>
      </x:c>
      <x:c r="L618" s="19" t="str">
        <x:v>新出现</x:v>
      </x:c>
      <x:c r="M618" s="20"/>
      <x:c r="N618" s="21" t="n">
        <x:v>300299</x:v>
      </x:c>
      <x:c r="O618" s="21" t="n">
        <x:v>541</x:v>
      </x:c>
      <x:c r="P618" s="21" t="n">
        <x:f>ROUND(N618*K618,0)</x:f>
        <x:v>541</x:v>
      </x:c>
      <x:c r="Q618" s="19" t="str">
        <x:v>否</x:v>
      </x:c>
      <x:c r="R618" s="19" t="str"/>
      <x:c r="S618" s="19" t="n">
        <x:f>IF(Q618="是",0,MIN(10,2+IF(C618="高",2,1)+IF(K618&gt;=3%,3,IF(K618&gt;=1%,2,1))+IF(L618="新出现",2,IF(M618&gt;=100%,3,IF(M618&gt;0,2,0)))))</x:f>
        <x:v>7</x:v>
      </x:c>
      <x:c r="T618" s="21"/>
      <x:c r="U618" s="20"/>
      <x:c r="V618" s="19" t="str">
        <x:v>http://nepeto.com/</x:v>
      </x:c>
      <x:c r="W618" s="19" t="str">
        <x:v>https://pro.similarweb.com/#/digitalsuite/websiteanalysis/referrals/*/999/1m?webSource=Total&amp;selectedTab=incomingTraffic&amp;key=store.payproglobal.com</x:v>
      </x:c>
      <x:c r="X618" s="20" t="n">
        <x:f>IF(Q618="是",0,IFERROR(P618/SUMIFS($P$2:$P$964,$A$2:$A$964,A618,$Q$2:$Q$964,"否"),0))</x:f>
        <x:v>0.0025955209272870328</x:v>
      </x:c>
      <x:c r="Y618" s="22" t="str">
        <x:f>IF(OR(M618="",U618=""),"未交叉",IF(M618*U618&gt;0,"同向",IF(M618*U618&lt;0,"背离","一侧持平")))</x:f>
        <x:v>未交叉</x:v>
      </x:c>
    </x:row>
    <x:row r="619">
      <x:c r="A619" s="18" t="str">
        <x:v>store.payproglobal.com</x:v>
      </x:c>
      <x:c r="B619" s="19" t="str">
        <x:v>专用支付/结账入口</x:v>
      </x:c>
      <x:c r="C619" s="19" t="str">
        <x:v>高</x:v>
      </x:c>
      <x:c r="D619" s="19" t="str">
        <x:v>Jul 2026</x:v>
      </x:c>
      <x:c r="E619" s="19" t="n">
        <x:v>76</x:v>
      </x:c>
      <x:c r="F619" s="19" t="str">
        <x:v>getmarter.com</x:v>
      </x:c>
      <x:c r="G619" s="19" t="str">
        <x:v>Pet Food and Supplies</x:v>
      </x:c>
      <x:c r="H619" s="19" t="str">
        <x:v>其他/待核查</x:v>
      </x:c>
      <x:c r="I619" s="19" t="str">
        <x:v>保守归类</x:v>
      </x:c>
      <x:c r="J619" s="19" t="n">
        <x:v>3123939</x:v>
      </x:c>
      <x:c r="K619" s="20" t="n">
        <x:v>0.0017000000000000001</x:v>
      </x:c>
      <x:c r="L619" s="19" t="str">
        <x:v>下降</x:v>
      </x:c>
      <x:c r="M619" s="20" t="n">
        <x:v>-0.0346</x:v>
      </x:c>
      <x:c r="N619" s="21" t="n">
        <x:v>300299</x:v>
      </x:c>
      <x:c r="O619" s="21" t="n">
        <x:v>511</x:v>
      </x:c>
      <x:c r="P619" s="21" t="n">
        <x:f>ROUND(N619*K619,0)</x:f>
        <x:v>511</x:v>
      </x:c>
      <x:c r="Q619" s="19" t="str">
        <x:v>否</x:v>
      </x:c>
      <x:c r="R619" s="19" t="str"/>
      <x:c r="S619" s="19" t="n">
        <x:f>IF(Q619="是",0,MIN(10,2+IF(C619="高",2,1)+IF(K619&gt;=3%,3,IF(K619&gt;=1%,2,1))+IF(L619="新出现",2,IF(M619&gt;=100%,3,IF(M619&gt;0,2,0)))))</x:f>
        <x:v>5</x:v>
      </x:c>
      <x:c r="T619" s="21"/>
      <x:c r="U619" s="20"/>
      <x:c r="V619" s="19" t="str">
        <x:v>http://getmarter.com/</x:v>
      </x:c>
      <x:c r="W619" s="19" t="str">
        <x:v>https://pro.similarweb.com/#/digitalsuite/websiteanalysis/referrals/*/999/1m?webSource=Total&amp;selectedTab=incomingTraffic&amp;key=store.payproglobal.com</x:v>
      </x:c>
      <x:c r="X619" s="20" t="n">
        <x:f>IF(Q619="是",0,IFERROR(P619/SUMIFS($P$2:$P$964,$A$2:$A$964,A619,$Q$2:$Q$964,"否"),0))</x:f>
        <x:v>0.002451591855533593</x:v>
      </x:c>
      <x:c r="Y619" s="22" t="str">
        <x:f>IF(OR(M619="",U619=""),"未交叉",IF(M619*U619&gt;0,"同向",IF(M619*U619&lt;0,"背离","一侧持平")))</x:f>
        <x:v>未交叉</x:v>
      </x:c>
    </x:row>
    <x:row r="620">
      <x:c r="A620" s="18" t="str">
        <x:v>store.payproglobal.com</x:v>
      </x:c>
      <x:c r="B620" s="19" t="str">
        <x:v>专用支付/结账入口</x:v>
      </x:c>
      <x:c r="C620" s="19" t="str">
        <x:v>高</x:v>
      </x:c>
      <x:c r="D620" s="19" t="str">
        <x:v>Jul 2026</x:v>
      </x:c>
      <x:c r="E620" s="19" t="n">
        <x:v>77</x:v>
      </x:c>
      <x:c r="F620" s="19" t="str">
        <x:v>shoviv.com</x:v>
      </x:c>
      <x:c r="G620" s="19" t="str">
        <x:v>Programming and Developer Software</x:v>
      </x:c>
      <x:c r="H620" s="19" t="str">
        <x:v>开发者工具与互联网基础设施</x:v>
      </x:c>
      <x:c r="I620" s="19" t="str">
        <x:v>Similarweb 行业映射</x:v>
      </x:c>
      <x:c r="J620" s="19" t="n">
        <x:v>586059</x:v>
      </x:c>
      <x:c r="K620" s="20" t="n">
        <x:v>0.0017000000000000001</x:v>
      </x:c>
      <x:c r="L620" s="19" t="str">
        <x:v>下降</x:v>
      </x:c>
      <x:c r="M620" s="20" t="n">
        <x:v>-0.4861</x:v>
      </x:c>
      <x:c r="N620" s="21" t="n">
        <x:v>300299</x:v>
      </x:c>
      <x:c r="O620" s="21" t="n">
        <x:v>511</x:v>
      </x:c>
      <x:c r="P620" s="21" t="n">
        <x:f>ROUND(N620*K620,0)</x:f>
        <x:v>511</x:v>
      </x:c>
      <x:c r="Q620" s="19" t="str">
        <x:v>否</x:v>
      </x:c>
      <x:c r="R620" s="19" t="str"/>
      <x:c r="S620" s="19" t="n">
        <x:f>IF(Q620="是",0,MIN(10,2+IF(C620="高",2,1)+IF(K620&gt;=3%,3,IF(K620&gt;=1%,2,1))+IF(L620="新出现",2,IF(M620&gt;=100%,3,IF(M620&gt;0,2,0)))))</x:f>
        <x:v>5</x:v>
      </x:c>
      <x:c r="T620" s="21"/>
      <x:c r="U620" s="20"/>
      <x:c r="V620" s="19" t="str">
        <x:v>http://shoviv.com/</x:v>
      </x:c>
      <x:c r="W620" s="19" t="str">
        <x:v>https://pro.similarweb.com/#/digitalsuite/websiteanalysis/referrals/*/999/1m?webSource=Total&amp;selectedTab=incomingTraffic&amp;key=store.payproglobal.com</x:v>
      </x:c>
      <x:c r="X620" s="20" t="n">
        <x:f>IF(Q620="是",0,IFERROR(P620/SUMIFS($P$2:$P$964,$A$2:$A$964,A620,$Q$2:$Q$964,"否"),0))</x:f>
        <x:v>0.002451591855533593</x:v>
      </x:c>
      <x:c r="Y620" s="22" t="str">
        <x:f>IF(OR(M620="",U620=""),"未交叉",IF(M620*U620&gt;0,"同向",IF(M620*U620&lt;0,"背离","一侧持平")))</x:f>
        <x:v>未交叉</x:v>
      </x:c>
    </x:row>
    <x:row r="621">
      <x:c r="A621" s="18" t="str">
        <x:v>store.payproglobal.com</x:v>
      </x:c>
      <x:c r="B621" s="19" t="str">
        <x:v>专用支付/结账入口</x:v>
      </x:c>
      <x:c r="C621" s="19" t="str">
        <x:v>高</x:v>
      </x:c>
      <x:c r="D621" s="19" t="str">
        <x:v>Jul 2026</x:v>
      </x:c>
      <x:c r="E621" s="19" t="n">
        <x:v>78</x:v>
      </x:c>
      <x:c r="F621" s="19" t="str">
        <x:v>macsonik.com</x:v>
      </x:c>
      <x:c r="G621" s="19" t="str">
        <x:v>Programming and Developer Software</x:v>
      </x:c>
      <x:c r="H621" s="19" t="str">
        <x:v>开发者工具与互联网基础设施</x:v>
      </x:c>
      <x:c r="I621" s="19" t="str">
        <x:v>Similarweb 行业映射</x:v>
      </x:c>
      <x:c r="J621" s="19" t="n">
        <x:v>2287997</x:v>
      </x:c>
      <x:c r="K621" s="20" t="n">
        <x:v>0.0017000000000000001</x:v>
      </x:c>
      <x:c r="L621" s="19" t="str">
        <x:v>上升</x:v>
      </x:c>
      <x:c r="M621" s="20" t="n">
        <x:v>0.1233</x:v>
      </x:c>
      <x:c r="N621" s="21" t="n">
        <x:v>300299</x:v>
      </x:c>
      <x:c r="O621" s="21" t="n">
        <x:v>511</x:v>
      </x:c>
      <x:c r="P621" s="21" t="n">
        <x:f>ROUND(N621*K621,0)</x:f>
        <x:v>511</x:v>
      </x:c>
      <x:c r="Q621" s="19" t="str">
        <x:v>否</x:v>
      </x:c>
      <x:c r="R621" s="19" t="str"/>
      <x:c r="S621" s="19" t="n">
        <x:f>IF(Q621="是",0,MIN(10,2+IF(C621="高",2,1)+IF(K621&gt;=3%,3,IF(K621&gt;=1%,2,1))+IF(L621="新出现",2,IF(M621&gt;=100%,3,IF(M621&gt;0,2,0)))))</x:f>
        <x:v>7</x:v>
      </x:c>
      <x:c r="T621" s="21"/>
      <x:c r="U621" s="20"/>
      <x:c r="V621" s="19" t="str">
        <x:v>http://macsonik.com/</x:v>
      </x:c>
      <x:c r="W621" s="19" t="str">
        <x:v>https://pro.similarweb.com/#/digitalsuite/websiteanalysis/referrals/*/999/1m?webSource=Total&amp;selectedTab=incomingTraffic&amp;key=store.payproglobal.com</x:v>
      </x:c>
      <x:c r="X621" s="20" t="n">
        <x:f>IF(Q621="是",0,IFERROR(P621/SUMIFS($P$2:$P$964,$A$2:$A$964,A621,$Q$2:$Q$964,"否"),0))</x:f>
        <x:v>0.002451591855533593</x:v>
      </x:c>
      <x:c r="Y621" s="22" t="str">
        <x:f>IF(OR(M621="",U621=""),"未交叉",IF(M621*U621&gt;0,"同向",IF(M621*U621&lt;0,"背离","一侧持平")))</x:f>
        <x:v>未交叉</x:v>
      </x:c>
    </x:row>
    <x:row r="622">
      <x:c r="A622" s="18" t="str">
        <x:v>store.payproglobal.com</x:v>
      </x:c>
      <x:c r="B622" s="19" t="str">
        <x:v>专用支付/结账入口</x:v>
      </x:c>
      <x:c r="C622" s="19" t="str">
        <x:v>高</x:v>
      </x:c>
      <x:c r="D622" s="19" t="str">
        <x:v>Jul 2026</x:v>
      </x:c>
      <x:c r="E622" s="19" t="n">
        <x:v>79</x:v>
      </x:c>
      <x:c r="F622" s="19" t="str">
        <x:v>amember.com</x:v>
      </x:c>
      <x:c r="G622" s="19" t="str">
        <x:v>Programming and Developer Software</x:v>
      </x:c>
      <x:c r="H622" s="19" t="str">
        <x:v>开发者工具与互联网基础设施</x:v>
      </x:c>
      <x:c r="I622" s="19" t="str">
        <x:v>Similarweb 行业映射</x:v>
      </x:c>
      <x:c r="J622" s="19" t="n">
        <x:v>2086381</x:v>
      </x:c>
      <x:c r="K622" s="20" t="n">
        <x:v>0.0016</x:v>
      </x:c>
      <x:c r="L622" s="19" t="str">
        <x:v>上升</x:v>
      </x:c>
      <x:c r="M622" s="20" t="n">
        <x:v>7.420599999999999</x:v>
      </x:c>
      <x:c r="N622" s="21" t="n">
        <x:v>300299</x:v>
      </x:c>
      <x:c r="O622" s="21" t="n">
        <x:v>480</x:v>
      </x:c>
      <x:c r="P622" s="21" t="n">
        <x:f>ROUND(N622*K622,0)</x:f>
        <x:v>480</x:v>
      </x:c>
      <x:c r="Q622" s="19" t="str">
        <x:v>否</x:v>
      </x:c>
      <x:c r="R622" s="19" t="str"/>
      <x:c r="S622" s="19" t="n">
        <x:f>IF(Q622="是",0,MIN(10,2+IF(C622="高",2,1)+IF(K622&gt;=3%,3,IF(K622&gt;=1%,2,1))+IF(L622="新出现",2,IF(M622&gt;=100%,3,IF(M622&gt;0,2,0)))))</x:f>
        <x:v>8</x:v>
      </x:c>
      <x:c r="T622" s="21"/>
      <x:c r="U622" s="20"/>
      <x:c r="V622" s="19" t="str">
        <x:v>http://amember.com/</x:v>
      </x:c>
      <x:c r="W622" s="19" t="str">
        <x:v>https://pro.similarweb.com/#/digitalsuite/websiteanalysis/referrals/*/999/1m?webSource=Total&amp;selectedTab=incomingTraffic&amp;key=store.payproglobal.com</x:v>
      </x:c>
      <x:c r="X622" s="20" t="n">
        <x:f>IF(Q622="是",0,IFERROR(P622/SUMIFS($P$2:$P$964,$A$2:$A$964,A622,$Q$2:$Q$964,"否"),0))</x:f>
        <x:v>0.0023028651480550386</x:v>
      </x:c>
      <x:c r="Y622" s="22" t="str">
        <x:f>IF(OR(M622="",U622=""),"未交叉",IF(M622*U622&gt;0,"同向",IF(M622*U622&lt;0,"背离","一侧持平")))</x:f>
        <x:v>未交叉</x:v>
      </x:c>
    </x:row>
    <x:row r="623">
      <x:c r="A623" s="18" t="str">
        <x:v>store.payproglobal.com</x:v>
      </x:c>
      <x:c r="B623" s="19" t="str">
        <x:v>专用支付/结账入口</x:v>
      </x:c>
      <x:c r="C623" s="19" t="str">
        <x:v>高</x:v>
      </x:c>
      <x:c r="D623" s="19" t="str">
        <x:v>Jul 2026</x:v>
      </x:c>
      <x:c r="E623" s="19" t="n">
        <x:v>80</x:v>
      </x:c>
      <x:c r="F623" s="19" t="str">
        <x:v>app.postoria.io</x:v>
      </x:c>
      <x:c r="G623" s="19" t="str">
        <x:v>Unknown</x:v>
      </x:c>
      <x:c r="H623" s="19" t="str">
        <x:v>其他/待核查</x:v>
      </x:c>
      <x:c r="I623" s="19" t="str">
        <x:v>Similarweb 未分类</x:v>
      </x:c>
      <x:c r="J623" s="19"/>
      <x:c r="K623" s="20" t="n">
        <x:v>0.0016</x:v>
      </x:c>
      <x:c r="L623" s="19" t="str">
        <x:v>上升</x:v>
      </x:c>
      <x:c r="M623" s="20" t="n">
        <x:v>1.7547</x:v>
      </x:c>
      <x:c r="N623" s="21" t="n">
        <x:v>300299</x:v>
      </x:c>
      <x:c r="O623" s="21" t="n">
        <x:v>480</x:v>
      </x:c>
      <x:c r="P623" s="21" t="n">
        <x:f>ROUND(N623*K623,0)</x:f>
        <x:v>480</x:v>
      </x:c>
      <x:c r="Q623" s="19" t="str">
        <x:v>否</x:v>
      </x:c>
      <x:c r="R623" s="19" t="str"/>
      <x:c r="S623" s="19" t="n">
        <x:f>IF(Q623="是",0,MIN(10,2+IF(C623="高",2,1)+IF(K623&gt;=3%,3,IF(K623&gt;=1%,2,1))+IF(L623="新出现",2,IF(M623&gt;=100%,3,IF(M623&gt;0,2,0)))))</x:f>
        <x:v>8</x:v>
      </x:c>
      <x:c r="T623" s="21"/>
      <x:c r="U623" s="20"/>
      <x:c r="V623" s="19" t="str">
        <x:v>http://app.postoria.io/</x:v>
      </x:c>
      <x:c r="W623" s="19" t="str">
        <x:v>https://pro.similarweb.com/#/digitalsuite/websiteanalysis/referrals/*/999/1m?webSource=Total&amp;selectedTab=incomingTraffic&amp;key=store.payproglobal.com</x:v>
      </x:c>
      <x:c r="X623" s="20" t="n">
        <x:f>IF(Q623="是",0,IFERROR(P623/SUMIFS($P$2:$P$964,$A$2:$A$964,A623,$Q$2:$Q$964,"否"),0))</x:f>
        <x:v>0.0023028651480550386</x:v>
      </x:c>
      <x:c r="Y623" s="22" t="str">
        <x:f>IF(OR(M623="",U623=""),"未交叉",IF(M623*U623&gt;0,"同向",IF(M623*U623&lt;0,"背离","一侧持平")))</x:f>
        <x:v>未交叉</x:v>
      </x:c>
    </x:row>
    <x:row r="624">
      <x:c r="A624" s="18" t="str">
        <x:v>store.payproglobal.com</x:v>
      </x:c>
      <x:c r="B624" s="19" t="str">
        <x:v>专用支付/结账入口</x:v>
      </x:c>
      <x:c r="C624" s="19" t="str">
        <x:v>高</x:v>
      </x:c>
      <x:c r="D624" s="19" t="str">
        <x:v>Jul 2026</x:v>
      </x:c>
      <x:c r="E624" s="19" t="n">
        <x:v>81</x:v>
      </x:c>
      <x:c r="F624" s="19" t="str">
        <x:v>json2video.com</x:v>
      </x:c>
      <x:c r="G624" s="19" t="str">
        <x:v>Programming and Developer Software</x:v>
      </x:c>
      <x:c r="H624" s="19" t="str">
        <x:v>开发者工具与互联网基础设施</x:v>
      </x:c>
      <x:c r="I624" s="19" t="str">
        <x:v>Similarweb 行业映射</x:v>
      </x:c>
      <x:c r="J624" s="19" t="n">
        <x:v>229563</x:v>
      </x:c>
      <x:c r="K624" s="20" t="n">
        <x:v>0.0015</x:v>
      </x:c>
      <x:c r="L624" s="19" t="str">
        <x:v>下降</x:v>
      </x:c>
      <x:c r="M624" s="20" t="n">
        <x:v>-0.5276</x:v>
      </x:c>
      <x:c r="N624" s="21" t="n">
        <x:v>300299</x:v>
      </x:c>
      <x:c r="O624" s="21" t="n">
        <x:v>450</x:v>
      </x:c>
      <x:c r="P624" s="21" t="n">
        <x:f>ROUND(N624*K624,0)</x:f>
        <x:v>450</x:v>
      </x:c>
      <x:c r="Q624" s="19" t="str">
        <x:v>否</x:v>
      </x:c>
      <x:c r="R624" s="19" t="str"/>
      <x:c r="S624" s="19" t="n">
        <x:f>IF(Q624="是",0,MIN(10,2+IF(C624="高",2,1)+IF(K624&gt;=3%,3,IF(K624&gt;=1%,2,1))+IF(L624="新出现",2,IF(M624&gt;=100%,3,IF(M624&gt;0,2,0)))))</x:f>
        <x:v>5</x:v>
      </x:c>
      <x:c r="T624" s="21"/>
      <x:c r="U624" s="20"/>
      <x:c r="V624" s="19" t="str">
        <x:v>http://json2video.com/</x:v>
      </x:c>
      <x:c r="W624" s="19" t="str">
        <x:v>https://pro.similarweb.com/#/digitalsuite/websiteanalysis/referrals/*/999/1m?webSource=Total&amp;selectedTab=incomingTraffic&amp;key=store.payproglobal.com</x:v>
      </x:c>
      <x:c r="X624" s="20" t="n">
        <x:f>IF(Q624="是",0,IFERROR(P624/SUMIFS($P$2:$P$964,$A$2:$A$964,A624,$Q$2:$Q$964,"否"),0))</x:f>
        <x:v>0.0021589360763015985</x:v>
      </x:c>
      <x:c r="Y624" s="22" t="str">
        <x:f>IF(OR(M624="",U624=""),"未交叉",IF(M624*U624&gt;0,"同向",IF(M624*U624&lt;0,"背离","一侧持平")))</x:f>
        <x:v>未交叉</x:v>
      </x:c>
    </x:row>
    <x:row r="625">
      <x:c r="A625" s="18" t="str">
        <x:v>store.payproglobal.com</x:v>
      </x:c>
      <x:c r="B625" s="19" t="str">
        <x:v>专用支付/结账入口</x:v>
      </x:c>
      <x:c r="C625" s="19" t="str">
        <x:v>高</x:v>
      </x:c>
      <x:c r="D625" s="19" t="str">
        <x:v>Jul 2026</x:v>
      </x:c>
      <x:c r="E625" s="19" t="n">
        <x:v>82</x:v>
      </x:c>
      <x:c r="F625" s="19" t="str">
        <x:v>samplerateconverter.com</x:v>
      </x:c>
      <x:c r="G625" s="19" t="str">
        <x:v>Graphics Multimedia and Web Design</x:v>
      </x:c>
      <x:c r="H625" s="19" t="str">
        <x:v>创作、设计与多媒体工具</x:v>
      </x:c>
      <x:c r="I625" s="19" t="str">
        <x:v>Similarweb 行业映射</x:v>
      </x:c>
      <x:c r="J625" s="19" t="n">
        <x:v>542276</x:v>
      </x:c>
      <x:c r="K625" s="20" t="n">
        <x:v>0.0015</x:v>
      </x:c>
      <x:c r="L625" s="19" t="str">
        <x:v>新出现</x:v>
      </x:c>
      <x:c r="M625" s="20"/>
      <x:c r="N625" s="21" t="n">
        <x:v>300299</x:v>
      </x:c>
      <x:c r="O625" s="21" t="n">
        <x:v>450</x:v>
      </x:c>
      <x:c r="P625" s="21" t="n">
        <x:f>ROUND(N625*K625,0)</x:f>
        <x:v>450</x:v>
      </x:c>
      <x:c r="Q625" s="19" t="str">
        <x:v>否</x:v>
      </x:c>
      <x:c r="R625" s="19" t="str"/>
      <x:c r="S625" s="19" t="n">
        <x:f>IF(Q625="是",0,MIN(10,2+IF(C625="高",2,1)+IF(K625&gt;=3%,3,IF(K625&gt;=1%,2,1))+IF(L625="新出现",2,IF(M625&gt;=100%,3,IF(M625&gt;0,2,0)))))</x:f>
        <x:v>7</x:v>
      </x:c>
      <x:c r="T625" s="21"/>
      <x:c r="U625" s="20"/>
      <x:c r="V625" s="19" t="str">
        <x:v>http://samplerateconverter.com/</x:v>
      </x:c>
      <x:c r="W625" s="19" t="str">
        <x:v>https://pro.similarweb.com/#/digitalsuite/websiteanalysis/referrals/*/999/1m?webSource=Total&amp;selectedTab=incomingTraffic&amp;key=store.payproglobal.com</x:v>
      </x:c>
      <x:c r="X625" s="20" t="n">
        <x:f>IF(Q625="是",0,IFERROR(P625/SUMIFS($P$2:$P$964,$A$2:$A$964,A625,$Q$2:$Q$964,"否"),0))</x:f>
        <x:v>0.0021589360763015985</x:v>
      </x:c>
      <x:c r="Y625" s="22" t="str">
        <x:f>IF(OR(M625="",U625=""),"未交叉",IF(M625*U625&gt;0,"同向",IF(M625*U625&lt;0,"背离","一侧持平")))</x:f>
        <x:v>未交叉</x:v>
      </x:c>
    </x:row>
    <x:row r="626">
      <x:c r="A626" s="18" t="str">
        <x:v>store.payproglobal.com</x:v>
      </x:c>
      <x:c r="B626" s="19" t="str">
        <x:v>专用支付/结账入口</x:v>
      </x:c>
      <x:c r="C626" s="19" t="str">
        <x:v>高</x:v>
      </x:c>
      <x:c r="D626" s="19" t="str">
        <x:v>Jul 2026</x:v>
      </x:c>
      <x:c r="E626" s="19" t="n">
        <x:v>83</x:v>
      </x:c>
      <x:c r="F626" s="19" t="str">
        <x:v>syscute.com</x:v>
      </x:c>
      <x:c r="G626" s="19" t="str">
        <x:v>Programming and Developer Software</x:v>
      </x:c>
      <x:c r="H626" s="19" t="str">
        <x:v>开发者工具与互联网基础设施</x:v>
      </x:c>
      <x:c r="I626" s="19" t="str">
        <x:v>Similarweb 行业映射</x:v>
      </x:c>
      <x:c r="J626" s="19" t="n">
        <x:v>306362</x:v>
      </x:c>
      <x:c r="K626" s="20" t="n">
        <x:v>0.0014000000000000002</x:v>
      </x:c>
      <x:c r="L626" s="19" t="str">
        <x:v>上升</x:v>
      </x:c>
      <x:c r="M626" s="20" t="n">
        <x:v>1.0026000000000002</x:v>
      </x:c>
      <x:c r="N626" s="21" t="n">
        <x:v>300299</x:v>
      </x:c>
      <x:c r="O626" s="21" t="n">
        <x:v>420</x:v>
      </x:c>
      <x:c r="P626" s="21" t="n">
        <x:f>ROUND(N626*K626,0)</x:f>
        <x:v>420</x:v>
      </x:c>
      <x:c r="Q626" s="19" t="str">
        <x:v>否</x:v>
      </x:c>
      <x:c r="R626" s="19" t="str"/>
      <x:c r="S626" s="19" t="n">
        <x:f>IF(Q626="是",0,MIN(10,2+IF(C626="高",2,1)+IF(K626&gt;=3%,3,IF(K626&gt;=1%,2,1))+IF(L626="新出现",2,IF(M626&gt;=100%,3,IF(M626&gt;0,2,0)))))</x:f>
        <x:v>8</x:v>
      </x:c>
      <x:c r="T626" s="21"/>
      <x:c r="U626" s="20"/>
      <x:c r="V626" s="19" t="str">
        <x:v>http://syscute.com/</x:v>
      </x:c>
      <x:c r="W626" s="19" t="str">
        <x:v>https://pro.similarweb.com/#/digitalsuite/websiteanalysis/referrals/*/999/1m?webSource=Total&amp;selectedTab=incomingTraffic&amp;key=store.payproglobal.com</x:v>
      </x:c>
      <x:c r="X626" s="20" t="n">
        <x:f>IF(Q626="是",0,IFERROR(P626/SUMIFS($P$2:$P$964,$A$2:$A$964,A626,$Q$2:$Q$964,"否"),0))</x:f>
        <x:v>0.002015007004548159</x:v>
      </x:c>
      <x:c r="Y626" s="22" t="str">
        <x:f>IF(OR(M626="",U626=""),"未交叉",IF(M626*U626&gt;0,"同向",IF(M626*U626&lt;0,"背离","一侧持平")))</x:f>
        <x:v>未交叉</x:v>
      </x:c>
    </x:row>
    <x:row r="627">
      <x:c r="A627" s="18" t="str">
        <x:v>store.payproglobal.com</x:v>
      </x:c>
      <x:c r="B627" s="19" t="str">
        <x:v>专用支付/结账入口</x:v>
      </x:c>
      <x:c r="C627" s="19" t="str">
        <x:v>高</x:v>
      </x:c>
      <x:c r="D627" s="19" t="str">
        <x:v>Jul 2026</x:v>
      </x:c>
      <x:c r="E627" s="19" t="n">
        <x:v>84</x:v>
      </x:c>
      <x:c r="F627" s="19" t="str">
        <x:v>bitsdujour.com</x:v>
      </x:c>
      <x:c r="G627" s="19" t="str">
        <x:v>Programming and Developer Software</x:v>
      </x:c>
      <x:c r="H627" s="19" t="str">
        <x:v>开发者工具与互联网基础设施</x:v>
      </x:c>
      <x:c r="I627" s="19" t="str">
        <x:v>Similarweb 行业映射</x:v>
      </x:c>
      <x:c r="J627" s="19" t="n">
        <x:v>314129</x:v>
      </x:c>
      <x:c r="K627" s="20" t="n">
        <x:v>0.0013</x:v>
      </x:c>
      <x:c r="L627" s="19" t="str">
        <x:v>上升</x:v>
      </x:c>
      <x:c r="M627" s="20" t="n">
        <x:v>0.7726000000000001</x:v>
      </x:c>
      <x:c r="N627" s="21" t="n">
        <x:v>300299</x:v>
      </x:c>
      <x:c r="O627" s="21" t="n">
        <x:v>390</x:v>
      </x:c>
      <x:c r="P627" s="21" t="n">
        <x:f>ROUND(N627*K627,0)</x:f>
        <x:v>390</x:v>
      </x:c>
      <x:c r="Q627" s="19" t="str">
        <x:v>否</x:v>
      </x:c>
      <x:c r="R627" s="19" t="str"/>
      <x:c r="S627" s="19" t="n">
        <x:f>IF(Q627="是",0,MIN(10,2+IF(C627="高",2,1)+IF(K627&gt;=3%,3,IF(K627&gt;=1%,2,1))+IF(L627="新出现",2,IF(M627&gt;=100%,3,IF(M627&gt;0,2,0)))))</x:f>
        <x:v>7</x:v>
      </x:c>
      <x:c r="T627" s="21"/>
      <x:c r="U627" s="20"/>
      <x:c r="V627" s="19" t="str">
        <x:v>http://bitsdujour.com/</x:v>
      </x:c>
      <x:c r="W627" s="19" t="str">
        <x:v>https://pro.similarweb.com/#/digitalsuite/websiteanalysis/referrals/*/999/1m?webSource=Total&amp;selectedTab=incomingTraffic&amp;key=store.payproglobal.com</x:v>
      </x:c>
      <x:c r="X627" s="20" t="n">
        <x:f>IF(Q627="是",0,IFERROR(P627/SUMIFS($P$2:$P$964,$A$2:$A$964,A627,$Q$2:$Q$964,"否"),0))</x:f>
        <x:v>0.0018710779327947187</x:v>
      </x:c>
      <x:c r="Y627" s="22" t="str">
        <x:f>IF(OR(M627="",U627=""),"未交叉",IF(M627*U627&gt;0,"同向",IF(M627*U627&lt;0,"背离","一侧持平")))</x:f>
        <x:v>未交叉</x:v>
      </x:c>
    </x:row>
    <x:row r="628">
      <x:c r="A628" s="18" t="str">
        <x:v>store.payproglobal.com</x:v>
      </x:c>
      <x:c r="B628" s="19" t="str">
        <x:v>专用支付/结账入口</x:v>
      </x:c>
      <x:c r="C628" s="19" t="str">
        <x:v>高</x:v>
      </x:c>
      <x:c r="D628" s="19" t="str">
        <x:v>Jul 2026</x:v>
      </x:c>
      <x:c r="E628" s="19" t="n">
        <x:v>85</x:v>
      </x:c>
      <x:c r="F628" s="19" t="str">
        <x:v>opswatacademy.com</x:v>
      </x:c>
      <x:c r="G628" s="19" t="str">
        <x:v>Computer Security</x:v>
      </x:c>
      <x:c r="H628" s="19" t="str">
        <x:v>开发者工具与互联网基础设施</x:v>
      </x:c>
      <x:c r="I628" s="19" t="str">
        <x:v>Similarweb 行业映射</x:v>
      </x:c>
      <x:c r="J628" s="19" t="n">
        <x:v>228944</x:v>
      </x:c>
      <x:c r="K628" s="20" t="n">
        <x:v>0.0012</x:v>
      </x:c>
      <x:c r="L628" s="19" t="str">
        <x:v>下降</x:v>
      </x:c>
      <x:c r="M628" s="20" t="n">
        <x:v>-0.9404</x:v>
      </x:c>
      <x:c r="N628" s="21" t="n">
        <x:v>300299</x:v>
      </x:c>
      <x:c r="O628" s="21" t="n">
        <x:v>360</x:v>
      </x:c>
      <x:c r="P628" s="21" t="n">
        <x:f>ROUND(N628*K628,0)</x:f>
        <x:v>360</x:v>
      </x:c>
      <x:c r="Q628" s="19" t="str">
        <x:v>否</x:v>
      </x:c>
      <x:c r="R628" s="19" t="str"/>
      <x:c r="S628" s="19" t="n">
        <x:f>IF(Q628="是",0,MIN(10,2+IF(C628="高",2,1)+IF(K628&gt;=3%,3,IF(K628&gt;=1%,2,1))+IF(L628="新出现",2,IF(M628&gt;=100%,3,IF(M628&gt;0,2,0)))))</x:f>
        <x:v>5</x:v>
      </x:c>
      <x:c r="T628" s="21"/>
      <x:c r="U628" s="20"/>
      <x:c r="V628" s="19" t="str">
        <x:v>http://opswatacademy.com/</x:v>
      </x:c>
      <x:c r="W628" s="19" t="str">
        <x:v>https://pro.similarweb.com/#/digitalsuite/websiteanalysis/referrals/*/999/1m?webSource=Total&amp;selectedTab=incomingTraffic&amp;key=store.payproglobal.com</x:v>
      </x:c>
      <x:c r="X628" s="20" t="n">
        <x:f>IF(Q628="是",0,IFERROR(P628/SUMIFS($P$2:$P$964,$A$2:$A$964,A628,$Q$2:$Q$964,"否"),0))</x:f>
        <x:v>0.0017271488610412788</x:v>
      </x:c>
      <x:c r="Y628" s="22" t="str">
        <x:f>IF(OR(M628="",U628=""),"未交叉",IF(M628*U628&gt;0,"同向",IF(M628*U628&lt;0,"背离","一侧持平")))</x:f>
        <x:v>未交叉</x:v>
      </x:c>
    </x:row>
    <x:row r="629">
      <x:c r="A629" s="18" t="str">
        <x:v>store.payproglobal.com</x:v>
      </x:c>
      <x:c r="B629" s="19" t="str">
        <x:v>专用支付/结账入口</x:v>
      </x:c>
      <x:c r="C629" s="19" t="str">
        <x:v>高</x:v>
      </x:c>
      <x:c r="D629" s="19" t="str">
        <x:v>Jul 2026</x:v>
      </x:c>
      <x:c r="E629" s="19" t="n">
        <x:v>86</x:v>
      </x:c>
      <x:c r="F629" s="19" t="str">
        <x:v>blog2social.com</x:v>
      </x:c>
      <x:c r="G629" s="19" t="str">
        <x:v>Online Marketing</x:v>
      </x:c>
      <x:c r="H629" s="19" t="str">
        <x:v>营销、生产力与商业服务</x:v>
      </x:c>
      <x:c r="I629" s="19" t="str">
        <x:v>Similarweb 行业映射</x:v>
      </x:c>
      <x:c r="J629" s="19" t="n">
        <x:v>866513</x:v>
      </x:c>
      <x:c r="K629" s="20" t="n">
        <x:v>0.0011</x:v>
      </x:c>
      <x:c r="L629" s="19" t="str">
        <x:v>下降</x:v>
      </x:c>
      <x:c r="M629" s="20" t="n">
        <x:v>-0.0964</x:v>
      </x:c>
      <x:c r="N629" s="21" t="n">
        <x:v>300299</x:v>
      </x:c>
      <x:c r="O629" s="21" t="n">
        <x:v>330</x:v>
      </x:c>
      <x:c r="P629" s="21" t="n">
        <x:f>ROUND(N629*K629,0)</x:f>
        <x:v>330</x:v>
      </x:c>
      <x:c r="Q629" s="19" t="str">
        <x:v>否</x:v>
      </x:c>
      <x:c r="R629" s="19" t="str"/>
      <x:c r="S629" s="19" t="n">
        <x:f>IF(Q629="是",0,MIN(10,2+IF(C629="高",2,1)+IF(K629&gt;=3%,3,IF(K629&gt;=1%,2,1))+IF(L629="新出现",2,IF(M629&gt;=100%,3,IF(M629&gt;0,2,0)))))</x:f>
        <x:v>5</x:v>
      </x:c>
      <x:c r="T629" s="21"/>
      <x:c r="U629" s="20"/>
      <x:c r="V629" s="19" t="str">
        <x:v>http://blog2social.com/</x:v>
      </x:c>
      <x:c r="W629" s="19" t="str">
        <x:v>https://pro.similarweb.com/#/digitalsuite/websiteanalysis/referrals/*/999/1m?webSource=Total&amp;selectedTab=incomingTraffic&amp;key=store.payproglobal.com</x:v>
      </x:c>
      <x:c r="X629" s="20" t="n">
        <x:f>IF(Q629="是",0,IFERROR(P629/SUMIFS($P$2:$P$964,$A$2:$A$964,A629,$Q$2:$Q$964,"否"),0))</x:f>
        <x:v>0.001583219789287839</x:v>
      </x:c>
      <x:c r="Y629" s="22" t="str">
        <x:f>IF(OR(M629="",U629=""),"未交叉",IF(M629*U629&gt;0,"同向",IF(M629*U629&lt;0,"背离","一侧持平")))</x:f>
        <x:v>未交叉</x:v>
      </x:c>
    </x:row>
    <x:row r="630">
      <x:c r="A630" s="18" t="str">
        <x:v>store.payproglobal.com</x:v>
      </x:c>
      <x:c r="B630" s="19" t="str">
        <x:v>专用支付/结账入口</x:v>
      </x:c>
      <x:c r="C630" s="19" t="str">
        <x:v>高</x:v>
      </x:c>
      <x:c r="D630" s="19" t="str">
        <x:v>Jul 2026</x:v>
      </x:c>
      <x:c r="E630" s="19" t="n">
        <x:v>87</x:v>
      </x:c>
      <x:c r="F630" s="19" t="str">
        <x:v>trust.zone</x:v>
      </x:c>
      <x:c r="G630" s="19" t="str">
        <x:v>File Sharing and Hosting</x:v>
      </x:c>
      <x:c r="H630" s="19" t="str">
        <x:v>开发者工具与互联网基础设施</x:v>
      </x:c>
      <x:c r="I630" s="19" t="str">
        <x:v>Similarweb 行业映射</x:v>
      </x:c>
      <x:c r="J630" s="19" t="n">
        <x:v>237817</x:v>
      </x:c>
      <x:c r="K630" s="20" t="n">
        <x:v>0.0011</x:v>
      </x:c>
      <x:c r="L630" s="19" t="str">
        <x:v>新出现</x:v>
      </x:c>
      <x:c r="M630" s="20"/>
      <x:c r="N630" s="21" t="n">
        <x:v>300299</x:v>
      </x:c>
      <x:c r="O630" s="21" t="n">
        <x:v>330</x:v>
      </x:c>
      <x:c r="P630" s="21" t="n">
        <x:f>ROUND(N630*K630,0)</x:f>
        <x:v>330</x:v>
      </x:c>
      <x:c r="Q630" s="19" t="str">
        <x:v>否</x:v>
      </x:c>
      <x:c r="R630" s="19" t="str"/>
      <x:c r="S630" s="19" t="n">
        <x:f>IF(Q630="是",0,MIN(10,2+IF(C630="高",2,1)+IF(K630&gt;=3%,3,IF(K630&gt;=1%,2,1))+IF(L630="新出现",2,IF(M630&gt;=100%,3,IF(M630&gt;0,2,0)))))</x:f>
        <x:v>7</x:v>
      </x:c>
      <x:c r="T630" s="21"/>
      <x:c r="U630" s="20"/>
      <x:c r="V630" s="19" t="str">
        <x:v>http://trust.zone/</x:v>
      </x:c>
      <x:c r="W630" s="19" t="str">
        <x:v>https://pro.similarweb.com/#/digitalsuite/websiteanalysis/referrals/*/999/1m?webSource=Total&amp;selectedTab=incomingTraffic&amp;key=store.payproglobal.com</x:v>
      </x:c>
      <x:c r="X630" s="20" t="n">
        <x:f>IF(Q630="是",0,IFERROR(P630/SUMIFS($P$2:$P$964,$A$2:$A$964,A630,$Q$2:$Q$964,"否"),0))</x:f>
        <x:v>0.001583219789287839</x:v>
      </x:c>
      <x:c r="Y630" s="22" t="str">
        <x:f>IF(OR(M630="",U630=""),"未交叉",IF(M630*U630&gt;0,"同向",IF(M630*U630&lt;0,"背离","一侧持平")))</x:f>
        <x:v>未交叉</x:v>
      </x:c>
    </x:row>
    <x:row r="631">
      <x:c r="A631" s="18" t="str">
        <x:v>store.payproglobal.com</x:v>
      </x:c>
      <x:c r="B631" s="19" t="str">
        <x:v>专用支付/结账入口</x:v>
      </x:c>
      <x:c r="C631" s="19" t="str">
        <x:v>高</x:v>
      </x:c>
      <x:c r="D631" s="19" t="str">
        <x:v>Jul 2026</x:v>
      </x:c>
      <x:c r="E631" s="19" t="n">
        <x:v>88</x:v>
      </x:c>
      <x:c r="F631" s="19" t="str">
        <x:v>webimagedownloader.com</x:v>
      </x:c>
      <x:c r="G631" s="19" t="str">
        <x:v>Adult</x:v>
      </x:c>
      <x:c r="H631" s="19" t="str">
        <x:v>其他/待核查</x:v>
      </x:c>
      <x:c r="I631" s="19" t="str">
        <x:v>保守归类</x:v>
      </x:c>
      <x:c r="J631" s="19" t="n">
        <x:v>208575</x:v>
      </x:c>
      <x:c r="K631" s="20" t="n">
        <x:v>0.0011</x:v>
      </x:c>
      <x:c r="L631" s="19" t="str">
        <x:v>下降</x:v>
      </x:c>
      <x:c r="M631" s="20" t="n">
        <x:v>-0.6589</x:v>
      </x:c>
      <x:c r="N631" s="21" t="n">
        <x:v>300299</x:v>
      </x:c>
      <x:c r="O631" s="21" t="n">
        <x:v>330</x:v>
      </x:c>
      <x:c r="P631" s="21" t="n">
        <x:f>ROUND(N631*K631,0)</x:f>
        <x:v>330</x:v>
      </x:c>
      <x:c r="Q631" s="19" t="str">
        <x:v>否</x:v>
      </x:c>
      <x:c r="R631" s="19" t="str"/>
      <x:c r="S631" s="19" t="n">
        <x:f>IF(Q631="是",0,MIN(10,2+IF(C631="高",2,1)+IF(K631&gt;=3%,3,IF(K631&gt;=1%,2,1))+IF(L631="新出现",2,IF(M631&gt;=100%,3,IF(M631&gt;0,2,0)))))</x:f>
        <x:v>5</x:v>
      </x:c>
      <x:c r="T631" s="21"/>
      <x:c r="U631" s="20"/>
      <x:c r="V631" s="19" t="str">
        <x:v>http://webimagedownloader.com/</x:v>
      </x:c>
      <x:c r="W631" s="19" t="str">
        <x:v>https://pro.similarweb.com/#/digitalsuite/websiteanalysis/referrals/*/999/1m?webSource=Total&amp;selectedTab=incomingTraffic&amp;key=store.payproglobal.com</x:v>
      </x:c>
      <x:c r="X631" s="20" t="n">
        <x:f>IF(Q631="是",0,IFERROR(P631/SUMIFS($P$2:$P$964,$A$2:$A$964,A631,$Q$2:$Q$964,"否"),0))</x:f>
        <x:v>0.001583219789287839</x:v>
      </x:c>
      <x:c r="Y631" s="22" t="str">
        <x:f>IF(OR(M631="",U631=""),"未交叉",IF(M631*U631&gt;0,"同向",IF(M631*U631&lt;0,"背离","一侧持平")))</x:f>
        <x:v>未交叉</x:v>
      </x:c>
    </x:row>
    <x:row r="632">
      <x:c r="A632" s="18" t="str">
        <x:v>store.payproglobal.com</x:v>
      </x:c>
      <x:c r="B632" s="19" t="str">
        <x:v>专用支付/结账入口</x:v>
      </x:c>
      <x:c r="C632" s="19" t="str">
        <x:v>高</x:v>
      </x:c>
      <x:c r="D632" s="19" t="str">
        <x:v>Jul 2026</x:v>
      </x:c>
      <x:c r="E632" s="19" t="n">
        <x:v>89</x:v>
      </x:c>
      <x:c r="F632" s="19" t="str">
        <x:v>cwg-themes.com</x:v>
      </x:c>
      <x:c r="G632" s="19" t="str">
        <x:v>Unknown</x:v>
      </x:c>
      <x:c r="H632" s="19" t="str">
        <x:v>其他/待核查</x:v>
      </x:c>
      <x:c r="I632" s="19" t="str">
        <x:v>Similarweb 未分类</x:v>
      </x:c>
      <x:c r="J632" s="19"/>
      <x:c r="K632" s="20" t="n">
        <x:v>0.0011</x:v>
      </x:c>
      <x:c r="L632" s="19" t="str">
        <x:v>上升</x:v>
      </x:c>
      <x:c r="M632" s="20" t="n">
        <x:v>50</x:v>
      </x:c>
      <x:c r="N632" s="21" t="n">
        <x:v>300299</x:v>
      </x:c>
      <x:c r="O632" s="21" t="n">
        <x:v>330</x:v>
      </x:c>
      <x:c r="P632" s="21" t="n">
        <x:f>ROUND(N632*K632,0)</x:f>
        <x:v>330</x:v>
      </x:c>
      <x:c r="Q632" s="19" t="str">
        <x:v>否</x:v>
      </x:c>
      <x:c r="R632" s="19" t="str"/>
      <x:c r="S632" s="19" t="n">
        <x:f>IF(Q632="是",0,MIN(10,2+IF(C632="高",2,1)+IF(K632&gt;=3%,3,IF(K632&gt;=1%,2,1))+IF(L632="新出现",2,IF(M632&gt;=100%,3,IF(M632&gt;0,2,0)))))</x:f>
        <x:v>8</x:v>
      </x:c>
      <x:c r="T632" s="21"/>
      <x:c r="U632" s="20"/>
      <x:c r="V632" s="19" t="str">
        <x:v>http://cwg-themes.com/</x:v>
      </x:c>
      <x:c r="W632" s="19" t="str">
        <x:v>https://pro.similarweb.com/#/digitalsuite/websiteanalysis/referrals/*/999/1m?webSource=Total&amp;selectedTab=incomingTraffic&amp;key=store.payproglobal.com</x:v>
      </x:c>
      <x:c r="X632" s="20" t="n">
        <x:f>IF(Q632="是",0,IFERROR(P632/SUMIFS($P$2:$P$964,$A$2:$A$964,A632,$Q$2:$Q$964,"否"),0))</x:f>
        <x:v>0.001583219789287839</x:v>
      </x:c>
      <x:c r="Y632" s="22" t="str">
        <x:f>IF(OR(M632="",U632=""),"未交叉",IF(M632*U632&gt;0,"同向",IF(M632*U632&lt;0,"背离","一侧持平")))</x:f>
        <x:v>未交叉</x:v>
      </x:c>
    </x:row>
    <x:row r="633">
      <x:c r="A633" s="18" t="str">
        <x:v>store.payproglobal.com</x:v>
      </x:c>
      <x:c r="B633" s="19" t="str">
        <x:v>专用支付/结账入口</x:v>
      </x:c>
      <x:c r="C633" s="19" t="str">
        <x:v>高</x:v>
      </x:c>
      <x:c r="D633" s="19" t="str">
        <x:v>Jul 2026</x:v>
      </x:c>
      <x:c r="E633" s="19" t="n">
        <x:v>90</x:v>
      </x:c>
      <x:c r="F633" s="19" t="str">
        <x:v>drssoftech.com</x:v>
      </x:c>
      <x:c r="G633" s="19" t="str">
        <x:v>Unknown</x:v>
      </x:c>
      <x:c r="H633" s="19" t="str">
        <x:v>其他/待核查</x:v>
      </x:c>
      <x:c r="I633" s="19" t="str">
        <x:v>Similarweb 未分类</x:v>
      </x:c>
      <x:c r="J633" s="19" t="n">
        <x:v>1421021</x:v>
      </x:c>
      <x:c r="K633" s="20" t="n">
        <x:v>0.001</x:v>
      </x:c>
      <x:c r="L633" s="19" t="str">
        <x:v>上升</x:v>
      </x:c>
      <x:c r="M633" s="20" t="n">
        <x:v>12.6568</x:v>
      </x:c>
      <x:c r="N633" s="21" t="n">
        <x:v>300299</x:v>
      </x:c>
      <x:c r="O633" s="21" t="n">
        <x:v>300</x:v>
      </x:c>
      <x:c r="P633" s="21" t="n">
        <x:f>ROUND(N633*K633,0)</x:f>
        <x:v>300</x:v>
      </x:c>
      <x:c r="Q633" s="19" t="str">
        <x:v>否</x:v>
      </x:c>
      <x:c r="R633" s="19" t="str"/>
      <x:c r="S633" s="19" t="n">
        <x:f>IF(Q633="是",0,MIN(10,2+IF(C633="高",2,1)+IF(K633&gt;=3%,3,IF(K633&gt;=1%,2,1))+IF(L633="新出现",2,IF(M633&gt;=100%,3,IF(M633&gt;0,2,0)))))</x:f>
        <x:v>8</x:v>
      </x:c>
      <x:c r="T633" s="21"/>
      <x:c r="U633" s="20"/>
      <x:c r="V633" s="19" t="str">
        <x:v>http://drssoftech.com/</x:v>
      </x:c>
      <x:c r="W633" s="19" t="str">
        <x:v>https://pro.similarweb.com/#/digitalsuite/websiteanalysis/referrals/*/999/1m?webSource=Total&amp;selectedTab=incomingTraffic&amp;key=store.payproglobal.com</x:v>
      </x:c>
      <x:c r="X633" s="20" t="n">
        <x:f>IF(Q633="是",0,IFERROR(P633/SUMIFS($P$2:$P$964,$A$2:$A$964,A633,$Q$2:$Q$964,"否"),0))</x:f>
        <x:v>0.001439290717534399</x:v>
      </x:c>
      <x:c r="Y633" s="22" t="str">
        <x:f>IF(OR(M633="",U633=""),"未交叉",IF(M633*U633&gt;0,"同向",IF(M633*U633&lt;0,"背离","一侧持平")))</x:f>
        <x:v>未交叉</x:v>
      </x:c>
    </x:row>
    <x:row r="634">
      <x:c r="A634" s="18" t="str">
        <x:v>store.payproglobal.com</x:v>
      </x:c>
      <x:c r="B634" s="19" t="str">
        <x:v>专用支付/结账入口</x:v>
      </x:c>
      <x:c r="C634" s="19" t="str">
        <x:v>高</x:v>
      </x:c>
      <x:c r="D634" s="19" t="str">
        <x:v>Jul 2026</x:v>
      </x:c>
      <x:c r="E634" s="19" t="n">
        <x:v>91</x:v>
      </x:c>
      <x:c r="F634" s="19" t="str">
        <x:v>flipbookpdf.net</x:v>
      </x:c>
      <x:c r="G634" s="19" t="str">
        <x:v>Programming and Developer Software</x:v>
      </x:c>
      <x:c r="H634" s="19" t="str">
        <x:v>开发者工具与互联网基础设施</x:v>
      </x:c>
      <x:c r="I634" s="19" t="str">
        <x:v>Similarweb 行业映射</x:v>
      </x:c>
      <x:c r="J634" s="19" t="n">
        <x:v>111328</x:v>
      </x:c>
      <x:c r="K634" s="20" t="n">
        <x:v>0.001</x:v>
      </x:c>
      <x:c r="L634" s="19" t="str">
        <x:v>下降</x:v>
      </x:c>
      <x:c r="M634" s="20" t="n">
        <x:v>-0.5299</x:v>
      </x:c>
      <x:c r="N634" s="21" t="n">
        <x:v>300299</x:v>
      </x:c>
      <x:c r="O634" s="21" t="n">
        <x:v>300</x:v>
      </x:c>
      <x:c r="P634" s="21" t="n">
        <x:f>ROUND(N634*K634,0)</x:f>
        <x:v>300</x:v>
      </x:c>
      <x:c r="Q634" s="19" t="str">
        <x:v>否</x:v>
      </x:c>
      <x:c r="R634" s="19" t="str"/>
      <x:c r="S634" s="19" t="n">
        <x:f>IF(Q634="是",0,MIN(10,2+IF(C634="高",2,1)+IF(K634&gt;=3%,3,IF(K634&gt;=1%,2,1))+IF(L634="新出现",2,IF(M634&gt;=100%,3,IF(M634&gt;0,2,0)))))</x:f>
        <x:v>5</x:v>
      </x:c>
      <x:c r="T634" s="21"/>
      <x:c r="U634" s="20"/>
      <x:c r="V634" s="19" t="str">
        <x:v>http://flipbookpdf.net/</x:v>
      </x:c>
      <x:c r="W634" s="19" t="str">
        <x:v>https://pro.similarweb.com/#/digitalsuite/websiteanalysis/referrals/*/999/1m?webSource=Total&amp;selectedTab=incomingTraffic&amp;key=store.payproglobal.com</x:v>
      </x:c>
      <x:c r="X634" s="20" t="n">
        <x:f>IF(Q634="是",0,IFERROR(P634/SUMIFS($P$2:$P$964,$A$2:$A$964,A634,$Q$2:$Q$964,"否"),0))</x:f>
        <x:v>0.001439290717534399</x:v>
      </x:c>
      <x:c r="Y634" s="22" t="str">
        <x:f>IF(OR(M634="",U634=""),"未交叉",IF(M634*U634&gt;0,"同向",IF(M634*U634&lt;0,"背离","一侧持平")))</x:f>
        <x:v>未交叉</x:v>
      </x:c>
    </x:row>
    <x:row r="635">
      <x:c r="A635" s="18" t="str">
        <x:v>store.payproglobal.com</x:v>
      </x:c>
      <x:c r="B635" s="19" t="str">
        <x:v>专用支付/结账入口</x:v>
      </x:c>
      <x:c r="C635" s="19" t="str">
        <x:v>高</x:v>
      </x:c>
      <x:c r="D635" s="19" t="str">
        <x:v>Jul 2026</x:v>
      </x:c>
      <x:c r="E635" s="19" t="n">
        <x:v>92</x:v>
      </x:c>
      <x:c r="F635" s="19" t="str">
        <x:v>studio.riffloop.app</x:v>
      </x:c>
      <x:c r="G635" s="19" t="str">
        <x:v>Unknown</x:v>
      </x:c>
      <x:c r="H635" s="19" t="str">
        <x:v>其他/待核查</x:v>
      </x:c>
      <x:c r="I635" s="19" t="str">
        <x:v>Similarweb 未分类</x:v>
      </x:c>
      <x:c r="J635" s="19"/>
      <x:c r="K635" s="20" t="n">
        <x:v>0.0009</x:v>
      </x:c>
      <x:c r="L635" s="19" t="str">
        <x:v>下降</x:v>
      </x:c>
      <x:c r="M635" s="20" t="n">
        <x:v>-0.0526</x:v>
      </x:c>
      <x:c r="N635" s="21" t="n">
        <x:v>300299</x:v>
      </x:c>
      <x:c r="O635" s="21" t="n">
        <x:v>270</x:v>
      </x:c>
      <x:c r="P635" s="21" t="n">
        <x:f>ROUND(N635*K635,0)</x:f>
        <x:v>270</x:v>
      </x:c>
      <x:c r="Q635" s="19" t="str">
        <x:v>否</x:v>
      </x:c>
      <x:c r="R635" s="19" t="str"/>
      <x:c r="S635" s="19" t="n">
        <x:f>IF(Q635="是",0,MIN(10,2+IF(C635="高",2,1)+IF(K635&gt;=3%,3,IF(K635&gt;=1%,2,1))+IF(L635="新出现",2,IF(M635&gt;=100%,3,IF(M635&gt;0,2,0)))))</x:f>
        <x:v>5</x:v>
      </x:c>
      <x:c r="T635" s="21"/>
      <x:c r="U635" s="20"/>
      <x:c r="V635" s="19" t="str">
        <x:v>http://studio.riffloop.app/</x:v>
      </x:c>
      <x:c r="W635" s="19" t="str">
        <x:v>https://pro.similarweb.com/#/digitalsuite/websiteanalysis/referrals/*/999/1m?webSource=Total&amp;selectedTab=incomingTraffic&amp;key=store.payproglobal.com</x:v>
      </x:c>
      <x:c r="X635" s="20" t="n">
        <x:f>IF(Q635="是",0,IFERROR(P635/SUMIFS($P$2:$P$964,$A$2:$A$964,A635,$Q$2:$Q$964,"否"),0))</x:f>
        <x:v>0.0012953616457809592</x:v>
      </x:c>
      <x:c r="Y635" s="22" t="str">
        <x:f>IF(OR(M635="",U635=""),"未交叉",IF(M635*U635&gt;0,"同向",IF(M635*U635&lt;0,"背离","一侧持平")))</x:f>
        <x:v>未交叉</x:v>
      </x:c>
    </x:row>
    <x:row r="636">
      <x:c r="A636" s="18" t="str">
        <x:v>store.payproglobal.com</x:v>
      </x:c>
      <x:c r="B636" s="19" t="str">
        <x:v>专用支付/结账入口</x:v>
      </x:c>
      <x:c r="C636" s="19" t="str">
        <x:v>高</x:v>
      </x:c>
      <x:c r="D636" s="19" t="str">
        <x:v>Jul 2026</x:v>
      </x:c>
      <x:c r="E636" s="19" t="n">
        <x:v>93</x:v>
      </x:c>
      <x:c r="F636" s="19" t="str">
        <x:v>similarityapp.com</x:v>
      </x:c>
      <x:c r="G636" s="19" t="str">
        <x:v>Graphics Multimedia and Web Design</x:v>
      </x:c>
      <x:c r="H636" s="19" t="str">
        <x:v>创作、设计与多媒体工具</x:v>
      </x:c>
      <x:c r="I636" s="19" t="str">
        <x:v>Similarweb 行业映射</x:v>
      </x:c>
      <x:c r="J636" s="19" t="n">
        <x:v>2161917</x:v>
      </x:c>
      <x:c r="K636" s="20" t="n">
        <x:v>0.0009</x:v>
      </x:c>
      <x:c r="L636" s="19" t="str">
        <x:v>新出现</x:v>
      </x:c>
      <x:c r="M636" s="20"/>
      <x:c r="N636" s="21" t="n">
        <x:v>300299</x:v>
      </x:c>
      <x:c r="O636" s="21" t="n">
        <x:v>270</x:v>
      </x:c>
      <x:c r="P636" s="21" t="n">
        <x:f>ROUND(N636*K636,0)</x:f>
        <x:v>270</x:v>
      </x:c>
      <x:c r="Q636" s="19" t="str">
        <x:v>否</x:v>
      </x:c>
      <x:c r="R636" s="19" t="str"/>
      <x:c r="S636" s="19" t="n">
        <x:f>IF(Q636="是",0,MIN(10,2+IF(C636="高",2,1)+IF(K636&gt;=3%,3,IF(K636&gt;=1%,2,1))+IF(L636="新出现",2,IF(M636&gt;=100%,3,IF(M636&gt;0,2,0)))))</x:f>
        <x:v>7</x:v>
      </x:c>
      <x:c r="T636" s="21"/>
      <x:c r="U636" s="20"/>
      <x:c r="V636" s="19" t="str">
        <x:v>http://similarityapp.com/</x:v>
      </x:c>
      <x:c r="W636" s="19" t="str">
        <x:v>https://pro.similarweb.com/#/digitalsuite/websiteanalysis/referrals/*/999/1m?webSource=Total&amp;selectedTab=incomingTraffic&amp;key=store.payproglobal.com</x:v>
      </x:c>
      <x:c r="X636" s="20" t="n">
        <x:f>IF(Q636="是",0,IFERROR(P636/SUMIFS($P$2:$P$964,$A$2:$A$964,A636,$Q$2:$Q$964,"否"),0))</x:f>
        <x:v>0.0012953616457809592</x:v>
      </x:c>
      <x:c r="Y636" s="22" t="str">
        <x:f>IF(OR(M636="",U636=""),"未交叉",IF(M636*U636&gt;0,"同向",IF(M636*U636&lt;0,"背离","一侧持平")))</x:f>
        <x:v>未交叉</x:v>
      </x:c>
    </x:row>
    <x:row r="637">
      <x:c r="A637" s="18" t="str">
        <x:v>store.payproglobal.com</x:v>
      </x:c>
      <x:c r="B637" s="19" t="str">
        <x:v>专用支付/结账入口</x:v>
      </x:c>
      <x:c r="C637" s="19" t="str">
        <x:v>高</x:v>
      </x:c>
      <x:c r="D637" s="19" t="str">
        <x:v>Jul 2026</x:v>
      </x:c>
      <x:c r="E637" s="19" t="n">
        <x:v>94</x:v>
      </x:c>
      <x:c r="F637" s="19" t="str">
        <x:v>timestripe.com</x:v>
      </x:c>
      <x:c r="G637" s="19" t="str">
        <x:v>Computers Electronics and Technology</x:v>
      </x:c>
      <x:c r="H637" s="19" t="str">
        <x:v>通用数字产品与技术服务</x:v>
      </x:c>
      <x:c r="I637" s="19" t="str">
        <x:v>Similarweb 行业映射</x:v>
      </x:c>
      <x:c r="J637" s="19" t="n">
        <x:v>374452</x:v>
      </x:c>
      <x:c r="K637" s="20" t="n">
        <x:v>0.0009</x:v>
      </x:c>
      <x:c r="L637" s="19" t="str">
        <x:v>上升</x:v>
      </x:c>
      <x:c r="M637" s="20" t="n">
        <x:v>5.315499999999999</x:v>
      </x:c>
      <x:c r="N637" s="21" t="n">
        <x:v>300299</x:v>
      </x:c>
      <x:c r="O637" s="21" t="n">
        <x:v>270</x:v>
      </x:c>
      <x:c r="P637" s="21" t="n">
        <x:f>ROUND(N637*K637,0)</x:f>
        <x:v>270</x:v>
      </x:c>
      <x:c r="Q637" s="19" t="str">
        <x:v>是</x:v>
      </x:c>
      <x:c r="R637" s="19" t="str">
        <x:v>支付平台或其内部域名</x:v>
      </x:c>
      <x:c r="S637" s="19" t="n">
        <x:f>IF(Q637="是",0,MIN(10,2+IF(C637="高",2,1)+IF(K637&gt;=3%,3,IF(K637&gt;=1%,2,1))+IF(L637="新出现",2,IF(M637&gt;=100%,3,IF(M637&gt;0,2,0)))))</x:f>
        <x:v>0</x:v>
      </x:c>
      <x:c r="T637" s="21"/>
      <x:c r="U637" s="20"/>
      <x:c r="V637" s="19" t="str">
        <x:v>http://timestripe.com/</x:v>
      </x:c>
      <x:c r="W637" s="19" t="str">
        <x:v>https://pro.similarweb.com/#/digitalsuite/websiteanalysis/referrals/*/999/1m?webSource=Total&amp;selectedTab=incomingTraffic&amp;key=store.payproglobal.com</x:v>
      </x:c>
      <x:c r="X637" s="20" t="n">
        <x:f>IF(Q637="是",0,IFERROR(P637/SUMIFS($P$2:$P$964,$A$2:$A$964,A637,$Q$2:$Q$964,"否"),0))</x:f>
        <x:v>0</x:v>
      </x:c>
      <x:c r="Y637" s="22" t="str">
        <x:f>IF(OR(M637="",U637=""),"未交叉",IF(M637*U637&gt;0,"同向",IF(M637*U637&lt;0,"背离","一侧持平")))</x:f>
        <x:v>未交叉</x:v>
      </x:c>
    </x:row>
    <x:row r="638">
      <x:c r="A638" s="18" t="str">
        <x:v>store.payproglobal.com</x:v>
      </x:c>
      <x:c r="B638" s="19" t="str">
        <x:v>专用支付/结账入口</x:v>
      </x:c>
      <x:c r="C638" s="19" t="str">
        <x:v>高</x:v>
      </x:c>
      <x:c r="D638" s="19" t="str">
        <x:v>Jul 2026</x:v>
      </x:c>
      <x:c r="E638" s="19" t="n">
        <x:v>95</x:v>
      </x:c>
      <x:c r="F638" s="19" t="str">
        <x:v>app.linkchecker.pro</x:v>
      </x:c>
      <x:c r="G638" s="19" t="str">
        <x:v>Computers Electronics and Technology</x:v>
      </x:c>
      <x:c r="H638" s="19" t="str">
        <x:v>通用数字产品与技术服务</x:v>
      </x:c>
      <x:c r="I638" s="19" t="str">
        <x:v>Similarweb 行业映射</x:v>
      </x:c>
      <x:c r="J638" s="19"/>
      <x:c r="K638" s="20" t="n">
        <x:v>0.0009</x:v>
      </x:c>
      <x:c r="L638" s="19" t="str">
        <x:v>上升</x:v>
      </x:c>
      <x:c r="M638" s="20" t="n">
        <x:v>1.7606</x:v>
      </x:c>
      <x:c r="N638" s="21" t="n">
        <x:v>300299</x:v>
      </x:c>
      <x:c r="O638" s="21" t="n">
        <x:v>270</x:v>
      </x:c>
      <x:c r="P638" s="21" t="n">
        <x:f>ROUND(N638*K638,0)</x:f>
        <x:v>270</x:v>
      </x:c>
      <x:c r="Q638" s="19" t="str">
        <x:v>否</x:v>
      </x:c>
      <x:c r="R638" s="19" t="str"/>
      <x:c r="S638" s="19" t="n">
        <x:f>IF(Q638="是",0,MIN(10,2+IF(C638="高",2,1)+IF(K638&gt;=3%,3,IF(K638&gt;=1%,2,1))+IF(L638="新出现",2,IF(M638&gt;=100%,3,IF(M638&gt;0,2,0)))))</x:f>
        <x:v>8</x:v>
      </x:c>
      <x:c r="T638" s="21"/>
      <x:c r="U638" s="20"/>
      <x:c r="V638" s="19" t="str">
        <x:v>http://app.linkchecker.pro/</x:v>
      </x:c>
      <x:c r="W638" s="19" t="str">
        <x:v>https://pro.similarweb.com/#/digitalsuite/websiteanalysis/referrals/*/999/1m?webSource=Total&amp;selectedTab=incomingTraffic&amp;key=store.payproglobal.com</x:v>
      </x:c>
      <x:c r="X638" s="20" t="n">
        <x:f>IF(Q638="是",0,IFERROR(P638/SUMIFS($P$2:$P$964,$A$2:$A$964,A638,$Q$2:$Q$964,"否"),0))</x:f>
        <x:v>0.0012953616457809592</x:v>
      </x:c>
      <x:c r="Y638" s="22" t="str">
        <x:f>IF(OR(M638="",U638=""),"未交叉",IF(M638*U638&gt;0,"同向",IF(M638*U638&lt;0,"背离","一侧持平")))</x:f>
        <x:v>未交叉</x:v>
      </x:c>
    </x:row>
    <x:row r="639">
      <x:c r="A639" s="18" t="str">
        <x:v>store.payproglobal.com</x:v>
      </x:c>
      <x:c r="B639" s="19" t="str">
        <x:v>专用支付/结账入口</x:v>
      </x:c>
      <x:c r="C639" s="19" t="str">
        <x:v>高</x:v>
      </x:c>
      <x:c r="D639" s="19" t="str">
        <x:v>Jul 2026</x:v>
      </x:c>
      <x:c r="E639" s="19" t="n">
        <x:v>96</x:v>
      </x:c>
      <x:c r="F639" s="19" t="str">
        <x:v>isobuster.com</x:v>
      </x:c>
      <x:c r="G639" s="19" t="str">
        <x:v>Computers Electronics and Technology</x:v>
      </x:c>
      <x:c r="H639" s="19" t="str">
        <x:v>通用数字产品与技术服务</x:v>
      </x:c>
      <x:c r="I639" s="19" t="str">
        <x:v>Similarweb 行业映射</x:v>
      </x:c>
      <x:c r="J639" s="19" t="n">
        <x:v>550722</x:v>
      </x:c>
      <x:c r="K639" s="20" t="n">
        <x:v>0.0009</x:v>
      </x:c>
      <x:c r="L639" s="19" t="str">
        <x:v>下降</x:v>
      </x:c>
      <x:c r="M639" s="20" t="n">
        <x:v>-0.37560000000000004</x:v>
      </x:c>
      <x:c r="N639" s="21" t="n">
        <x:v>300299</x:v>
      </x:c>
      <x:c r="O639" s="21" t="n">
        <x:v>270</x:v>
      </x:c>
      <x:c r="P639" s="21" t="n">
        <x:f>ROUND(N639*K639,0)</x:f>
        <x:v>270</x:v>
      </x:c>
      <x:c r="Q639" s="19" t="str">
        <x:v>否</x:v>
      </x:c>
      <x:c r="R639" s="19" t="str"/>
      <x:c r="S639" s="19" t="n">
        <x:f>IF(Q639="是",0,MIN(10,2+IF(C639="高",2,1)+IF(K639&gt;=3%,3,IF(K639&gt;=1%,2,1))+IF(L639="新出现",2,IF(M639&gt;=100%,3,IF(M639&gt;0,2,0)))))</x:f>
        <x:v>5</x:v>
      </x:c>
      <x:c r="T639" s="21"/>
      <x:c r="U639" s="20"/>
      <x:c r="V639" s="19" t="str">
        <x:v>http://isobuster.com/</x:v>
      </x:c>
      <x:c r="W639" s="19" t="str">
        <x:v>https://pro.similarweb.com/#/digitalsuite/websiteanalysis/referrals/*/999/1m?webSource=Total&amp;selectedTab=incomingTraffic&amp;key=store.payproglobal.com</x:v>
      </x:c>
      <x:c r="X639" s="20" t="n">
        <x:f>IF(Q639="是",0,IFERROR(P639/SUMIFS($P$2:$P$964,$A$2:$A$964,A639,$Q$2:$Q$964,"否"),0))</x:f>
        <x:v>0.0012953616457809592</x:v>
      </x:c>
      <x:c r="Y639" s="22" t="str">
        <x:f>IF(OR(M639="",U639=""),"未交叉",IF(M639*U639&gt;0,"同向",IF(M639*U639&lt;0,"背离","一侧持平")))</x:f>
        <x:v>未交叉</x:v>
      </x:c>
    </x:row>
    <x:row r="640">
      <x:c r="A640" s="18" t="str">
        <x:v>store.payproglobal.com</x:v>
      </x:c>
      <x:c r="B640" s="19" t="str">
        <x:v>专用支付/结账入口</x:v>
      </x:c>
      <x:c r="C640" s="19" t="str">
        <x:v>高</x:v>
      </x:c>
      <x:c r="D640" s="19" t="str">
        <x:v>Jul 2026</x:v>
      </x:c>
      <x:c r="E640" s="19" t="n">
        <x:v>97</x:v>
      </x:c>
      <x:c r="F640" s="19" t="str">
        <x:v>thesoftware.shop</x:v>
      </x:c>
      <x:c r="G640" s="19" t="str">
        <x:v>Programming and Developer Software</x:v>
      </x:c>
      <x:c r="H640" s="19" t="str">
        <x:v>开发者工具与互联网基础设施</x:v>
      </x:c>
      <x:c r="I640" s="19" t="str">
        <x:v>Similarweb 行业映射</x:v>
      </x:c>
      <x:c r="J640" s="19" t="n">
        <x:v>238068</x:v>
      </x:c>
      <x:c r="K640" s="20" t="n">
        <x:v>0.0009</x:v>
      </x:c>
      <x:c r="L640" s="19" t="str">
        <x:v>下降</x:v>
      </x:c>
      <x:c r="M640" s="20" t="n">
        <x:v>-0.6439</x:v>
      </x:c>
      <x:c r="N640" s="21" t="n">
        <x:v>300299</x:v>
      </x:c>
      <x:c r="O640" s="21" t="n">
        <x:v>270</x:v>
      </x:c>
      <x:c r="P640" s="21" t="n">
        <x:f>ROUND(N640*K640,0)</x:f>
        <x:v>270</x:v>
      </x:c>
      <x:c r="Q640" s="19" t="str">
        <x:v>否</x:v>
      </x:c>
      <x:c r="R640" s="19" t="str"/>
      <x:c r="S640" s="19" t="n">
        <x:f>IF(Q640="是",0,MIN(10,2+IF(C640="高",2,1)+IF(K640&gt;=3%,3,IF(K640&gt;=1%,2,1))+IF(L640="新出现",2,IF(M640&gt;=100%,3,IF(M640&gt;0,2,0)))))</x:f>
        <x:v>5</x:v>
      </x:c>
      <x:c r="T640" s="21"/>
      <x:c r="U640" s="20"/>
      <x:c r="V640" s="19" t="str">
        <x:v>http://thesoftware.shop/</x:v>
      </x:c>
      <x:c r="W640" s="19" t="str">
        <x:v>https://pro.similarweb.com/#/digitalsuite/websiteanalysis/referrals/*/999/1m?webSource=Total&amp;selectedTab=incomingTraffic&amp;key=store.payproglobal.com</x:v>
      </x:c>
      <x:c r="X640" s="20" t="n">
        <x:f>IF(Q640="是",0,IFERROR(P640/SUMIFS($P$2:$P$964,$A$2:$A$964,A640,$Q$2:$Q$964,"否"),0))</x:f>
        <x:v>0.0012953616457809592</x:v>
      </x:c>
      <x:c r="Y640" s="22" t="str">
        <x:f>IF(OR(M640="",U640=""),"未交叉",IF(M640*U640&gt;0,"同向",IF(M640*U640&lt;0,"背离","一侧持平")))</x:f>
        <x:v>未交叉</x:v>
      </x:c>
    </x:row>
    <x:row r="641">
      <x:c r="A641" s="18" t="str">
        <x:v>store.payproglobal.com</x:v>
      </x:c>
      <x:c r="B641" s="19" t="str">
        <x:v>专用支付/结账入口</x:v>
      </x:c>
      <x:c r="C641" s="19" t="str">
        <x:v>高</x:v>
      </x:c>
      <x:c r="D641" s="19" t="str">
        <x:v>Jul 2026</x:v>
      </x:c>
      <x:c r="E641" s="19" t="n">
        <x:v>98</x:v>
      </x:c>
      <x:c r="F641" s="19" t="str">
        <x:v>diskinternals.com</x:v>
      </x:c>
      <x:c r="G641" s="19" t="str">
        <x:v>Programming and Developer Software</x:v>
      </x:c>
      <x:c r="H641" s="19" t="str">
        <x:v>开发者工具与互联网基础设施</x:v>
      </x:c>
      <x:c r="I641" s="19" t="str">
        <x:v>Similarweb 行业映射</x:v>
      </x:c>
      <x:c r="J641" s="19" t="n">
        <x:v>216441</x:v>
      </x:c>
      <x:c r="K641" s="20" t="n">
        <x:v>0.0009</x:v>
      </x:c>
      <x:c r="L641" s="19" t="str">
        <x:v>上升</x:v>
      </x:c>
      <x:c r="M641" s="20" t="n">
        <x:v>1.1776</x:v>
      </x:c>
      <x:c r="N641" s="21" t="n">
        <x:v>300299</x:v>
      </x:c>
      <x:c r="O641" s="21" t="n">
        <x:v>270</x:v>
      </x:c>
      <x:c r="P641" s="21" t="n">
        <x:f>ROUND(N641*K641,0)</x:f>
        <x:v>270</x:v>
      </x:c>
      <x:c r="Q641" s="19" t="str">
        <x:v>否</x:v>
      </x:c>
      <x:c r="R641" s="19" t="str"/>
      <x:c r="S641" s="19" t="n">
        <x:f>IF(Q641="是",0,MIN(10,2+IF(C641="高",2,1)+IF(K641&gt;=3%,3,IF(K641&gt;=1%,2,1))+IF(L641="新出现",2,IF(M641&gt;=100%,3,IF(M641&gt;0,2,0)))))</x:f>
        <x:v>8</x:v>
      </x:c>
      <x:c r="T641" s="21"/>
      <x:c r="U641" s="20"/>
      <x:c r="V641" s="19" t="str">
        <x:v>http://diskinternals.com/</x:v>
      </x:c>
      <x:c r="W641" s="19" t="str">
        <x:v>https://pro.similarweb.com/#/digitalsuite/websiteanalysis/referrals/*/999/1m?webSource=Total&amp;selectedTab=incomingTraffic&amp;key=store.payproglobal.com</x:v>
      </x:c>
      <x:c r="X641" s="20" t="n">
        <x:f>IF(Q641="是",0,IFERROR(P641/SUMIFS($P$2:$P$964,$A$2:$A$964,A641,$Q$2:$Q$964,"否"),0))</x:f>
        <x:v>0.0012953616457809592</x:v>
      </x:c>
      <x:c r="Y641" s="22" t="str">
        <x:f>IF(OR(M641="",U641=""),"未交叉",IF(M641*U641&gt;0,"同向",IF(M641*U641&lt;0,"背离","一侧持平")))</x:f>
        <x:v>未交叉</x:v>
      </x:c>
    </x:row>
    <x:row r="642">
      <x:c r="A642" s="18" t="str">
        <x:v>store.payproglobal.com</x:v>
      </x:c>
      <x:c r="B642" s="19" t="str">
        <x:v>专用支付/结账入口</x:v>
      </x:c>
      <x:c r="C642" s="19" t="str">
        <x:v>高</x:v>
      </x:c>
      <x:c r="D642" s="19" t="str">
        <x:v>Jul 2026</x:v>
      </x:c>
      <x:c r="E642" s="19" t="n">
        <x:v>99</x:v>
      </x:c>
      <x:c r="F642" s="19" t="str">
        <x:v>klennet.com</x:v>
      </x:c>
      <x:c r="G642" s="19" t="str">
        <x:v>Programming and Developer Software</x:v>
      </x:c>
      <x:c r="H642" s="19" t="str">
        <x:v>开发者工具与互联网基础设施</x:v>
      </x:c>
      <x:c r="I642" s="19" t="str">
        <x:v>Similarweb 行业映射</x:v>
      </x:c>
      <x:c r="J642" s="19" t="n">
        <x:v>2295237</x:v>
      </x:c>
      <x:c r="K642" s="20" t="n">
        <x:v>0.0008</x:v>
      </x:c>
      <x:c r="L642" s="19" t="str">
        <x:v>上升</x:v>
      </x:c>
      <x:c r="M642" s="20" t="n">
        <x:v>10.588199999999999</x:v>
      </x:c>
      <x:c r="N642" s="21" t="n">
        <x:v>300299</x:v>
      </x:c>
      <x:c r="O642" s="21" t="n">
        <x:v>240</x:v>
      </x:c>
      <x:c r="P642" s="21" t="n">
        <x:f>ROUND(N642*K642,0)</x:f>
        <x:v>240</x:v>
      </x:c>
      <x:c r="Q642" s="19" t="str">
        <x:v>否</x:v>
      </x:c>
      <x:c r="R642" s="19" t="str"/>
      <x:c r="S642" s="19" t="n">
        <x:f>IF(Q642="是",0,MIN(10,2+IF(C642="高",2,1)+IF(K642&gt;=3%,3,IF(K642&gt;=1%,2,1))+IF(L642="新出现",2,IF(M642&gt;=100%,3,IF(M642&gt;0,2,0)))))</x:f>
        <x:v>8</x:v>
      </x:c>
      <x:c r="T642" s="21"/>
      <x:c r="U642" s="20"/>
      <x:c r="V642" s="19" t="str">
        <x:v>http://klennet.com/</x:v>
      </x:c>
      <x:c r="W642" s="19" t="str">
        <x:v>https://pro.similarweb.com/#/digitalsuite/websiteanalysis/referrals/*/999/1m?webSource=Total&amp;selectedTab=incomingTraffic&amp;key=store.payproglobal.com</x:v>
      </x:c>
      <x:c r="X642" s="20" t="n">
        <x:f>IF(Q642="是",0,IFERROR(P642/SUMIFS($P$2:$P$964,$A$2:$A$964,A642,$Q$2:$Q$964,"否"),0))</x:f>
        <x:v>0.0011514325740275193</x:v>
      </x:c>
      <x:c r="Y642" s="22" t="str">
        <x:f>IF(OR(M642="",U642=""),"未交叉",IF(M642*U642&gt;0,"同向",IF(M642*U642&lt;0,"背离","一侧持平")))</x:f>
        <x:v>未交叉</x:v>
      </x:c>
    </x:row>
    <x:row r="643">
      <x:c r="A643" s="18" t="str">
        <x:v>store.payproglobal.com</x:v>
      </x:c>
      <x:c r="B643" s="19" t="str">
        <x:v>专用支付/结账入口</x:v>
      </x:c>
      <x:c r="C643" s="19" t="str">
        <x:v>高</x:v>
      </x:c>
      <x:c r="D643" s="19" t="str">
        <x:v>Jul 2026</x:v>
      </x:c>
      <x:c r="E643" s="19" t="n">
        <x:v>100</x:v>
      </x:c>
      <x:c r="F643" s="19" t="str">
        <x:v>photo-works.net</x:v>
      </x:c>
      <x:c r="G643" s="19" t="str">
        <x:v>Programming and Developer Software</x:v>
      </x:c>
      <x:c r="H643" s="19" t="str">
        <x:v>开发者工具与互联网基础设施</x:v>
      </x:c>
      <x:c r="I643" s="19" t="str">
        <x:v>Similarweb 行业映射</x:v>
      </x:c>
      <x:c r="J643" s="19" t="n">
        <x:v>954329</x:v>
      </x:c>
      <x:c r="K643" s="20" t="n">
        <x:v>0.0008</x:v>
      </x:c>
      <x:c r="L643" s="19" t="str">
        <x:v>下降</x:v>
      </x:c>
      <x:c r="M643" s="20" t="n">
        <x:v>-0.23629999999999998</x:v>
      </x:c>
      <x:c r="N643" s="21" t="n">
        <x:v>300299</x:v>
      </x:c>
      <x:c r="O643" s="21" t="n">
        <x:v>240</x:v>
      </x:c>
      <x:c r="P643" s="21" t="n">
        <x:f>ROUND(N643*K643,0)</x:f>
        <x:v>240</x:v>
      </x:c>
      <x:c r="Q643" s="19" t="str">
        <x:v>否</x:v>
      </x:c>
      <x:c r="R643" s="19" t="str"/>
      <x:c r="S643" s="19" t="n">
        <x:f>IF(Q643="是",0,MIN(10,2+IF(C643="高",2,1)+IF(K643&gt;=3%,3,IF(K643&gt;=1%,2,1))+IF(L643="新出现",2,IF(M643&gt;=100%,3,IF(M643&gt;0,2,0)))))</x:f>
        <x:v>5</x:v>
      </x:c>
      <x:c r="T643" s="21"/>
      <x:c r="U643" s="20"/>
      <x:c r="V643" s="19" t="str">
        <x:v>http://photo-works.net/</x:v>
      </x:c>
      <x:c r="W643" s="19" t="str">
        <x:v>https://pro.similarweb.com/#/digitalsuite/websiteanalysis/referrals/*/999/1m?webSource=Total&amp;selectedTab=incomingTraffic&amp;key=store.payproglobal.com</x:v>
      </x:c>
      <x:c r="X643" s="20" t="n">
        <x:f>IF(Q643="是",0,IFERROR(P643/SUMIFS($P$2:$P$964,$A$2:$A$964,A643,$Q$2:$Q$964,"否"),0))</x:f>
        <x:v>0.0011514325740275193</x:v>
      </x:c>
      <x:c r="Y643" s="22" t="str">
        <x:f>IF(OR(M643="",U643=""),"未交叉",IF(M643*U643&gt;0,"同向",IF(M643*U643&lt;0,"背离","一侧持平")))</x:f>
        <x:v>未交叉</x:v>
      </x:c>
    </x:row>
    <x:row r="644">
      <x:c r="A644" s="18" t="str">
        <x:v>sites.fastspring.com</x:v>
      </x:c>
      <x:c r="B644" s="19" t="str">
        <x:v>专用支付/结账入口</x:v>
      </x:c>
      <x:c r="C644" s="19" t="str">
        <x:v>高</x:v>
      </x:c>
      <x:c r="D644" s="19" t="str">
        <x:v>Jul 2026</x:v>
      </x:c>
      <x:c r="E644" s="19" t="n">
        <x:v>1</x:v>
      </x:c>
      <x:c r="F644" s="19" t="str">
        <x:v>Referral</x:v>
      </x:c>
      <x:c r="G644" s="19" t="str">
        <x:v>Unknown</x:v>
      </x:c>
      <x:c r="H644" s="19" t="str">
        <x:v>其他/待核查</x:v>
      </x:c>
      <x:c r="I644" s="19" t="str">
        <x:v>Similarweb 未分类</x:v>
      </x:c>
      <x:c r="J644" s="19"/>
      <x:c r="K644" s="20" t="n">
        <x:v>0.2288</x:v>
      </x:c>
      <x:c r="L644" s="19" t="str">
        <x:v>下降</x:v>
      </x:c>
      <x:c r="M644" s="20" t="n">
        <x:v>-0.2879</x:v>
      </x:c>
      <x:c r="N644" s="21" t="n">
        <x:v>107449</x:v>
      </x:c>
      <x:c r="O644" s="21" t="n">
        <x:v>24584</x:v>
      </x:c>
      <x:c r="P644" s="21" t="n">
        <x:f>ROUND(N644*K644,0)</x:f>
        <x:v>24584</x:v>
      </x:c>
      <x:c r="Q644" s="19" t="str">
        <x:v>是</x:v>
      </x:c>
      <x:c r="R644" s="19" t="str">
        <x:v>无效/聚合标签</x:v>
      </x:c>
      <x:c r="S644" s="19" t="n">
        <x:f>IF(Q644="是",0,MIN(10,2+IF(C644="高",2,1)+IF(K644&gt;=3%,3,IF(K644&gt;=1%,2,1))+IF(L644="新出现",2,IF(M644&gt;=100%,3,IF(M644&gt;0,2,0)))))</x:f>
        <x:v>0</x:v>
      </x:c>
      <x:c r="T644" s="21"/>
      <x:c r="U644" s="20"/>
      <x:c r="V644" s="19" t="str">
        <x:v>http://referral/</x:v>
      </x:c>
      <x:c r="W644" s="19" t="str">
        <x:v>https://pro.similarweb.com/#/digitalsuite/websiteanalysis/referrals/*/999/1m?webSource=Total&amp;selectedTab=incomingTraffic&amp;key=sites.fastspring.com</x:v>
      </x:c>
      <x:c r="X644" s="20" t="n">
        <x:f>IF(Q644="是",0,IFERROR(P644/SUMIFS($P$2:$P$964,$A$2:$A$964,A644,$Q$2:$Q$964,"否"),0))</x:f>
        <x:v>0</x:v>
      </x:c>
      <x:c r="Y644" s="22" t="str">
        <x:f>IF(OR(M644="",U644=""),"未交叉",IF(M644*U644&gt;0,"同向",IF(M644*U644&lt;0,"背离","一侧持平")))</x:f>
        <x:v>未交叉</x:v>
      </x:c>
    </x:row>
    <x:row r="645">
      <x:c r="A645" s="18" t="str">
        <x:v>sites.fastspring.com</x:v>
      </x:c>
      <x:c r="B645" s="19" t="str">
        <x:v>专用支付/结账入口</x:v>
      </x:c>
      <x:c r="C645" s="19" t="str">
        <x:v>高</x:v>
      </x:c>
      <x:c r="D645" s="19" t="str">
        <x:v>Jul 2026</x:v>
      </x:c>
      <x:c r="E645" s="19" t="n">
        <x:v>2</x:v>
      </x:c>
      <x:c r="F645" s="19" t="str">
        <x:v>reaper.fm</x:v>
      </x:c>
      <x:c r="G645" s="19" t="str">
        <x:v>Programming and Developer Software</x:v>
      </x:c>
      <x:c r="H645" s="19" t="str">
        <x:v>桌面/移动端专业工具</x:v>
      </x:c>
      <x:c r="I645" s="19" t="str">
        <x:v>域名人工识别</x:v>
      </x:c>
      <x:c r="J645" s="19" t="n">
        <x:v>50447</x:v>
      </x:c>
      <x:c r="K645" s="20" t="n">
        <x:v>0.2104</x:v>
      </x:c>
      <x:c r="L645" s="19" t="str">
        <x:v>下降</x:v>
      </x:c>
      <x:c r="M645" s="20" t="n">
        <x:v>-0.1404</x:v>
      </x:c>
      <x:c r="N645" s="21" t="n">
        <x:v>107449</x:v>
      </x:c>
      <x:c r="O645" s="21" t="n">
        <x:v>22607</x:v>
      </x:c>
      <x:c r="P645" s="21" t="n">
        <x:f>ROUND(N645*K645,0)</x:f>
        <x:v>22607</x:v>
      </x:c>
      <x:c r="Q645" s="19" t="str">
        <x:v>否</x:v>
      </x:c>
      <x:c r="R645" s="19" t="str"/>
      <x:c r="S645" s="19" t="n">
        <x:f>IF(Q645="是",0,MIN(10,2+IF(C645="高",2,1)+IF(K645&gt;=3%,3,IF(K645&gt;=1%,2,1))+IF(L645="新出现",2,IF(M645&gt;=100%,3,IF(M645&gt;0,2,0)))))</x:f>
        <x:v>7</x:v>
      </x:c>
      <x:c r="T645" s="21"/>
      <x:c r="U645" s="20"/>
      <x:c r="V645" s="19" t="str">
        <x:v>http://reaper.fm/</x:v>
      </x:c>
      <x:c r="W645" s="19" t="str">
        <x:v>https://pro.similarweb.com/#/digitalsuite/websiteanalysis/referrals/*/999/1m?webSource=Total&amp;selectedTab=incomingTraffic&amp;key=sites.fastspring.com</x:v>
      </x:c>
      <x:c r="X645" s="20" t="n">
        <x:f>IF(Q645="是",0,IFERROR(P645/SUMIFS($P$2:$P$964,$A$2:$A$964,A645,$Q$2:$Q$964,"否"),0))</x:f>
        <x:v>0.27993511478738947</x:v>
      </x:c>
      <x:c r="Y645" s="22" t="str">
        <x:f>IF(OR(M645="",U645=""),"未交叉",IF(M645*U645&gt;0,"同向",IF(M645*U645&lt;0,"背离","一侧持平")))</x:f>
        <x:v>未交叉</x:v>
      </x:c>
    </x:row>
    <x:row r="646">
      <x:c r="A646" s="18" t="str">
        <x:v>sites.fastspring.com</x:v>
      </x:c>
      <x:c r="B646" s="19" t="str">
        <x:v>专用支付/结账入口</x:v>
      </x:c>
      <x:c r="C646" s="19" t="str">
        <x:v>高</x:v>
      </x:c>
      <x:c r="D646" s="19" t="str">
        <x:v>Jul 2026</x:v>
      </x:c>
      <x:c r="E646" s="19" t="n">
        <x:v>3</x:v>
      </x:c>
      <x:c r="F646" s="19" t="str">
        <x:v>bombich.com</x:v>
      </x:c>
      <x:c r="G646" s="19" t="str">
        <x:v>Computers Electronics and Technology</x:v>
      </x:c>
      <x:c r="H646" s="19" t="str">
        <x:v>桌面/移动端专业工具</x:v>
      </x:c>
      <x:c r="I646" s="19" t="str">
        <x:v>域名人工识别</x:v>
      </x:c>
      <x:c r="J646" s="19" t="n">
        <x:v>444341</x:v>
      </x:c>
      <x:c r="K646" s="20" t="n">
        <x:v>0.1476</x:v>
      </x:c>
      <x:c r="L646" s="19" t="str">
        <x:v>上升</x:v>
      </x:c>
      <x:c r="M646" s="20" t="n">
        <x:v>0.9797</x:v>
      </x:c>
      <x:c r="N646" s="21" t="n">
        <x:v>107449</x:v>
      </x:c>
      <x:c r="O646" s="21" t="n">
        <x:v>15859</x:v>
      </x:c>
      <x:c r="P646" s="21" t="n">
        <x:f>ROUND(N646*K646,0)</x:f>
        <x:v>15859</x:v>
      </x:c>
      <x:c r="Q646" s="19" t="str">
        <x:v>否</x:v>
      </x:c>
      <x:c r="R646" s="19" t="str"/>
      <x:c r="S646" s="19" t="n">
        <x:f>IF(Q646="是",0,MIN(10,2+IF(C646="高",2,1)+IF(K646&gt;=3%,3,IF(K646&gt;=1%,2,1))+IF(L646="新出现",2,IF(M646&gt;=100%,3,IF(M646&gt;0,2,0)))))</x:f>
        <x:v>9</x:v>
      </x:c>
      <x:c r="T646" s="21"/>
      <x:c r="U646" s="20"/>
      <x:c r="V646" s="19" t="str">
        <x:v>http://bombich.com/</x:v>
      </x:c>
      <x:c r="W646" s="19" t="str">
        <x:v>https://pro.similarweb.com/#/digitalsuite/websiteanalysis/referrals/*/999/1m?webSource=Total&amp;selectedTab=incomingTraffic&amp;key=sites.fastspring.com</x:v>
      </x:c>
      <x:c r="X646" s="20" t="n">
        <x:f>IF(Q646="是",0,IFERROR(P646/SUMIFS($P$2:$P$964,$A$2:$A$964,A646,$Q$2:$Q$964,"否"),0))</x:f>
        <x:v>0.1963768295401075</x:v>
      </x:c>
      <x:c r="Y646" s="22" t="str">
        <x:f>IF(OR(M646="",U646=""),"未交叉",IF(M646*U646&gt;0,"同向",IF(M646*U646&lt;0,"背离","一侧持平")))</x:f>
        <x:v>未交叉</x:v>
      </x:c>
    </x:row>
    <x:row r="647">
      <x:c r="A647" s="18" t="str">
        <x:v>sites.fastspring.com</x:v>
      </x:c>
      <x:c r="B647" s="19" t="str">
        <x:v>专用支付/结账入口</x:v>
      </x:c>
      <x:c r="C647" s="19" t="str">
        <x:v>高</x:v>
      </x:c>
      <x:c r="D647" s="19" t="str">
        <x:v>Jul 2026</x:v>
      </x:c>
      <x:c r="E647" s="19" t="n">
        <x:v>4</x:v>
      </x:c>
      <x:c r="F647" s="19" t="str">
        <x:v>mediahuman.com</x:v>
      </x:c>
      <x:c r="G647" s="19" t="str">
        <x:v>Computers Electronics and Technology</x:v>
      </x:c>
      <x:c r="H647" s="19" t="str">
        <x:v>桌面/移动端专业工具</x:v>
      </x:c>
      <x:c r="I647" s="19" t="str">
        <x:v>域名人工识别</x:v>
      </x:c>
      <x:c r="J647" s="19" t="n">
        <x:v>86093</x:v>
      </x:c>
      <x:c r="K647" s="20" t="n">
        <x:v>0.040999999999999995</x:v>
      </x:c>
      <x:c r="L647" s="19" t="str">
        <x:v>下降</x:v>
      </x:c>
      <x:c r="M647" s="20" t="n">
        <x:v>-0.0183</x:v>
      </x:c>
      <x:c r="N647" s="21" t="n">
        <x:v>107449</x:v>
      </x:c>
      <x:c r="O647" s="21" t="n">
        <x:v>4405</x:v>
      </x:c>
      <x:c r="P647" s="21" t="n">
        <x:f>ROUND(N647*K647,0)</x:f>
        <x:v>4405</x:v>
      </x:c>
      <x:c r="Q647" s="19" t="str">
        <x:v>否</x:v>
      </x:c>
      <x:c r="R647" s="19" t="str"/>
      <x:c r="S647" s="19" t="n">
        <x:f>IF(Q647="是",0,MIN(10,2+IF(C647="高",2,1)+IF(K647&gt;=3%,3,IF(K647&gt;=1%,2,1))+IF(L647="新出现",2,IF(M647&gt;=100%,3,IF(M647&gt;0,2,0)))))</x:f>
        <x:v>7</x:v>
      </x:c>
      <x:c r="T647" s="21"/>
      <x:c r="U647" s="20"/>
      <x:c r="V647" s="19" t="str">
        <x:v>http://mediahuman.com/</x:v>
      </x:c>
      <x:c r="W647" s="19" t="str">
        <x:v>https://pro.similarweb.com/#/digitalsuite/websiteanalysis/referrals/*/999/1m?webSource=Total&amp;selectedTab=incomingTraffic&amp;key=sites.fastspring.com</x:v>
      </x:c>
      <x:c r="X647" s="20" t="n">
        <x:f>IF(Q647="是",0,IFERROR(P647/SUMIFS($P$2:$P$964,$A$2:$A$964,A647,$Q$2:$Q$964,"否"),0))</x:f>
        <x:v>0.05454567968498477</x:v>
      </x:c>
      <x:c r="Y647" s="22" t="str">
        <x:f>IF(OR(M647="",U647=""),"未交叉",IF(M647*U647&gt;0,"同向",IF(M647*U647&lt;0,"背离","一侧持平")))</x:f>
        <x:v>未交叉</x:v>
      </x:c>
    </x:row>
    <x:row r="648">
      <x:c r="A648" s="18" t="str">
        <x:v>sites.fastspring.com</x:v>
      </x:c>
      <x:c r="B648" s="19" t="str">
        <x:v>专用支付/结账入口</x:v>
      </x:c>
      <x:c r="C648" s="19" t="str">
        <x:v>高</x:v>
      </x:c>
      <x:c r="D648" s="19" t="str">
        <x:v>Jul 2026</x:v>
      </x:c>
      <x:c r="E648" s="19" t="n">
        <x:v>5</x:v>
      </x:c>
      <x:c r="F648" s="19" t="str">
        <x:v>mackiev.com</x:v>
      </x:c>
      <x:c r="G648" s="19" t="str">
        <x:v>Community and Society</x:v>
      </x:c>
      <x:c r="H648" s="19" t="str">
        <x:v>桌面/移动端专业工具</x:v>
      </x:c>
      <x:c r="I648" s="19" t="str">
        <x:v>域名人工识别</x:v>
      </x:c>
      <x:c r="J648" s="19" t="n">
        <x:v>211959</x:v>
      </x:c>
      <x:c r="K648" s="20" t="n">
        <x:v>0.0347</x:v>
      </x:c>
      <x:c r="L648" s="19" t="str">
        <x:v>新出现</x:v>
      </x:c>
      <x:c r="M648" s="20"/>
      <x:c r="N648" s="21" t="n">
        <x:v>107449</x:v>
      </x:c>
      <x:c r="O648" s="21" t="n">
        <x:v>3728</x:v>
      </x:c>
      <x:c r="P648" s="21" t="n">
        <x:f>ROUND(N648*K648,0)</x:f>
        <x:v>3728</x:v>
      </x:c>
      <x:c r="Q648" s="19" t="str">
        <x:v>否</x:v>
      </x:c>
      <x:c r="R648" s="19" t="str"/>
      <x:c r="S648" s="19" t="n">
        <x:f>IF(Q648="是",0,MIN(10,2+IF(C648="高",2,1)+IF(K648&gt;=3%,3,IF(K648&gt;=1%,2,1))+IF(L648="新出现",2,IF(M648&gt;=100%,3,IF(M648&gt;0,2,0)))))</x:f>
        <x:v>9</x:v>
      </x:c>
      <x:c r="T648" s="21"/>
      <x:c r="U648" s="20"/>
      <x:c r="V648" s="19" t="str">
        <x:v>http://mackiev.com/</x:v>
      </x:c>
      <x:c r="W648" s="19" t="str">
        <x:v>https://pro.similarweb.com/#/digitalsuite/websiteanalysis/referrals/*/999/1m?webSource=Total&amp;selectedTab=incomingTraffic&amp;key=sites.fastspring.com</x:v>
      </x:c>
      <x:c r="X648" s="20" t="n">
        <x:f>IF(Q648="是",0,IFERROR(P648/SUMIFS($P$2:$P$964,$A$2:$A$964,A648,$Q$2:$Q$964,"否"),0))</x:f>
        <x:v>0.04616260927709948</x:v>
      </x:c>
      <x:c r="Y648" s="22" t="str">
        <x:f>IF(OR(M648="",U648=""),"未交叉",IF(M648*U648&gt;0,"同向",IF(M648*U648&lt;0,"背离","一侧持平")))</x:f>
        <x:v>未交叉</x:v>
      </x:c>
    </x:row>
    <x:row r="649">
      <x:c r="A649" s="18" t="str">
        <x:v>sites.fastspring.com</x:v>
      </x:c>
      <x:c r="B649" s="19" t="str">
        <x:v>专用支付/结账入口</x:v>
      </x:c>
      <x:c r="C649" s="19" t="str">
        <x:v>高</x:v>
      </x:c>
      <x:c r="D649" s="19" t="str">
        <x:v>Jul 2026</x:v>
      </x:c>
      <x:c r="E649" s="19" t="n">
        <x:v>6</x:v>
      </x:c>
      <x:c r="F649" s="19" t="str">
        <x:v>mirc.com</x:v>
      </x:c>
      <x:c r="G649" s="19" t="str">
        <x:v>Programming and Developer Software</x:v>
      </x:c>
      <x:c r="H649" s="19" t="str">
        <x:v>桌面/移动端专业工具</x:v>
      </x:c>
      <x:c r="I649" s="19" t="str">
        <x:v>域名人工识别</x:v>
      </x:c>
      <x:c r="J649" s="19" t="n">
        <x:v>320633</x:v>
      </x:c>
      <x:c r="K649" s="20" t="n">
        <x:v>0.0305</x:v>
      </x:c>
      <x:c r="L649" s="19" t="str">
        <x:v>上升</x:v>
      </x:c>
      <x:c r="M649" s="20" t="n">
        <x:v>5.907100000000001</x:v>
      </x:c>
      <x:c r="N649" s="21" t="n">
        <x:v>107449</x:v>
      </x:c>
      <x:c r="O649" s="21" t="n">
        <x:v>3277</x:v>
      </x:c>
      <x:c r="P649" s="21" t="n">
        <x:f>ROUND(N649*K649,0)</x:f>
        <x:v>3277</x:v>
      </x:c>
      <x:c r="Q649" s="19" t="str">
        <x:v>否</x:v>
      </x:c>
      <x:c r="R649" s="19" t="str"/>
      <x:c r="S649" s="19" t="n">
        <x:f>IF(Q649="是",0,MIN(10,2+IF(C649="高",2,1)+IF(K649&gt;=3%,3,IF(K649&gt;=1%,2,1))+IF(L649="新出现",2,IF(M649&gt;=100%,3,IF(M649&gt;0,2,0)))))</x:f>
        <x:v>10</x:v>
      </x:c>
      <x:c r="T649" s="21"/>
      <x:c r="U649" s="20"/>
      <x:c r="V649" s="19" t="str">
        <x:v>http://mirc.com/</x:v>
      </x:c>
      <x:c r="W649" s="19" t="str">
        <x:v>https://pro.similarweb.com/#/digitalsuite/websiteanalysis/referrals/*/999/1m?webSource=Total&amp;selectedTab=incomingTraffic&amp;key=sites.fastspring.com</x:v>
      </x:c>
      <x:c r="X649" s="20" t="n">
        <x:f>IF(Q649="是",0,IFERROR(P649/SUMIFS($P$2:$P$964,$A$2:$A$964,A649,$Q$2:$Q$964,"否"),0))</x:f>
        <x:v>0.04057802322989673</x:v>
      </x:c>
      <x:c r="Y649" s="22" t="str">
        <x:f>IF(OR(M649="",U649=""),"未交叉",IF(M649*U649&gt;0,"同向",IF(M649*U649&lt;0,"背离","一侧持平")))</x:f>
        <x:v>未交叉</x:v>
      </x:c>
    </x:row>
    <x:row r="650">
      <x:c r="A650" s="18" t="str">
        <x:v>sites.fastspring.com</x:v>
      </x:c>
      <x:c r="B650" s="19" t="str">
        <x:v>专用支付/结账入口</x:v>
      </x:c>
      <x:c r="C650" s="19" t="str">
        <x:v>高</x:v>
      </x:c>
      <x:c r="D650" s="19" t="str">
        <x:v>Jul 2026</x:v>
      </x:c>
      <x:c r="E650" s="19" t="n">
        <x:v>7</x:v>
      </x:c>
      <x:c r="F650" s="19" t="str">
        <x:v>numbeo.com</x:v>
      </x:c>
      <x:c r="G650" s="19" t="str">
        <x:v>Travel and Tourism</x:v>
      </x:c>
      <x:c r="H650" s="19" t="str">
        <x:v>内容媒体、线下与实体消费</x:v>
      </x:c>
      <x:c r="I650" s="19" t="str">
        <x:v>Similarweb 行业映射</x:v>
      </x:c>
      <x:c r="J650" s="19" t="n">
        <x:v>24908</x:v>
      </x:c>
      <x:c r="K650" s="20" t="n">
        <x:v>0.03</x:v>
      </x:c>
      <x:c r="L650" s="19" t="str">
        <x:v>新出现</x:v>
      </x:c>
      <x:c r="M650" s="20"/>
      <x:c r="N650" s="21" t="n">
        <x:v>107449</x:v>
      </x:c>
      <x:c r="O650" s="21" t="n">
        <x:v>3223</x:v>
      </x:c>
      <x:c r="P650" s="21" t="n">
        <x:f>ROUND(N650*K650,0)</x:f>
        <x:v>3223</x:v>
      </x:c>
      <x:c r="Q650" s="19" t="str">
        <x:v>否</x:v>
      </x:c>
      <x:c r="R650" s="19" t="str"/>
      <x:c r="S650" s="19" t="n">
        <x:f>IF(Q650="是",0,MIN(10,2+IF(C650="高",2,1)+IF(K650&gt;=3%,3,IF(K650&gt;=1%,2,1))+IF(L650="新出现",2,IF(M650&gt;=100%,3,IF(M650&gt;0,2,0)))))</x:f>
        <x:v>9</x:v>
      </x:c>
      <x:c r="T650" s="21"/>
      <x:c r="U650" s="20"/>
      <x:c r="V650" s="19" t="str">
        <x:v>http://numbeo.com/</x:v>
      </x:c>
      <x:c r="W650" s="19" t="str">
        <x:v>https://pro.similarweb.com/#/digitalsuite/websiteanalysis/referrals/*/999/1m?webSource=Total&amp;selectedTab=incomingTraffic&amp;key=sites.fastspring.com</x:v>
      </x:c>
      <x:c r="X650" s="20" t="n">
        <x:f>IF(Q650="是",0,IFERROR(P650/SUMIFS($P$2:$P$964,$A$2:$A$964,A650,$Q$2:$Q$964,"否"),0))</x:f>
        <x:v>0.03990935882513188</x:v>
      </x:c>
      <x:c r="Y650" s="22" t="str">
        <x:f>IF(OR(M650="",U650=""),"未交叉",IF(M650*U650&gt;0,"同向",IF(M650*U650&lt;0,"背离","一侧持平")))</x:f>
        <x:v>未交叉</x:v>
      </x:c>
    </x:row>
    <x:row r="651">
      <x:c r="A651" s="18" t="str">
        <x:v>sites.fastspring.com</x:v>
      </x:c>
      <x:c r="B651" s="19" t="str">
        <x:v>专用支付/结账入口</x:v>
      </x:c>
      <x:c r="C651" s="19" t="str">
        <x:v>高</x:v>
      </x:c>
      <x:c r="D651" s="19" t="str">
        <x:v>Jul 2026</x:v>
      </x:c>
      <x:c r="E651" s="19" t="n">
        <x:v>8</x:v>
      </x:c>
      <x:c r="F651" s="19" t="str">
        <x:v>illformed.com</x:v>
      </x:c>
      <x:c r="G651" s="19" t="str">
        <x:v>Graphics Multimedia and Web Design</x:v>
      </x:c>
      <x:c r="H651" s="19" t="str">
        <x:v>桌面/移动端专业工具</x:v>
      </x:c>
      <x:c r="I651" s="19" t="str">
        <x:v>域名人工识别</x:v>
      </x:c>
      <x:c r="J651" s="19" t="n">
        <x:v>972518</x:v>
      </x:c>
      <x:c r="K651" s="20" t="n">
        <x:v>0.027200000000000002</x:v>
      </x:c>
      <x:c r="L651" s="19" t="str">
        <x:v>下降</x:v>
      </x:c>
      <x:c r="M651" s="20" t="n">
        <x:v>-0.4399</x:v>
      </x:c>
      <x:c r="N651" s="21" t="n">
        <x:v>107449</x:v>
      </x:c>
      <x:c r="O651" s="21" t="n">
        <x:v>2923</x:v>
      </x:c>
      <x:c r="P651" s="21" t="n">
        <x:f>ROUND(N651*K651,0)</x:f>
        <x:v>2923</x:v>
      </x:c>
      <x:c r="Q651" s="19" t="str">
        <x:v>否</x:v>
      </x:c>
      <x:c r="R651" s="19" t="str"/>
      <x:c r="S651" s="19" t="n">
        <x:f>IF(Q651="是",0,MIN(10,2+IF(C651="高",2,1)+IF(K651&gt;=3%,3,IF(K651&gt;=1%,2,1))+IF(L651="新出现",2,IF(M651&gt;=100%,3,IF(M651&gt;0,2,0)))))</x:f>
        <x:v>6</x:v>
      </x:c>
      <x:c r="T651" s="21"/>
      <x:c r="U651" s="20"/>
      <x:c r="V651" s="19" t="str">
        <x:v>http://illformed.com/</x:v>
      </x:c>
      <x:c r="W651" s="19" t="str">
        <x:v>https://pro.similarweb.com/#/digitalsuite/websiteanalysis/referrals/*/999/1m?webSource=Total&amp;selectedTab=incomingTraffic&amp;key=sites.fastspring.com</x:v>
      </x:c>
      <x:c r="X651" s="20" t="n">
        <x:f>IF(Q651="是",0,IFERROR(P651/SUMIFS($P$2:$P$964,$A$2:$A$964,A651,$Q$2:$Q$964,"否"),0))</x:f>
        <x:v>0.03619455657643825</x:v>
      </x:c>
      <x:c r="Y651" s="22" t="str">
        <x:f>IF(OR(M651="",U651=""),"未交叉",IF(M651*U651&gt;0,"同向",IF(M651*U651&lt;0,"背离","一侧持平")))</x:f>
        <x:v>未交叉</x:v>
      </x:c>
    </x:row>
    <x:row r="652">
      <x:c r="A652" s="18" t="str">
        <x:v>sites.fastspring.com</x:v>
      </x:c>
      <x:c r="B652" s="19" t="str">
        <x:v>专用支付/结账入口</x:v>
      </x:c>
      <x:c r="C652" s="19" t="str">
        <x:v>高</x:v>
      </x:c>
      <x:c r="D652" s="19" t="str">
        <x:v>Jul 2026</x:v>
      </x:c>
      <x:c r="E652" s="19" t="n">
        <x:v>9</x:v>
      </x:c>
      <x:c r="F652" s="19" t="str">
        <x:v>roughanimator.com</x:v>
      </x:c>
      <x:c r="G652" s="19" t="str">
        <x:v>Graphics Multimedia and Web Design</x:v>
      </x:c>
      <x:c r="H652" s="19" t="str">
        <x:v>桌面/移动端专业工具</x:v>
      </x:c>
      <x:c r="I652" s="19" t="str">
        <x:v>域名人工识别</x:v>
      </x:c>
      <x:c r="J652" s="19" t="n">
        <x:v>754703</x:v>
      </x:c>
      <x:c r="K652" s="20" t="n">
        <x:v>0.027000000000000003</x:v>
      </x:c>
      <x:c r="L652" s="19" t="str">
        <x:v>上升</x:v>
      </x:c>
      <x:c r="M652" s="20" t="n">
        <x:v>5.8047</x:v>
      </x:c>
      <x:c r="N652" s="21" t="n">
        <x:v>107449</x:v>
      </x:c>
      <x:c r="O652" s="21" t="n">
        <x:v>2901</x:v>
      </x:c>
      <x:c r="P652" s="21" t="n">
        <x:f>ROUND(N652*K652,0)</x:f>
        <x:v>2901</x:v>
      </x:c>
      <x:c r="Q652" s="19" t="str">
        <x:v>否</x:v>
      </x:c>
      <x:c r="R652" s="19" t="str"/>
      <x:c r="S652" s="19" t="n">
        <x:f>IF(Q652="是",0,MIN(10,2+IF(C652="高",2,1)+IF(K652&gt;=3%,3,IF(K652&gt;=1%,2,1))+IF(L652="新出现",2,IF(M652&gt;=100%,3,IF(M652&gt;0,2,0)))))</x:f>
        <x:v>9</x:v>
      </x:c>
      <x:c r="T652" s="21" t="n">
        <x:v>46167</x:v>
      </x:c>
      <x:c r="U652" s="20" t="n">
        <x:v>0.4557</x:v>
      </x:c>
      <x:c r="V652" s="19" t="str">
        <x:v>http://roughanimator.com/</x:v>
      </x:c>
      <x:c r="W652" s="19" t="str">
        <x:v>https://pro.similarweb.com/#/digitalsuite/websiteanalysis/referrals/*/999/1m?webSource=Total&amp;selectedTab=incomingTraffic&amp;key=sites.fastspring.com</x:v>
      </x:c>
      <x:c r="X652" s="20" t="n">
        <x:f>IF(Q652="是",0,IFERROR(P652/SUMIFS($P$2:$P$964,$A$2:$A$964,A652,$Q$2:$Q$964,"否"),0))</x:f>
        <x:v>0.03592213774486738</x:v>
      </x:c>
      <x:c r="Y652" s="22" t="str">
        <x:f>IF(OR(M652="",U652=""),"未交叉",IF(M652*U652&gt;0,"同向",IF(M652*U652&lt;0,"背离","一侧持平")))</x:f>
        <x:v>同向</x:v>
      </x:c>
    </x:row>
    <x:row r="653">
      <x:c r="A653" s="18" t="str">
        <x:v>sites.fastspring.com</x:v>
      </x:c>
      <x:c r="B653" s="19" t="str">
        <x:v>专用支付/结账入口</x:v>
      </x:c>
      <x:c r="C653" s="19" t="str">
        <x:v>高</x:v>
      </x:c>
      <x:c r="D653" s="19" t="str">
        <x:v>Jul 2026</x:v>
      </x:c>
      <x:c r="E653" s="19" t="n">
        <x:v>10</x:v>
      </x:c>
      <x:c r="F653" s="19" t="str">
        <x:v>springboard.fastspring.com</x:v>
      </x:c>
      <x:c r="G653" s="19" t="str">
        <x:v>Computers Electronics and Technology</x:v>
      </x:c>
      <x:c r="H653" s="19" t="str">
        <x:v>通用数字产品与技术服务</x:v>
      </x:c>
      <x:c r="I653" s="19" t="str">
        <x:v>Similarweb 行业映射</x:v>
      </x:c>
      <x:c r="J653" s="19"/>
      <x:c r="K653" s="20" t="n">
        <x:v>0.0187</x:v>
      </x:c>
      <x:c r="L653" s="19" t="str">
        <x:v>上升</x:v>
      </x:c>
      <x:c r="M653" s="20" t="n">
        <x:v>0.0605</x:v>
      </x:c>
      <x:c r="N653" s="21" t="n">
        <x:v>107449</x:v>
      </x:c>
      <x:c r="O653" s="21" t="n">
        <x:v>2009</x:v>
      </x:c>
      <x:c r="P653" s="21" t="n">
        <x:f>ROUND(N653*K653,0)</x:f>
        <x:v>2009</x:v>
      </x:c>
      <x:c r="Q653" s="19" t="str">
        <x:v>是</x:v>
      </x:c>
      <x:c r="R653" s="19" t="str">
        <x:v>支付平台、自引荐或流量中介</x:v>
      </x:c>
      <x:c r="S653" s="19" t="n">
        <x:f>IF(Q653="是",0,MIN(10,2+IF(C653="高",2,1)+IF(K653&gt;=3%,3,IF(K653&gt;=1%,2,1))+IF(L653="新出现",2,IF(M653&gt;=100%,3,IF(M653&gt;0,2,0)))))</x:f>
        <x:v>0</x:v>
      </x:c>
      <x:c r="T653" s="21"/>
      <x:c r="U653" s="20"/>
      <x:c r="V653" s="19" t="str">
        <x:v>http://springboard.fastspring.com/</x:v>
      </x:c>
      <x:c r="W653" s="19" t="str">
        <x:v>https://pro.similarweb.com/#/digitalsuite/websiteanalysis/referrals/*/999/1m?webSource=Total&amp;selectedTab=incomingTraffic&amp;key=sites.fastspring.com</x:v>
      </x:c>
      <x:c r="X653" s="20" t="n">
        <x:f>IF(Q653="是",0,IFERROR(P653/SUMIFS($P$2:$P$964,$A$2:$A$964,A653,$Q$2:$Q$964,"否"),0))</x:f>
        <x:v>0</x:v>
      </x:c>
      <x:c r="Y653" s="22" t="str">
        <x:f>IF(OR(M653="",U653=""),"未交叉",IF(M653*U653&gt;0,"同向",IF(M653*U653&lt;0,"背离","一侧持平")))</x:f>
        <x:v>未交叉</x:v>
      </x:c>
    </x:row>
    <x:row r="654">
      <x:c r="A654" s="18" t="str">
        <x:v>sites.fastspring.com</x:v>
      </x:c>
      <x:c r="B654" s="19" t="str">
        <x:v>专用支付/结账入口</x:v>
      </x:c>
      <x:c r="C654" s="19" t="str">
        <x:v>高</x:v>
      </x:c>
      <x:c r="D654" s="19" t="str">
        <x:v>Jul 2026</x:v>
      </x:c>
      <x:c r="E654" s="19" t="n">
        <x:v>11</x:v>
      </x:c>
      <x:c r="F654" s="19" t="str">
        <x:v>binarynights.com</x:v>
      </x:c>
      <x:c r="G654" s="19" t="str">
        <x:v>Programming and Developer Software</x:v>
      </x:c>
      <x:c r="H654" s="19" t="str">
        <x:v>开发者工具与互联网基础设施</x:v>
      </x:c>
      <x:c r="I654" s="19" t="str">
        <x:v>Similarweb 行业映射</x:v>
      </x:c>
      <x:c r="J654" s="19" t="n">
        <x:v>672441</x:v>
      </x:c>
      <x:c r="K654" s="20" t="n">
        <x:v>0.017</x:v>
      </x:c>
      <x:c r="L654" s="19" t="str">
        <x:v>上升</x:v>
      </x:c>
      <x:c r="M654" s="20" t="n">
        <x:v>1.4153</x:v>
      </x:c>
      <x:c r="N654" s="21" t="n">
        <x:v>107449</x:v>
      </x:c>
      <x:c r="O654" s="21" t="n">
        <x:v>1827</x:v>
      </x:c>
      <x:c r="P654" s="21" t="n">
        <x:f>ROUND(N654*K654,0)</x:f>
        <x:v>1827</x:v>
      </x:c>
      <x:c r="Q654" s="19" t="str">
        <x:v>否</x:v>
      </x:c>
      <x:c r="R654" s="19" t="str"/>
      <x:c r="S654" s="19" t="n">
        <x:f>IF(Q654="是",0,MIN(10,2+IF(C654="高",2,1)+IF(K654&gt;=3%,3,IF(K654&gt;=1%,2,1))+IF(L654="新出现",2,IF(M654&gt;=100%,3,IF(M654&gt;0,2,0)))))</x:f>
        <x:v>9</x:v>
      </x:c>
      <x:c r="T654" s="21"/>
      <x:c r="U654" s="20"/>
      <x:c r="V654" s="19" t="str">
        <x:v>http://binarynights.com/</x:v>
      </x:c>
      <x:c r="W654" s="19" t="str">
        <x:v>https://pro.similarweb.com/#/digitalsuite/websiteanalysis/referrals/*/999/1m?webSource=Total&amp;selectedTab=incomingTraffic&amp;key=sites.fastspring.com</x:v>
      </x:c>
      <x:c r="X654" s="20" t="n">
        <x:f>IF(Q654="是",0,IFERROR(P654/SUMIFS($P$2:$P$964,$A$2:$A$964,A654,$Q$2:$Q$964,"否"),0))</x:f>
        <x:v>0.022623145694544194</x:v>
      </x:c>
      <x:c r="Y654" s="22" t="str">
        <x:f>IF(OR(M654="",U654=""),"未交叉",IF(M654*U654&gt;0,"同向",IF(M654*U654&lt;0,"背离","一侧持平")))</x:f>
        <x:v>未交叉</x:v>
      </x:c>
    </x:row>
    <x:row r="655">
      <x:c r="A655" s="18" t="str">
        <x:v>sites.fastspring.com</x:v>
      </x:c>
      <x:c r="B655" s="19" t="str">
        <x:v>专用支付/结账入口</x:v>
      </x:c>
      <x:c r="C655" s="19" t="str">
        <x:v>高</x:v>
      </x:c>
      <x:c r="D655" s="19" t="str">
        <x:v>Jul 2026</x:v>
      </x:c>
      <x:c r="E655" s="19" t="n">
        <x:v>12</x:v>
      </x:c>
      <x:c r="F655" s="19" t="str">
        <x:v>paprikaapp.com</x:v>
      </x:c>
      <x:c r="G655" s="19" t="str">
        <x:v>Cooking and Recipes</x:v>
      </x:c>
      <x:c r="H655" s="19" t="str">
        <x:v>内容媒体、线下与实体消费</x:v>
      </x:c>
      <x:c r="I655" s="19" t="str">
        <x:v>Similarweb 行业映射</x:v>
      </x:c>
      <x:c r="J655" s="19" t="n">
        <x:v>404953</x:v>
      </x:c>
      <x:c r="K655" s="20" t="n">
        <x:v>0.0159</x:v>
      </x:c>
      <x:c r="L655" s="19" t="str">
        <x:v>下降</x:v>
      </x:c>
      <x:c r="M655" s="20" t="n">
        <x:v>-0.4852</x:v>
      </x:c>
      <x:c r="N655" s="21" t="n">
        <x:v>107449</x:v>
      </x:c>
      <x:c r="O655" s="21" t="n">
        <x:v>1708</x:v>
      </x:c>
      <x:c r="P655" s="21" t="n">
        <x:f>ROUND(N655*K655,0)</x:f>
        <x:v>1708</x:v>
      </x:c>
      <x:c r="Q655" s="19" t="str">
        <x:v>否</x:v>
      </x:c>
      <x:c r="R655" s="19" t="str"/>
      <x:c r="S655" s="19" t="n">
        <x:f>IF(Q655="是",0,MIN(10,2+IF(C655="高",2,1)+IF(K655&gt;=3%,3,IF(K655&gt;=1%,2,1))+IF(L655="新出现",2,IF(M655&gt;=100%,3,IF(M655&gt;0,2,0)))))</x:f>
        <x:v>6</x:v>
      </x:c>
      <x:c r="T655" s="21"/>
      <x:c r="U655" s="20"/>
      <x:c r="V655" s="19" t="str">
        <x:v>http://paprikaapp.com/</x:v>
      </x:c>
      <x:c r="W655" s="19" t="str">
        <x:v>https://pro.similarweb.com/#/digitalsuite/websiteanalysis/referrals/*/999/1m?webSource=Total&amp;selectedTab=incomingTraffic&amp;key=sites.fastspring.com</x:v>
      </x:c>
      <x:c r="X655" s="20" t="n">
        <x:f>IF(Q655="是",0,IFERROR(P655/SUMIFS($P$2:$P$964,$A$2:$A$964,A655,$Q$2:$Q$964,"否"),0))</x:f>
        <x:v>0.021149607469229056</x:v>
      </x:c>
      <x:c r="Y655" s="22" t="str">
        <x:f>IF(OR(M655="",U655=""),"未交叉",IF(M655*U655&gt;0,"同向",IF(M655*U655&lt;0,"背离","一侧持平")))</x:f>
        <x:v>未交叉</x:v>
      </x:c>
    </x:row>
    <x:row r="656">
      <x:c r="A656" s="18" t="str">
        <x:v>sites.fastspring.com</x:v>
      </x:c>
      <x:c r="B656" s="19" t="str">
        <x:v>专用支付/结账入口</x:v>
      </x:c>
      <x:c r="C656" s="19" t="str">
        <x:v>高</x:v>
      </x:c>
      <x:c r="D656" s="19" t="str">
        <x:v>Jul 2026</x:v>
      </x:c>
      <x:c r="E656" s="19" t="n">
        <x:v>13</x:v>
      </x:c>
      <x:c r="F656" s="19" t="str">
        <x:v>tacview.net</x:v>
      </x:c>
      <x:c r="G656" s="19" t="str">
        <x:v>Video Games Consoles and Accessories</x:v>
      </x:c>
      <x:c r="H656" s="19" t="str">
        <x:v>游戏、数字商品与虚拟内容</x:v>
      </x:c>
      <x:c r="I656" s="19" t="str">
        <x:v>Similarweb 行业映射</x:v>
      </x:c>
      <x:c r="J656" s="19" t="n">
        <x:v>1596786</x:v>
      </x:c>
      <x:c r="K656" s="20" t="n">
        <x:v>0.011399999999999999</x:v>
      </x:c>
      <x:c r="L656" s="19" t="str">
        <x:v>上升</x:v>
      </x:c>
      <x:c r="M656" s="20" t="n">
        <x:v>2.2131</x:v>
      </x:c>
      <x:c r="N656" s="21" t="n">
        <x:v>107449</x:v>
      </x:c>
      <x:c r="O656" s="21" t="n">
        <x:v>1225</x:v>
      </x:c>
      <x:c r="P656" s="21" t="n">
        <x:f>ROUND(N656*K656,0)</x:f>
        <x:v>1225</x:v>
      </x:c>
      <x:c r="Q656" s="19" t="str">
        <x:v>否</x:v>
      </x:c>
      <x:c r="R656" s="19" t="str"/>
      <x:c r="S656" s="19" t="n">
        <x:f>IF(Q656="是",0,MIN(10,2+IF(C656="高",2,1)+IF(K656&gt;=3%,3,IF(K656&gt;=1%,2,1))+IF(L656="新出现",2,IF(M656&gt;=100%,3,IF(M656&gt;0,2,0)))))</x:f>
        <x:v>9</x:v>
      </x:c>
      <x:c r="T656" s="21"/>
      <x:c r="U656" s="20"/>
      <x:c r="V656" s="19" t="str">
        <x:v>http://tacview.net/</x:v>
      </x:c>
      <x:c r="W656" s="19" t="str">
        <x:v>https://pro.similarweb.com/#/digitalsuite/websiteanalysis/referrals/*/999/1m?webSource=Total&amp;selectedTab=incomingTraffic&amp;key=sites.fastspring.com</x:v>
      </x:c>
      <x:c r="X656" s="20" t="n">
        <x:f>IF(Q656="是",0,IFERROR(P656/SUMIFS($P$2:$P$964,$A$2:$A$964,A656,$Q$2:$Q$964,"否"),0))</x:f>
        <x:v>0.015168775848832314</x:v>
      </x:c>
      <x:c r="Y656" s="22" t="str">
        <x:f>IF(OR(M656="",U656=""),"未交叉",IF(M656*U656&gt;0,"同向",IF(M656*U656&lt;0,"背离","一侧持平")))</x:f>
        <x:v>未交叉</x:v>
      </x:c>
    </x:row>
    <x:row r="657">
      <x:c r="A657" s="18" t="str">
        <x:v>sites.fastspring.com</x:v>
      </x:c>
      <x:c r="B657" s="19" t="str">
        <x:v>专用支付/结账入口</x:v>
      </x:c>
      <x:c r="C657" s="19" t="str">
        <x:v>高</x:v>
      </x:c>
      <x:c r="D657" s="19" t="str">
        <x:v>Jul 2026</x:v>
      </x:c>
      <x:c r="E657" s="19" t="n">
        <x:v>14</x:v>
      </x:c>
      <x:c r="F657" s="19" t="str">
        <x:v>app.seobserver.com</x:v>
      </x:c>
      <x:c r="G657" s="19" t="str">
        <x:v>Online Marketing</x:v>
      </x:c>
      <x:c r="H657" s="19" t="str">
        <x:v>营销、生产力与商业服务</x:v>
      </x:c>
      <x:c r="I657" s="19" t="str">
        <x:v>Similarweb 行业映射</x:v>
      </x:c>
      <x:c r="J657" s="19"/>
      <x:c r="K657" s="20" t="n">
        <x:v>0.0106</x:v>
      </x:c>
      <x:c r="L657" s="19" t="str">
        <x:v>上升</x:v>
      </x:c>
      <x:c r="M657" s="20" t="n">
        <x:v>3.7906</x:v>
      </x:c>
      <x:c r="N657" s="21" t="n">
        <x:v>107449</x:v>
      </x:c>
      <x:c r="O657" s="21" t="n">
        <x:v>1139</x:v>
      </x:c>
      <x:c r="P657" s="21" t="n">
        <x:f>ROUND(N657*K657,0)</x:f>
        <x:v>1139</x:v>
      </x:c>
      <x:c r="Q657" s="19" t="str">
        <x:v>否</x:v>
      </x:c>
      <x:c r="R657" s="19" t="str"/>
      <x:c r="S657" s="19" t="n">
        <x:f>IF(Q657="是",0,MIN(10,2+IF(C657="高",2,1)+IF(K657&gt;=3%,3,IF(K657&gt;=1%,2,1))+IF(L657="新出现",2,IF(M657&gt;=100%,3,IF(M657&gt;0,2,0)))))</x:f>
        <x:v>9</x:v>
      </x:c>
      <x:c r="T657" s="21"/>
      <x:c r="U657" s="20"/>
      <x:c r="V657" s="19" t="str">
        <x:v>http://app.seobserver.com/</x:v>
      </x:c>
      <x:c r="W657" s="19" t="str">
        <x:v>https://pro.similarweb.com/#/digitalsuite/websiteanalysis/referrals/*/999/1m?webSource=Total&amp;selectedTab=incomingTraffic&amp;key=sites.fastspring.com</x:v>
      </x:c>
      <x:c r="X657" s="20" t="n">
        <x:f>IF(Q657="是",0,IFERROR(P657/SUMIFS($P$2:$P$964,$A$2:$A$964,A657,$Q$2:$Q$964,"否"),0))</x:f>
        <x:v>0.014103865870873474</x:v>
      </x:c>
      <x:c r="Y657" s="22" t="str">
        <x:f>IF(OR(M657="",U657=""),"未交叉",IF(M657*U657&gt;0,"同向",IF(M657*U657&lt;0,"背离","一侧持平")))</x:f>
        <x:v>未交叉</x:v>
      </x:c>
    </x:row>
    <x:row r="658">
      <x:c r="A658" s="18" t="str">
        <x:v>sites.fastspring.com</x:v>
      </x:c>
      <x:c r="B658" s="19" t="str">
        <x:v>专用支付/结账入口</x:v>
      </x:c>
      <x:c r="C658" s="19" t="str">
        <x:v>高</x:v>
      </x:c>
      <x:c r="D658" s="19" t="str">
        <x:v>Jul 2026</x:v>
      </x:c>
      <x:c r="E658" s="19" t="n">
        <x:v>15</x:v>
      </x:c>
      <x:c r="F658" s="19" t="str">
        <x:v>smoothscroll.net</x:v>
      </x:c>
      <x:c r="G658" s="19" t="str">
        <x:v>Computers Electronics and Technology</x:v>
      </x:c>
      <x:c r="H658" s="19" t="str">
        <x:v>通用数字产品与技术服务</x:v>
      </x:c>
      <x:c r="I658" s="19" t="str">
        <x:v>Similarweb 行业映射</x:v>
      </x:c>
      <x:c r="J658" s="19" t="n">
        <x:v>324763</x:v>
      </x:c>
      <x:c r="K658" s="20" t="n">
        <x:v>0.0105</x:v>
      </x:c>
      <x:c r="L658" s="19" t="str">
        <x:v>上升</x:v>
      </x:c>
      <x:c r="M658" s="20" t="n">
        <x:v>1.7490999999999999</x:v>
      </x:c>
      <x:c r="N658" s="21" t="n">
        <x:v>107449</x:v>
      </x:c>
      <x:c r="O658" s="21" t="n">
        <x:v>1128</x:v>
      </x:c>
      <x:c r="P658" s="21" t="n">
        <x:f>ROUND(N658*K658,0)</x:f>
        <x:v>1128</x:v>
      </x:c>
      <x:c r="Q658" s="19" t="str">
        <x:v>否</x:v>
      </x:c>
      <x:c r="R658" s="19" t="str"/>
      <x:c r="S658" s="19" t="n">
        <x:f>IF(Q658="是",0,MIN(10,2+IF(C658="高",2,1)+IF(K658&gt;=3%,3,IF(K658&gt;=1%,2,1))+IF(L658="新出现",2,IF(M658&gt;=100%,3,IF(M658&gt;0,2,0)))))</x:f>
        <x:v>9</x:v>
      </x:c>
      <x:c r="T658" s="21"/>
      <x:c r="U658" s="20"/>
      <x:c r="V658" s="19" t="str">
        <x:v>http://smoothscroll.net/</x:v>
      </x:c>
      <x:c r="W658" s="19" t="str">
        <x:v>https://pro.similarweb.com/#/digitalsuite/websiteanalysis/referrals/*/999/1m?webSource=Total&amp;selectedTab=incomingTraffic&amp;key=sites.fastspring.com</x:v>
      </x:c>
      <x:c r="X658" s="20" t="n">
        <x:f>IF(Q658="是",0,IFERROR(P658/SUMIFS($P$2:$P$964,$A$2:$A$964,A658,$Q$2:$Q$964,"否"),0))</x:f>
        <x:v>0.01396765645508804</x:v>
      </x:c>
      <x:c r="Y658" s="22" t="str">
        <x:f>IF(OR(M658="",U658=""),"未交叉",IF(M658*U658&gt;0,"同向",IF(M658*U658&lt;0,"背离","一侧持平")))</x:f>
        <x:v>未交叉</x:v>
      </x:c>
    </x:row>
    <x:row r="659">
      <x:c r="A659" s="18" t="str">
        <x:v>sites.fastspring.com</x:v>
      </x:c>
      <x:c r="B659" s="19" t="str">
        <x:v>专用支付/结账入口</x:v>
      </x:c>
      <x:c r="C659" s="19" t="str">
        <x:v>高</x:v>
      </x:c>
      <x:c r="D659" s="19" t="str">
        <x:v>Jul 2026</x:v>
      </x:c>
      <x:c r="E659" s="19" t="n">
        <x:v>16</x:v>
      </x:c>
      <x:c r="F659" s="19" t="str">
        <x:v>teachpianotoday.com</x:v>
      </x:c>
      <x:c r="G659" s="19" t="str">
        <x:v>Music</x:v>
      </x:c>
      <x:c r="H659" s="19" t="str">
        <x:v>创作、设计与多媒体工具</x:v>
      </x:c>
      <x:c r="I659" s="19" t="str">
        <x:v>Similarweb 行业映射</x:v>
      </x:c>
      <x:c r="J659" s="19" t="n">
        <x:v>1163625</x:v>
      </x:c>
      <x:c r="K659" s="20" t="n">
        <x:v>0.0103</x:v>
      </x:c>
      <x:c r="L659" s="19" t="str">
        <x:v>下降</x:v>
      </x:c>
      <x:c r="M659" s="20" t="n">
        <x:v>-0.4388</x:v>
      </x:c>
      <x:c r="N659" s="21" t="n">
        <x:v>107449</x:v>
      </x:c>
      <x:c r="O659" s="21" t="n">
        <x:v>1107</x:v>
      </x:c>
      <x:c r="P659" s="21" t="n">
        <x:f>ROUND(N659*K659,0)</x:f>
        <x:v>1107</x:v>
      </x:c>
      <x:c r="Q659" s="19" t="str">
        <x:v>否</x:v>
      </x:c>
      <x:c r="R659" s="19" t="str"/>
      <x:c r="S659" s="19" t="n">
        <x:f>IF(Q659="是",0,MIN(10,2+IF(C659="高",2,1)+IF(K659&gt;=3%,3,IF(K659&gt;=1%,2,1))+IF(L659="新出现",2,IF(M659&gt;=100%,3,IF(M659&gt;0,2,0)))))</x:f>
        <x:v>6</x:v>
      </x:c>
      <x:c r="T659" s="21"/>
      <x:c r="U659" s="20"/>
      <x:c r="V659" s="19" t="str">
        <x:v>http://teachpianotoday.com/</x:v>
      </x:c>
      <x:c r="W659" s="19" t="str">
        <x:v>https://pro.similarweb.com/#/digitalsuite/websiteanalysis/referrals/*/999/1m?webSource=Total&amp;selectedTab=incomingTraffic&amp;key=sites.fastspring.com</x:v>
      </x:c>
      <x:c r="X659" s="20" t="n">
        <x:f>IF(Q659="是",0,IFERROR(P659/SUMIFS($P$2:$P$964,$A$2:$A$964,A659,$Q$2:$Q$964,"否"),0))</x:f>
        <x:v>0.013707620297679487</x:v>
      </x:c>
      <x:c r="Y659" s="22" t="str">
        <x:f>IF(OR(M659="",U659=""),"未交叉",IF(M659*U659&gt;0,"同向",IF(M659*U659&lt;0,"背离","一侧持平")))</x:f>
        <x:v>未交叉</x:v>
      </x:c>
    </x:row>
    <x:row r="660">
      <x:c r="A660" s="18" t="str">
        <x:v>sites.fastspring.com</x:v>
      </x:c>
      <x:c r="B660" s="19" t="str">
        <x:v>专用支付/结账入口</x:v>
      </x:c>
      <x:c r="C660" s="19" t="str">
        <x:v>高</x:v>
      </x:c>
      <x:c r="D660" s="19" t="str">
        <x:v>Jul 2026</x:v>
      </x:c>
      <x:c r="E660" s="19" t="n">
        <x:v>17</x:v>
      </x:c>
      <x:c r="F660" s="19" t="str">
        <x:v>performancesamples.com</x:v>
      </x:c>
      <x:c r="G660" s="19" t="str">
        <x:v>Music</x:v>
      </x:c>
      <x:c r="H660" s="19" t="str">
        <x:v>创作、设计与多媒体工具</x:v>
      </x:c>
      <x:c r="I660" s="19" t="str">
        <x:v>Similarweb 行业映射</x:v>
      </x:c>
      <x:c r="J660" s="19" t="n">
        <x:v>1544525</x:v>
      </x:c>
      <x:c r="K660" s="20" t="n">
        <x:v>0.0096</x:v>
      </x:c>
      <x:c r="L660" s="19" t="str">
        <x:v>上升</x:v>
      </x:c>
      <x:c r="M660" s="20" t="n">
        <x:v>3.9504</x:v>
      </x:c>
      <x:c r="N660" s="21" t="n">
        <x:v>107449</x:v>
      </x:c>
      <x:c r="O660" s="21" t="n">
        <x:v>1032</x:v>
      </x:c>
      <x:c r="P660" s="21" t="n">
        <x:f>ROUND(N660*K660,0)</x:f>
        <x:v>1032</x:v>
      </x:c>
      <x:c r="Q660" s="19" t="str">
        <x:v>否</x:v>
      </x:c>
      <x:c r="R660" s="19" t="str"/>
      <x:c r="S660" s="19" t="n">
        <x:f>IF(Q660="是",0,MIN(10,2+IF(C660="高",2,1)+IF(K660&gt;=3%,3,IF(K660&gt;=1%,2,1))+IF(L660="新出现",2,IF(M660&gt;=100%,3,IF(M660&gt;0,2,0)))))</x:f>
        <x:v>8</x:v>
      </x:c>
      <x:c r="T660" s="21"/>
      <x:c r="U660" s="20"/>
      <x:c r="V660" s="19" t="str">
        <x:v>http://performancesamples.com/</x:v>
      </x:c>
      <x:c r="W660" s="19" t="str">
        <x:v>https://pro.similarweb.com/#/digitalsuite/websiteanalysis/referrals/*/999/1m?webSource=Total&amp;selectedTab=incomingTraffic&amp;key=sites.fastspring.com</x:v>
      </x:c>
      <x:c r="X660" s="20" t="n">
        <x:f>IF(Q660="是",0,IFERROR(P660/SUMIFS($P$2:$P$964,$A$2:$A$964,A660,$Q$2:$Q$964,"否"),0))</x:f>
        <x:v>0.01277891973550608</x:v>
      </x:c>
      <x:c r="Y660" s="22" t="str">
        <x:f>IF(OR(M660="",U660=""),"未交叉",IF(M660*U660&gt;0,"同向",IF(M660*U660&lt;0,"背离","一侧持平")))</x:f>
        <x:v>未交叉</x:v>
      </x:c>
    </x:row>
    <x:row r="661">
      <x:c r="A661" s="18" t="str">
        <x:v>sites.fastspring.com</x:v>
      </x:c>
      <x:c r="B661" s="19" t="str">
        <x:v>专用支付/结账入口</x:v>
      </x:c>
      <x:c r="C661" s="19" t="str">
        <x:v>高</x:v>
      </x:c>
      <x:c r="D661" s="19" t="str">
        <x:v>Jul 2026</x:v>
      </x:c>
      <x:c r="E661" s="19" t="n">
        <x:v>18</x:v>
      </x:c>
      <x:c r="F661" s="19" t="str">
        <x:v>lightkeyapp.com</x:v>
      </x:c>
      <x:c r="G661" s="19" t="str">
        <x:v>Arts and Entertainment</x:v>
      </x:c>
      <x:c r="H661" s="19" t="str">
        <x:v>其他/待核查</x:v>
      </x:c>
      <x:c r="I661" s="19" t="str">
        <x:v>保守归类</x:v>
      </x:c>
      <x:c r="J661" s="19" t="n">
        <x:v>1163394</x:v>
      </x:c>
      <x:c r="K661" s="20" t="n">
        <x:v>0.008</x:v>
      </x:c>
      <x:c r="L661" s="19" t="str">
        <x:v>下降</x:v>
      </x:c>
      <x:c r="M661" s="20" t="n">
        <x:v>-0.7221</x:v>
      </x:c>
      <x:c r="N661" s="21" t="n">
        <x:v>107449</x:v>
      </x:c>
      <x:c r="O661" s="21" t="n">
        <x:v>860</x:v>
      </x:c>
      <x:c r="P661" s="21" t="n">
        <x:f>ROUND(N661*K661,0)</x:f>
        <x:v>860</x:v>
      </x:c>
      <x:c r="Q661" s="19" t="str">
        <x:v>否</x:v>
      </x:c>
      <x:c r="R661" s="19" t="str"/>
      <x:c r="S661" s="19" t="n">
        <x:f>IF(Q661="是",0,MIN(10,2+IF(C661="高",2,1)+IF(K661&gt;=3%,3,IF(K661&gt;=1%,2,1))+IF(L661="新出现",2,IF(M661&gt;=100%,3,IF(M661&gt;0,2,0)))))</x:f>
        <x:v>5</x:v>
      </x:c>
      <x:c r="T661" s="21"/>
      <x:c r="U661" s="20"/>
      <x:c r="V661" s="19" t="str">
        <x:v>http://lightkeyapp.com/</x:v>
      </x:c>
      <x:c r="W661" s="19" t="str">
        <x:v>https://pro.similarweb.com/#/digitalsuite/websiteanalysis/referrals/*/999/1m?webSource=Total&amp;selectedTab=incomingTraffic&amp;key=sites.fastspring.com</x:v>
      </x:c>
      <x:c r="X661" s="20" t="n">
        <x:f>IF(Q661="是",0,IFERROR(P661/SUMIFS($P$2:$P$964,$A$2:$A$964,A661,$Q$2:$Q$964,"否"),0))</x:f>
        <x:v>0.0106490997795884</x:v>
      </x:c>
      <x:c r="Y661" s="22" t="str">
        <x:f>IF(OR(M661="",U661=""),"未交叉",IF(M661*U661&gt;0,"同向",IF(M661*U661&lt;0,"背离","一侧持平")))</x:f>
        <x:v>未交叉</x:v>
      </x:c>
    </x:row>
    <x:row r="662">
      <x:c r="A662" s="18" t="str">
        <x:v>sites.fastspring.com</x:v>
      </x:c>
      <x:c r="B662" s="19" t="str">
        <x:v>专用支付/结账入口</x:v>
      </x:c>
      <x:c r="C662" s="19" t="str">
        <x:v>高</x:v>
      </x:c>
      <x:c r="D662" s="19" t="str">
        <x:v>Jul 2026</x:v>
      </x:c>
      <x:c r="E662" s="19" t="n">
        <x:v>19</x:v>
      </x:c>
      <x:c r="F662" s="19" t="str">
        <x:v>noteifyapp.com</x:v>
      </x:c>
      <x:c r="G662" s="19" t="str">
        <x:v>Programming and Developer Software</x:v>
      </x:c>
      <x:c r="H662" s="19" t="str">
        <x:v>开发者工具与互联网基础设施</x:v>
      </x:c>
      <x:c r="I662" s="19" t="str">
        <x:v>Similarweb 行业映射</x:v>
      </x:c>
      <x:c r="J662" s="19" t="n">
        <x:v>1361147</x:v>
      </x:c>
      <x:c r="K662" s="20" t="n">
        <x:v>0.0062</x:v>
      </x:c>
      <x:c r="L662" s="19" t="str">
        <x:v>上升</x:v>
      </x:c>
      <x:c r="M662" s="20" t="n">
        <x:v>2.3499</x:v>
      </x:c>
      <x:c r="N662" s="21" t="n">
        <x:v>107449</x:v>
      </x:c>
      <x:c r="O662" s="21" t="n">
        <x:v>666</x:v>
      </x:c>
      <x:c r="P662" s="21" t="n">
        <x:f>ROUND(N662*K662,0)</x:f>
        <x:v>666</x:v>
      </x:c>
      <x:c r="Q662" s="19" t="str">
        <x:v>否</x:v>
      </x:c>
      <x:c r="R662" s="19" t="str"/>
      <x:c r="S662" s="19" t="n">
        <x:f>IF(Q662="是",0,MIN(10,2+IF(C662="高",2,1)+IF(K662&gt;=3%,3,IF(K662&gt;=1%,2,1))+IF(L662="新出现",2,IF(M662&gt;=100%,3,IF(M662&gt;0,2,0)))))</x:f>
        <x:v>8</x:v>
      </x:c>
      <x:c r="T662" s="21"/>
      <x:c r="U662" s="20"/>
      <x:c r="V662" s="19" t="str">
        <x:v>http://noteifyapp.com/</x:v>
      </x:c>
      <x:c r="W662" s="19" t="str">
        <x:v>https://pro.similarweb.com/#/digitalsuite/websiteanalysis/referrals/*/999/1m?webSource=Total&amp;selectedTab=incomingTraffic&amp;key=sites.fastspring.com</x:v>
      </x:c>
      <x:c r="X662" s="20" t="n">
        <x:f>IF(Q662="是",0,IFERROR(P662/SUMIFS($P$2:$P$964,$A$2:$A$964,A662,$Q$2:$Q$964,"否"),0))</x:f>
        <x:v>0.008246860992099854</x:v>
      </x:c>
      <x:c r="Y662" s="22" t="str">
        <x:f>IF(OR(M662="",U662=""),"未交叉",IF(M662*U662&gt;0,"同向",IF(M662*U662&lt;0,"背离","一侧持平")))</x:f>
        <x:v>未交叉</x:v>
      </x:c>
    </x:row>
    <x:row r="663">
      <x:c r="A663" s="18" t="str">
        <x:v>sites.fastspring.com</x:v>
      </x:c>
      <x:c r="B663" s="19" t="str">
        <x:v>专用支付/结账入口</x:v>
      </x:c>
      <x:c r="C663" s="19" t="str">
        <x:v>高</x:v>
      </x:c>
      <x:c r="D663" s="19" t="str">
        <x:v>Jul 2026</x:v>
      </x:c>
      <x:c r="E663" s="19" t="n">
        <x:v>20</x:v>
      </x:c>
      <x:c r="F663" s="19" t="str">
        <x:v>crystalidea.com</x:v>
      </x:c>
      <x:c r="G663" s="19" t="str">
        <x:v>Programming and Developer Software</x:v>
      </x:c>
      <x:c r="H663" s="19" t="str">
        <x:v>开发者工具与互联网基础设施</x:v>
      </x:c>
      <x:c r="I663" s="19" t="str">
        <x:v>Similarweb 行业映射</x:v>
      </x:c>
      <x:c r="J663" s="19" t="n">
        <x:v>158447</x:v>
      </x:c>
      <x:c r="K663" s="20" t="n">
        <x:v>0.0058</x:v>
      </x:c>
      <x:c r="L663" s="19" t="str">
        <x:v>下降</x:v>
      </x:c>
      <x:c r="M663" s="20" t="n">
        <x:v>-0.8701000000000001</x:v>
      </x:c>
      <x:c r="N663" s="21" t="n">
        <x:v>107449</x:v>
      </x:c>
      <x:c r="O663" s="21" t="n">
        <x:v>623</x:v>
      </x:c>
      <x:c r="P663" s="21" t="n">
        <x:f>ROUND(N663*K663,0)</x:f>
        <x:v>623</x:v>
      </x:c>
      <x:c r="Q663" s="19" t="str">
        <x:v>否</x:v>
      </x:c>
      <x:c r="R663" s="19" t="str"/>
      <x:c r="S663" s="19" t="n">
        <x:f>IF(Q663="是",0,MIN(10,2+IF(C663="高",2,1)+IF(K663&gt;=3%,3,IF(K663&gt;=1%,2,1))+IF(L663="新出现",2,IF(M663&gt;=100%,3,IF(M663&gt;0,2,0)))))</x:f>
        <x:v>5</x:v>
      </x:c>
      <x:c r="T663" s="21"/>
      <x:c r="U663" s="20"/>
      <x:c r="V663" s="19" t="str">
        <x:v>http://crystalidea.com/</x:v>
      </x:c>
      <x:c r="W663" s="19" t="str">
        <x:v>https://pro.similarweb.com/#/digitalsuite/websiteanalysis/referrals/*/999/1m?webSource=Total&amp;selectedTab=incomingTraffic&amp;key=sites.fastspring.com</x:v>
      </x:c>
      <x:c r="X663" s="20" t="n">
        <x:f>IF(Q663="是",0,IFERROR(P663/SUMIFS($P$2:$P$964,$A$2:$A$964,A663,$Q$2:$Q$964,"否"),0))</x:f>
        <x:v>0.007714406003120434</x:v>
      </x:c>
      <x:c r="Y663" s="22" t="str">
        <x:f>IF(OR(M663="",U663=""),"未交叉",IF(M663*U663&gt;0,"同向",IF(M663*U663&lt;0,"背离","一侧持平")))</x:f>
        <x:v>未交叉</x:v>
      </x:c>
    </x:row>
    <x:row r="664">
      <x:c r="A664" s="18" t="str">
        <x:v>sites.fastspring.com</x:v>
      </x:c>
      <x:c r="B664" s="19" t="str">
        <x:v>专用支付/结账入口</x:v>
      </x:c>
      <x:c r="C664" s="19" t="str">
        <x:v>高</x:v>
      </x:c>
      <x:c r="D664" s="19" t="str">
        <x:v>Jul 2026</x:v>
      </x:c>
      <x:c r="E664" s="19" t="n">
        <x:v>21</x:v>
      </x:c>
      <x:c r="F664" s="19" t="str">
        <x:v>vandyke.com</x:v>
      </x:c>
      <x:c r="G664" s="19" t="str">
        <x:v>Programming and Developer Software</x:v>
      </x:c>
      <x:c r="H664" s="19" t="str">
        <x:v>开发者工具与互联网基础设施</x:v>
      </x:c>
      <x:c r="I664" s="19" t="str">
        <x:v>Similarweb 行业映射</x:v>
      </x:c>
      <x:c r="J664" s="19" t="n">
        <x:v>346013</x:v>
      </x:c>
      <x:c r="K664" s="20" t="n">
        <x:v>0.005600000000000001</x:v>
      </x:c>
      <x:c r="L664" s="19" t="str">
        <x:v>上升</x:v>
      </x:c>
      <x:c r="M664" s="20" t="n">
        <x:v>9.431799999999999</x:v>
      </x:c>
      <x:c r="N664" s="21" t="n">
        <x:v>107449</x:v>
      </x:c>
      <x:c r="O664" s="21" t="n">
        <x:v>602</x:v>
      </x:c>
      <x:c r="P664" s="21" t="n">
        <x:f>ROUND(N664*K664,0)</x:f>
        <x:v>602</x:v>
      </x:c>
      <x:c r="Q664" s="19" t="str">
        <x:v>否</x:v>
      </x:c>
      <x:c r="R664" s="19" t="str"/>
      <x:c r="S664" s="19" t="n">
        <x:f>IF(Q664="是",0,MIN(10,2+IF(C664="高",2,1)+IF(K664&gt;=3%,3,IF(K664&gt;=1%,2,1))+IF(L664="新出现",2,IF(M664&gt;=100%,3,IF(M664&gt;0,2,0)))))</x:f>
        <x:v>8</x:v>
      </x:c>
      <x:c r="T664" s="21"/>
      <x:c r="U664" s="20"/>
      <x:c r="V664" s="19" t="str">
        <x:v>http://vandyke.com/</x:v>
      </x:c>
      <x:c r="W664" s="19" t="str">
        <x:v>https://pro.similarweb.com/#/digitalsuite/websiteanalysis/referrals/*/999/1m?webSource=Total&amp;selectedTab=incomingTraffic&amp;key=sites.fastspring.com</x:v>
      </x:c>
      <x:c r="X664" s="20" t="n">
        <x:f>IF(Q664="是",0,IFERROR(P664/SUMIFS($P$2:$P$964,$A$2:$A$964,A664,$Q$2:$Q$964,"否"),0))</x:f>
        <x:v>0.00745436984571188</x:v>
      </x:c>
      <x:c r="Y664" s="22" t="str">
        <x:f>IF(OR(M664="",U664=""),"未交叉",IF(M664*U664&gt;0,"同向",IF(M664*U664&lt;0,"背离","一侧持平")))</x:f>
        <x:v>未交叉</x:v>
      </x:c>
    </x:row>
    <x:row r="665">
      <x:c r="A665" s="18" t="str">
        <x:v>sites.fastspring.com</x:v>
      </x:c>
      <x:c r="B665" s="19" t="str">
        <x:v>专用支付/结账入口</x:v>
      </x:c>
      <x:c r="C665" s="19" t="str">
        <x:v>高</x:v>
      </x:c>
      <x:c r="D665" s="19" t="str">
        <x:v>Jul 2026</x:v>
      </x:c>
      <x:c r="E665" s="19" t="n">
        <x:v>22</x:v>
      </x:c>
      <x:c r="F665" s="19" t="str">
        <x:v>login.vanaia.com</x:v>
      </x:c>
      <x:c r="G665" s="19" t="str">
        <x:v>Computers Electronics and Technology</x:v>
      </x:c>
      <x:c r="H665" s="19" t="str">
        <x:v>通用数字产品与技术服务</x:v>
      </x:c>
      <x:c r="I665" s="19" t="str">
        <x:v>Similarweb 行业映射</x:v>
      </x:c>
      <x:c r="J665" s="19"/>
      <x:c r="K665" s="20" t="n">
        <x:v>0.0054</x:v>
      </x:c>
      <x:c r="L665" s="19" t="str">
        <x:v>新出现</x:v>
      </x:c>
      <x:c r="M665" s="20"/>
      <x:c r="N665" s="21" t="n">
        <x:v>107449</x:v>
      </x:c>
      <x:c r="O665" s="21" t="n">
        <x:v>580</x:v>
      </x:c>
      <x:c r="P665" s="21" t="n">
        <x:f>ROUND(N665*K665,0)</x:f>
        <x:v>580</x:v>
      </x:c>
      <x:c r="Q665" s="19" t="str">
        <x:v>否</x:v>
      </x:c>
      <x:c r="R665" s="19" t="str"/>
      <x:c r="S665" s="19" t="n">
        <x:f>IF(Q665="是",0,MIN(10,2+IF(C665="高",2,1)+IF(K665&gt;=3%,3,IF(K665&gt;=1%,2,1))+IF(L665="新出现",2,IF(M665&gt;=100%,3,IF(M665&gt;0,2,0)))))</x:f>
        <x:v>7</x:v>
      </x:c>
      <x:c r="T665" s="21"/>
      <x:c r="U665" s="20"/>
      <x:c r="V665" s="19" t="str">
        <x:v>http://login.vanaia.com/</x:v>
      </x:c>
      <x:c r="W665" s="19" t="str">
        <x:v>https://pro.similarweb.com/#/digitalsuite/websiteanalysis/referrals/*/999/1m?webSource=Total&amp;selectedTab=incomingTraffic&amp;key=sites.fastspring.com</x:v>
      </x:c>
      <x:c r="X665" s="20" t="n">
        <x:f>IF(Q665="是",0,IFERROR(P665/SUMIFS($P$2:$P$964,$A$2:$A$964,A665,$Q$2:$Q$964,"否"),0))</x:f>
        <x:v>0.007181951014141014</x:v>
      </x:c>
      <x:c r="Y665" s="22" t="str">
        <x:f>IF(OR(M665="",U665=""),"未交叉",IF(M665*U665&gt;0,"同向",IF(M665*U665&lt;0,"背离","一侧持平")))</x:f>
        <x:v>未交叉</x:v>
      </x:c>
    </x:row>
    <x:row r="666">
      <x:c r="A666" s="18" t="str">
        <x:v>sites.fastspring.com</x:v>
      </x:c>
      <x:c r="B666" s="19" t="str">
        <x:v>专用支付/结账入口</x:v>
      </x:c>
      <x:c r="C666" s="19" t="str">
        <x:v>高</x:v>
      </x:c>
      <x:c r="D666" s="19" t="str">
        <x:v>Jul 2026</x:v>
      </x:c>
      <x:c r="E666" s="19" t="n">
        <x:v>23</x:v>
      </x:c>
      <x:c r="F666" s="19" t="str">
        <x:v>faststone.org</x:v>
      </x:c>
      <x:c r="G666" s="19" t="str">
        <x:v>Programming and Developer Software</x:v>
      </x:c>
      <x:c r="H666" s="19" t="str">
        <x:v>开发者工具与互联网基础设施</x:v>
      </x:c>
      <x:c r="I666" s="19" t="str">
        <x:v>Similarweb 行业映射</x:v>
      </x:c>
      <x:c r="J666" s="19" t="n">
        <x:v>99943</x:v>
      </x:c>
      <x:c r="K666" s="20" t="n">
        <x:v>0.0052</x:v>
      </x:c>
      <x:c r="L666" s="19" t="str">
        <x:v>下降</x:v>
      </x:c>
      <x:c r="M666" s="20" t="n">
        <x:v>-0.6692</x:v>
      </x:c>
      <x:c r="N666" s="21" t="n">
        <x:v>107449</x:v>
      </x:c>
      <x:c r="O666" s="21" t="n">
        <x:v>559</x:v>
      </x:c>
      <x:c r="P666" s="21" t="n">
        <x:f>ROUND(N666*K666,0)</x:f>
        <x:v>559</x:v>
      </x:c>
      <x:c r="Q666" s="19" t="str">
        <x:v>否</x:v>
      </x:c>
      <x:c r="R666" s="19" t="str"/>
      <x:c r="S666" s="19" t="n">
        <x:f>IF(Q666="是",0,MIN(10,2+IF(C666="高",2,1)+IF(K666&gt;=3%,3,IF(K666&gt;=1%,2,1))+IF(L666="新出现",2,IF(M666&gt;=100%,3,IF(M666&gt;0,2,0)))))</x:f>
        <x:v>5</x:v>
      </x:c>
      <x:c r="T666" s="21"/>
      <x:c r="U666" s="20"/>
      <x:c r="V666" s="19" t="str">
        <x:v>http://faststone.org/</x:v>
      </x:c>
      <x:c r="W666" s="19" t="str">
        <x:v>https://pro.similarweb.com/#/digitalsuite/websiteanalysis/referrals/*/999/1m?webSource=Total&amp;selectedTab=incomingTraffic&amp;key=sites.fastspring.com</x:v>
      </x:c>
      <x:c r="X666" s="20" t="n">
        <x:f>IF(Q666="是",0,IFERROR(P666/SUMIFS($P$2:$P$964,$A$2:$A$964,A666,$Q$2:$Q$964,"否"),0))</x:f>
        <x:v>0.00692191485673246</x:v>
      </x:c>
      <x:c r="Y666" s="22" t="str">
        <x:f>IF(OR(M666="",U666=""),"未交叉",IF(M666*U666&gt;0,"同向",IF(M666*U666&lt;0,"背离","一侧持平")))</x:f>
        <x:v>未交叉</x:v>
      </x:c>
    </x:row>
    <x:row r="667">
      <x:c r="A667" s="18" t="str">
        <x:v>sites.fastspring.com</x:v>
      </x:c>
      <x:c r="B667" s="19" t="str">
        <x:v>专用支付/结账入口</x:v>
      </x:c>
      <x:c r="C667" s="19" t="str">
        <x:v>高</x:v>
      </x:c>
      <x:c r="D667" s="19" t="str">
        <x:v>Jul 2026</x:v>
      </x:c>
      <x:c r="E667" s="19" t="n">
        <x:v>24</x:v>
      </x:c>
      <x:c r="F667" s="19" t="str">
        <x:v>goodsol.com</x:v>
      </x:c>
      <x:c r="G667" s="19" t="str">
        <x:v>Video Games Consoles and Accessories</x:v>
      </x:c>
      <x:c r="H667" s="19" t="str">
        <x:v>游戏、数字商品与虚拟内容</x:v>
      </x:c>
      <x:c r="I667" s="19" t="str">
        <x:v>Similarweb 行业映射</x:v>
      </x:c>
      <x:c r="J667" s="19" t="n">
        <x:v>555007</x:v>
      </x:c>
      <x:c r="K667" s="20" t="n">
        <x:v>0.0051</x:v>
      </x:c>
      <x:c r="L667" s="19" t="str">
        <x:v>上升</x:v>
      </x:c>
      <x:c r="M667" s="20" t="n">
        <x:v>0.22690000000000002</x:v>
      </x:c>
      <x:c r="N667" s="21" t="n">
        <x:v>107449</x:v>
      </x:c>
      <x:c r="O667" s="21" t="n">
        <x:v>548</x:v>
      </x:c>
      <x:c r="P667" s="21" t="n">
        <x:f>ROUND(N667*K667,0)</x:f>
        <x:v>548</x:v>
      </x:c>
      <x:c r="Q667" s="19" t="str">
        <x:v>否</x:v>
      </x:c>
      <x:c r="R667" s="19" t="str"/>
      <x:c r="S667" s="19" t="n">
        <x:f>IF(Q667="是",0,MIN(10,2+IF(C667="高",2,1)+IF(K667&gt;=3%,3,IF(K667&gt;=1%,2,1))+IF(L667="新出现",2,IF(M667&gt;=100%,3,IF(M667&gt;0,2,0)))))</x:f>
        <x:v>7</x:v>
      </x:c>
      <x:c r="T667" s="21"/>
      <x:c r="U667" s="20"/>
      <x:c r="V667" s="19" t="str">
        <x:v>http://goodsol.com/</x:v>
      </x:c>
      <x:c r="W667" s="19" t="str">
        <x:v>https://pro.similarweb.com/#/digitalsuite/websiteanalysis/referrals/*/999/1m?webSource=Total&amp;selectedTab=incomingTraffic&amp;key=sites.fastspring.com</x:v>
      </x:c>
      <x:c r="X667" s="20" t="n">
        <x:f>IF(Q667="是",0,IFERROR(P667/SUMIFS($P$2:$P$964,$A$2:$A$964,A667,$Q$2:$Q$964,"否"),0))</x:f>
        <x:v>0.006785705440947027</x:v>
      </x:c>
      <x:c r="Y667" s="22" t="str">
        <x:f>IF(OR(M667="",U667=""),"未交叉",IF(M667*U667&gt;0,"同向",IF(M667*U667&lt;0,"背离","一侧持平")))</x:f>
        <x:v>未交叉</x:v>
      </x:c>
    </x:row>
    <x:row r="668">
      <x:c r="A668" s="18" t="str">
        <x:v>sites.fastspring.com</x:v>
      </x:c>
      <x:c r="B668" s="19" t="str">
        <x:v>专用支付/结账入口</x:v>
      </x:c>
      <x:c r="C668" s="19" t="str">
        <x:v>高</x:v>
      </x:c>
      <x:c r="D668" s="19" t="str">
        <x:v>Jul 2026</x:v>
      </x:c>
      <x:c r="E668" s="19" t="n">
        <x:v>25</x:v>
      </x:c>
      <x:c r="F668" s="19" t="str">
        <x:v>hutonggames.com</x:v>
      </x:c>
      <x:c r="G668" s="19" t="str">
        <x:v>Computers Electronics and Technology</x:v>
      </x:c>
      <x:c r="H668" s="19" t="str">
        <x:v>通用数字产品与技术服务</x:v>
      </x:c>
      <x:c r="I668" s="19" t="str">
        <x:v>Similarweb 行业映射</x:v>
      </x:c>
      <x:c r="J668" s="19" t="n">
        <x:v>746582</x:v>
      </x:c>
      <x:c r="K668" s="20" t="n">
        <x:v>0.0045000000000000005</x:v>
      </x:c>
      <x:c r="L668" s="19" t="str">
        <x:v>上升</x:v>
      </x:c>
      <x:c r="M668" s="20" t="n">
        <x:v>1.2923</x:v>
      </x:c>
      <x:c r="N668" s="21" t="n">
        <x:v>107449</x:v>
      </x:c>
      <x:c r="O668" s="21" t="n">
        <x:v>484</x:v>
      </x:c>
      <x:c r="P668" s="21" t="n">
        <x:f>ROUND(N668*K668,0)</x:f>
        <x:v>484</x:v>
      </x:c>
      <x:c r="Q668" s="19" t="str">
        <x:v>否</x:v>
      </x:c>
      <x:c r="R668" s="19" t="str"/>
      <x:c r="S668" s="19" t="n">
        <x:f>IF(Q668="是",0,MIN(10,2+IF(C668="高",2,1)+IF(K668&gt;=3%,3,IF(K668&gt;=1%,2,1))+IF(L668="新出现",2,IF(M668&gt;=100%,3,IF(M668&gt;0,2,0)))))</x:f>
        <x:v>8</x:v>
      </x:c>
      <x:c r="T668" s="21"/>
      <x:c r="U668" s="20"/>
      <x:c r="V668" s="19" t="str">
        <x:v>http://hutonggames.com/</x:v>
      </x:c>
      <x:c r="W668" s="19" t="str">
        <x:v>https://pro.similarweb.com/#/digitalsuite/websiteanalysis/referrals/*/999/1m?webSource=Total&amp;selectedTab=incomingTraffic&amp;key=sites.fastspring.com</x:v>
      </x:c>
      <x:c r="X668" s="20" t="n">
        <x:f>IF(Q668="是",0,IFERROR(P668/SUMIFS($P$2:$P$964,$A$2:$A$964,A668,$Q$2:$Q$964,"否"),0))</x:f>
        <x:v>0.005993214294559053</x:v>
      </x:c>
      <x:c r="Y668" s="22" t="str">
        <x:f>IF(OR(M668="",U668=""),"未交叉",IF(M668*U668&gt;0,"同向",IF(M668*U668&lt;0,"背离","一侧持平")))</x:f>
        <x:v>未交叉</x:v>
      </x:c>
    </x:row>
    <x:row r="669">
      <x:c r="A669" s="18" t="str">
        <x:v>sites.fastspring.com</x:v>
      </x:c>
      <x:c r="B669" s="19" t="str">
        <x:v>专用支付/结账入口</x:v>
      </x:c>
      <x:c r="C669" s="19" t="str">
        <x:v>高</x:v>
      </x:c>
      <x:c r="D669" s="19" t="str">
        <x:v>Jul 2026</x:v>
      </x:c>
      <x:c r="E669" s="19" t="n">
        <x:v>26</x:v>
      </x:c>
      <x:c r="F669" s="19" t="str">
        <x:v>ubuyfirst.com</x:v>
      </x:c>
      <x:c r="G669" s="19" t="str">
        <x:v>Ecommerce and Shopping</x:v>
      </x:c>
      <x:c r="H669" s="19" t="str">
        <x:v>其他/待核查</x:v>
      </x:c>
      <x:c r="I669" s="19" t="str">
        <x:v>保守归类</x:v>
      </x:c>
      <x:c r="J669" s="19" t="n">
        <x:v>660868</x:v>
      </x:c>
      <x:c r="K669" s="20" t="n">
        <x:v>0.0040999999999999995</x:v>
      </x:c>
      <x:c r="L669" s="19" t="str">
        <x:v>上升</x:v>
      </x:c>
      <x:c r="M669" s="20" t="n">
        <x:v>1.5848</x:v>
      </x:c>
      <x:c r="N669" s="21" t="n">
        <x:v>107449</x:v>
      </x:c>
      <x:c r="O669" s="21" t="n">
        <x:v>441</x:v>
      </x:c>
      <x:c r="P669" s="21" t="n">
        <x:f>ROUND(N669*K669,0)</x:f>
        <x:v>441</x:v>
      </x:c>
      <x:c r="Q669" s="19" t="str">
        <x:v>否</x:v>
      </x:c>
      <x:c r="R669" s="19" t="str"/>
      <x:c r="S669" s="19" t="n">
        <x:f>IF(Q669="是",0,MIN(10,2+IF(C669="高",2,1)+IF(K669&gt;=3%,3,IF(K669&gt;=1%,2,1))+IF(L669="新出现",2,IF(M669&gt;=100%,3,IF(M669&gt;0,2,0)))))</x:f>
        <x:v>8</x:v>
      </x:c>
      <x:c r="T669" s="21"/>
      <x:c r="U669" s="20"/>
      <x:c r="V669" s="19" t="str">
        <x:v>http://ubuyfirst.com/</x:v>
      </x:c>
      <x:c r="W669" s="19" t="str">
        <x:v>https://pro.similarweb.com/#/digitalsuite/websiteanalysis/referrals/*/999/1m?webSource=Total&amp;selectedTab=incomingTraffic&amp;key=sites.fastspring.com</x:v>
      </x:c>
      <x:c r="X669" s="20" t="n">
        <x:f>IF(Q669="是",0,IFERROR(P669/SUMIFS($P$2:$P$964,$A$2:$A$964,A669,$Q$2:$Q$964,"否"),0))</x:f>
        <x:v>0.005460759305579633</x:v>
      </x:c>
      <x:c r="Y669" s="22" t="str">
        <x:f>IF(OR(M669="",U669=""),"未交叉",IF(M669*U669&gt;0,"同向",IF(M669*U669&lt;0,"背离","一侧持平")))</x:f>
        <x:v>未交叉</x:v>
      </x:c>
    </x:row>
    <x:row r="670">
      <x:c r="A670" s="18" t="str">
        <x:v>sites.fastspring.com</x:v>
      </x:c>
      <x:c r="B670" s="19" t="str">
        <x:v>专用支付/结账入口</x:v>
      </x:c>
      <x:c r="C670" s="19" t="str">
        <x:v>高</x:v>
      </x:c>
      <x:c r="D670" s="19" t="str">
        <x:v>Jul 2026</x:v>
      </x:c>
      <x:c r="E670" s="19" t="n">
        <x:v>27</x:v>
      </x:c>
      <x:c r="F670" s="19" t="str">
        <x:v>hopperapp.com</x:v>
      </x:c>
      <x:c r="G670" s="19" t="str">
        <x:v>Computer Security</x:v>
      </x:c>
      <x:c r="H670" s="19" t="str">
        <x:v>开发者工具与互联网基础设施</x:v>
      </x:c>
      <x:c r="I670" s="19" t="str">
        <x:v>Similarweb 行业映射</x:v>
      </x:c>
      <x:c r="J670" s="19" t="n">
        <x:v>1522037</x:v>
      </x:c>
      <x:c r="K670" s="20" t="n">
        <x:v>0.0040999999999999995</x:v>
      </x:c>
      <x:c r="L670" s="19" t="str">
        <x:v>下降</x:v>
      </x:c>
      <x:c r="M670" s="20" t="n">
        <x:v>-0.7908</x:v>
      </x:c>
      <x:c r="N670" s="21" t="n">
        <x:v>107449</x:v>
      </x:c>
      <x:c r="O670" s="21" t="n">
        <x:v>441</x:v>
      </x:c>
      <x:c r="P670" s="21" t="n">
        <x:f>ROUND(N670*K670,0)</x:f>
        <x:v>441</x:v>
      </x:c>
      <x:c r="Q670" s="19" t="str">
        <x:v>否</x:v>
      </x:c>
      <x:c r="R670" s="19" t="str"/>
      <x:c r="S670" s="19" t="n">
        <x:f>IF(Q670="是",0,MIN(10,2+IF(C670="高",2,1)+IF(K670&gt;=3%,3,IF(K670&gt;=1%,2,1))+IF(L670="新出现",2,IF(M670&gt;=100%,3,IF(M670&gt;0,2,0)))))</x:f>
        <x:v>5</x:v>
      </x:c>
      <x:c r="T670" s="21"/>
      <x:c r="U670" s="20"/>
      <x:c r="V670" s="19" t="str">
        <x:v>http://hopperapp.com/</x:v>
      </x:c>
      <x:c r="W670" s="19" t="str">
        <x:v>https://pro.similarweb.com/#/digitalsuite/websiteanalysis/referrals/*/999/1m?webSource=Total&amp;selectedTab=incomingTraffic&amp;key=sites.fastspring.com</x:v>
      </x:c>
      <x:c r="X670" s="20" t="n">
        <x:f>IF(Q670="是",0,IFERROR(P670/SUMIFS($P$2:$P$964,$A$2:$A$964,A670,$Q$2:$Q$964,"否"),0))</x:f>
        <x:v>0.005460759305579633</x:v>
      </x:c>
      <x:c r="Y670" s="22" t="str">
        <x:f>IF(OR(M670="",U670=""),"未交叉",IF(M670*U670&gt;0,"同向",IF(M670*U670&lt;0,"背离","一侧持平")))</x:f>
        <x:v>未交叉</x:v>
      </x:c>
    </x:row>
    <x:row r="671">
      <x:c r="A671" s="18" t="str">
        <x:v>sites.fastspring.com</x:v>
      </x:c>
      <x:c r="B671" s="19" t="str">
        <x:v>专用支付/结账入口</x:v>
      </x:c>
      <x:c r="C671" s="19" t="str">
        <x:v>高</x:v>
      </x:c>
      <x:c r="D671" s="19" t="str">
        <x:v>Jul 2026</x:v>
      </x:c>
      <x:c r="E671" s="19" t="n">
        <x:v>28</x:v>
      </x:c>
      <x:c r="F671" s="19" t="str">
        <x:v>swinsian.com</x:v>
      </x:c>
      <x:c r="G671" s="19" t="str">
        <x:v>Graphics Multimedia and Web Design</x:v>
      </x:c>
      <x:c r="H671" s="19" t="str">
        <x:v>创作、设计与多媒体工具</x:v>
      </x:c>
      <x:c r="I671" s="19" t="str">
        <x:v>Similarweb 行业映射</x:v>
      </x:c>
      <x:c r="J671" s="19" t="n">
        <x:v>2062658</x:v>
      </x:c>
      <x:c r="K671" s="20" t="n">
        <x:v>0.0039000000000000003</x:v>
      </x:c>
      <x:c r="L671" s="19" t="str">
        <x:v>下降</x:v>
      </x:c>
      <x:c r="M671" s="20" t="n">
        <x:v>-0.8193</x:v>
      </x:c>
      <x:c r="N671" s="21" t="n">
        <x:v>107449</x:v>
      </x:c>
      <x:c r="O671" s="21" t="n">
        <x:v>419</x:v>
      </x:c>
      <x:c r="P671" s="21" t="n">
        <x:f>ROUND(N671*K671,0)</x:f>
        <x:v>419</x:v>
      </x:c>
      <x:c r="Q671" s="19" t="str">
        <x:v>否</x:v>
      </x:c>
      <x:c r="R671" s="19" t="str"/>
      <x:c r="S671" s="19" t="n">
        <x:f>IF(Q671="是",0,MIN(10,2+IF(C671="高",2,1)+IF(K671&gt;=3%,3,IF(K671&gt;=1%,2,1))+IF(L671="新出现",2,IF(M671&gt;=100%,3,IF(M671&gt;0,2,0)))))</x:f>
        <x:v>5</x:v>
      </x:c>
      <x:c r="T671" s="21"/>
      <x:c r="U671" s="20"/>
      <x:c r="V671" s="19" t="str">
        <x:v>http://swinsian.com/</x:v>
      </x:c>
      <x:c r="W671" s="19" t="str">
        <x:v>https://pro.similarweb.com/#/digitalsuite/websiteanalysis/referrals/*/999/1m?webSource=Total&amp;selectedTab=incomingTraffic&amp;key=sites.fastspring.com</x:v>
      </x:c>
      <x:c r="X671" s="20" t="n">
        <x:f>IF(Q671="是",0,IFERROR(P671/SUMIFS($P$2:$P$964,$A$2:$A$964,A671,$Q$2:$Q$964,"否"),0))</x:f>
        <x:v>0.005188340474008767</x:v>
      </x:c>
      <x:c r="Y671" s="22" t="str">
        <x:f>IF(OR(M671="",U671=""),"未交叉",IF(M671*U671&gt;0,"同向",IF(M671*U671&lt;0,"背离","一侧持平")))</x:f>
        <x:v>未交叉</x:v>
      </x:c>
    </x:row>
    <x:row r="672">
      <x:c r="A672" s="18" t="str">
        <x:v>sites.fastspring.com</x:v>
      </x:c>
      <x:c r="B672" s="19" t="str">
        <x:v>专用支付/结账入口</x:v>
      </x:c>
      <x:c r="C672" s="19" t="str">
        <x:v>高</x:v>
      </x:c>
      <x:c r="D672" s="19" t="str">
        <x:v>Jul 2026</x:v>
      </x:c>
      <x:c r="E672" s="19" t="n">
        <x:v>29</x:v>
      </x:c>
      <x:c r="F672" s="19" t="str">
        <x:v>wmspanel.com</x:v>
      </x:c>
      <x:c r="G672" s="19" t="str">
        <x:v>Programming and Developer Software</x:v>
      </x:c>
      <x:c r="H672" s="19" t="str">
        <x:v>开发者工具与互联网基础设施</x:v>
      </x:c>
      <x:c r="I672" s="19" t="str">
        <x:v>Similarweb 行业映射</x:v>
      </x:c>
      <x:c r="J672" s="19" t="n">
        <x:v>852542</x:v>
      </x:c>
      <x:c r="K672" s="20" t="n">
        <x:v>0.003</x:v>
      </x:c>
      <x:c r="L672" s="19" t="str">
        <x:v>新出现</x:v>
      </x:c>
      <x:c r="M672" s="20"/>
      <x:c r="N672" s="21" t="n">
        <x:v>107449</x:v>
      </x:c>
      <x:c r="O672" s="21" t="n">
        <x:v>322</x:v>
      </x:c>
      <x:c r="P672" s="21" t="n">
        <x:f>ROUND(N672*K672,0)</x:f>
        <x:v>322</x:v>
      </x:c>
      <x:c r="Q672" s="19" t="str">
        <x:v>否</x:v>
      </x:c>
      <x:c r="R672" s="19" t="str"/>
      <x:c r="S672" s="19" t="n">
        <x:f>IF(Q672="是",0,MIN(10,2+IF(C672="高",2,1)+IF(K672&gt;=3%,3,IF(K672&gt;=1%,2,1))+IF(L672="新出现",2,IF(M672&gt;=100%,3,IF(M672&gt;0,2,0)))))</x:f>
        <x:v>7</x:v>
      </x:c>
      <x:c r="T672" s="21"/>
      <x:c r="U672" s="20"/>
      <x:c r="V672" s="19" t="str">
        <x:v>http://wmspanel.com/</x:v>
      </x:c>
      <x:c r="W672" s="19" t="str">
        <x:v>https://pro.similarweb.com/#/digitalsuite/websiteanalysis/referrals/*/999/1m?webSource=Total&amp;selectedTab=incomingTraffic&amp;key=sites.fastspring.com</x:v>
      </x:c>
      <x:c r="X672" s="20" t="n">
        <x:f>IF(Q672="是",0,IFERROR(P672/SUMIFS($P$2:$P$964,$A$2:$A$964,A672,$Q$2:$Q$964,"否"),0))</x:f>
        <x:v>0.003987221080264494</x:v>
      </x:c>
      <x:c r="Y672" s="22" t="str">
        <x:f>IF(OR(M672="",U672=""),"未交叉",IF(M672*U672&gt;0,"同向",IF(M672*U672&lt;0,"背离","一侧持平")))</x:f>
        <x:v>未交叉</x:v>
      </x:c>
    </x:row>
    <x:row r="673">
      <x:c r="A673" s="18" t="str">
        <x:v>sites.fastspring.com</x:v>
      </x:c>
      <x:c r="B673" s="19" t="str">
        <x:v>专用支付/结账入口</x:v>
      </x:c>
      <x:c r="C673" s="19" t="str">
        <x:v>高</x:v>
      </x:c>
      <x:c r="D673" s="19" t="str">
        <x:v>Jul 2026</x:v>
      </x:c>
      <x:c r="E673" s="19" t="n">
        <x:v>30</x:v>
      </x:c>
      <x:c r="F673" s="19" t="str">
        <x:v>musicalsampling.com</x:v>
      </x:c>
      <x:c r="G673" s="19" t="str">
        <x:v>Music</x:v>
      </x:c>
      <x:c r="H673" s="19" t="str">
        <x:v>创作、设计与多媒体工具</x:v>
      </x:c>
      <x:c r="I673" s="19" t="str">
        <x:v>Similarweb 行业映射</x:v>
      </x:c>
      <x:c r="J673" s="19" t="n">
        <x:v>1749246</x:v>
      </x:c>
      <x:c r="K673" s="20" t="n">
        <x:v>0.0029</x:v>
      </x:c>
      <x:c r="L673" s="19" t="str">
        <x:v>下降</x:v>
      </x:c>
      <x:c r="M673" s="20" t="n">
        <x:v>-0.2756</x:v>
      </x:c>
      <x:c r="N673" s="21" t="n">
        <x:v>107449</x:v>
      </x:c>
      <x:c r="O673" s="21" t="n">
        <x:v>312</x:v>
      </x:c>
      <x:c r="P673" s="21" t="n">
        <x:f>ROUND(N673*K673,0)</x:f>
        <x:v>312</x:v>
      </x:c>
      <x:c r="Q673" s="19" t="str">
        <x:v>否</x:v>
      </x:c>
      <x:c r="R673" s="19" t="str"/>
      <x:c r="S673" s="19" t="n">
        <x:f>IF(Q673="是",0,MIN(10,2+IF(C673="高",2,1)+IF(K673&gt;=3%,3,IF(K673&gt;=1%,2,1))+IF(L673="新出现",2,IF(M673&gt;=100%,3,IF(M673&gt;0,2,0)))))</x:f>
        <x:v>5</x:v>
      </x:c>
      <x:c r="T673" s="21"/>
      <x:c r="U673" s="20"/>
      <x:c r="V673" s="19" t="str">
        <x:v>http://musicalsampling.com/</x:v>
      </x:c>
      <x:c r="W673" s="19" t="str">
        <x:v>https://pro.similarweb.com/#/digitalsuite/websiteanalysis/referrals/*/999/1m?webSource=Total&amp;selectedTab=incomingTraffic&amp;key=sites.fastspring.com</x:v>
      </x:c>
      <x:c r="X673" s="20" t="n">
        <x:f>IF(Q673="是",0,IFERROR(P673/SUMIFS($P$2:$P$964,$A$2:$A$964,A673,$Q$2:$Q$964,"否"),0))</x:f>
        <x:v>0.003863394338641373</x:v>
      </x:c>
      <x:c r="Y673" s="22" t="str">
        <x:f>IF(OR(M673="",U673=""),"未交叉",IF(M673*U673&gt;0,"同向",IF(M673*U673&lt;0,"背离","一侧持平")))</x:f>
        <x:v>未交叉</x:v>
      </x:c>
    </x:row>
    <x:row r="674">
      <x:c r="A674" s="18" t="str">
        <x:v>sites.fastspring.com</x:v>
      </x:c>
      <x:c r="B674" s="19" t="str">
        <x:v>专用支付/结账入口</x:v>
      </x:c>
      <x:c r="C674" s="19" t="str">
        <x:v>高</x:v>
      </x:c>
      <x:c r="D674" s="19" t="str">
        <x:v>Jul 2026</x:v>
      </x:c>
      <x:c r="E674" s="19" t="n">
        <x:v>31</x:v>
      </x:c>
      <x:c r="F674" s="19" t="str">
        <x:v>brightfort.com</x:v>
      </x:c>
      <x:c r="G674" s="19" t="str">
        <x:v>Computer Security</x:v>
      </x:c>
      <x:c r="H674" s="19" t="str">
        <x:v>开发者工具与互联网基础设施</x:v>
      </x:c>
      <x:c r="I674" s="19" t="str">
        <x:v>Similarweb 行业映射</x:v>
      </x:c>
      <x:c r="J674" s="19" t="n">
        <x:v>2111000</x:v>
      </x:c>
      <x:c r="K674" s="20" t="n">
        <x:v>0.0029</x:v>
      </x:c>
      <x:c r="L674" s="19" t="str">
        <x:v>上升</x:v>
      </x:c>
      <x:c r="M674" s="20" t="n">
        <x:v>1.6533000000000002</x:v>
      </x:c>
      <x:c r="N674" s="21" t="n">
        <x:v>107449</x:v>
      </x:c>
      <x:c r="O674" s="21" t="n">
        <x:v>312</x:v>
      </x:c>
      <x:c r="P674" s="21" t="n">
        <x:f>ROUND(N674*K674,0)</x:f>
        <x:v>312</x:v>
      </x:c>
      <x:c r="Q674" s="19" t="str">
        <x:v>否</x:v>
      </x:c>
      <x:c r="R674" s="19" t="str"/>
      <x:c r="S674" s="19" t="n">
        <x:f>IF(Q674="是",0,MIN(10,2+IF(C674="高",2,1)+IF(K674&gt;=3%,3,IF(K674&gt;=1%,2,1))+IF(L674="新出现",2,IF(M674&gt;=100%,3,IF(M674&gt;0,2,0)))))</x:f>
        <x:v>8</x:v>
      </x:c>
      <x:c r="T674" s="21"/>
      <x:c r="U674" s="20"/>
      <x:c r="V674" s="19" t="str">
        <x:v>http://brightfort.com/</x:v>
      </x:c>
      <x:c r="W674" s="19" t="str">
        <x:v>https://pro.similarweb.com/#/digitalsuite/websiteanalysis/referrals/*/999/1m?webSource=Total&amp;selectedTab=incomingTraffic&amp;key=sites.fastspring.com</x:v>
      </x:c>
      <x:c r="X674" s="20" t="n">
        <x:f>IF(Q674="是",0,IFERROR(P674/SUMIFS($P$2:$P$964,$A$2:$A$964,A674,$Q$2:$Q$964,"否"),0))</x:f>
        <x:v>0.003863394338641373</x:v>
      </x:c>
      <x:c r="Y674" s="22" t="str">
        <x:f>IF(OR(M674="",U674=""),"未交叉",IF(M674*U674&gt;0,"同向",IF(M674*U674&lt;0,"背离","一侧持平")))</x:f>
        <x:v>未交叉</x:v>
      </x:c>
    </x:row>
    <x:row r="675">
      <x:c r="A675" s="18" t="str">
        <x:v>sites.fastspring.com</x:v>
      </x:c>
      <x:c r="B675" s="19" t="str">
        <x:v>专用支付/结账入口</x:v>
      </x:c>
      <x:c r="C675" s="19" t="str">
        <x:v>高</x:v>
      </x:c>
      <x:c r="D675" s="19" t="str">
        <x:v>Jul 2026</x:v>
      </x:c>
      <x:c r="E675" s="19" t="n">
        <x:v>32</x:v>
      </x:c>
      <x:c r="F675" s="19" t="str">
        <x:v>enviroware.com</x:v>
      </x:c>
      <x:c r="G675" s="19" t="str">
        <x:v>Environmental Science</x:v>
      </x:c>
      <x:c r="H675" s="19" t="str">
        <x:v>其他/待核查</x:v>
      </x:c>
      <x:c r="I675" s="19" t="str">
        <x:v>保守归类</x:v>
      </x:c>
      <x:c r="J675" s="19" t="n">
        <x:v>9925714</x:v>
      </x:c>
      <x:c r="K675" s="20" t="n">
        <x:v>0.0029</x:v>
      </x:c>
      <x:c r="L675" s="19" t="str">
        <x:v>新出现</x:v>
      </x:c>
      <x:c r="M675" s="20"/>
      <x:c r="N675" s="21" t="n">
        <x:v>107449</x:v>
      </x:c>
      <x:c r="O675" s="21" t="n">
        <x:v>312</x:v>
      </x:c>
      <x:c r="P675" s="21" t="n">
        <x:f>ROUND(N675*K675,0)</x:f>
        <x:v>312</x:v>
      </x:c>
      <x:c r="Q675" s="19" t="str">
        <x:v>否</x:v>
      </x:c>
      <x:c r="R675" s="19" t="str"/>
      <x:c r="S675" s="19" t="n">
        <x:f>IF(Q675="是",0,MIN(10,2+IF(C675="高",2,1)+IF(K675&gt;=3%,3,IF(K675&gt;=1%,2,1))+IF(L675="新出现",2,IF(M675&gt;=100%,3,IF(M675&gt;0,2,0)))))</x:f>
        <x:v>7</x:v>
      </x:c>
      <x:c r="T675" s="21"/>
      <x:c r="U675" s="20"/>
      <x:c r="V675" s="19" t="str">
        <x:v>http://enviroware.com/</x:v>
      </x:c>
      <x:c r="W675" s="19" t="str">
        <x:v>https://pro.similarweb.com/#/digitalsuite/websiteanalysis/referrals/*/999/1m?webSource=Total&amp;selectedTab=incomingTraffic&amp;key=sites.fastspring.com</x:v>
      </x:c>
      <x:c r="X675" s="20" t="n">
        <x:f>IF(Q675="是",0,IFERROR(P675/SUMIFS($P$2:$P$964,$A$2:$A$964,A675,$Q$2:$Q$964,"否"),0))</x:f>
        <x:v>0.003863394338641373</x:v>
      </x:c>
      <x:c r="Y675" s="22" t="str">
        <x:f>IF(OR(M675="",U675=""),"未交叉",IF(M675*U675&gt;0,"同向",IF(M675*U675&lt;0,"背离","一侧持平")))</x:f>
        <x:v>未交叉</x:v>
      </x:c>
    </x:row>
    <x:row r="676">
      <x:c r="A676" s="18" t="str">
        <x:v>sites.fastspring.com</x:v>
      </x:c>
      <x:c r="B676" s="19" t="str">
        <x:v>专用支付/结账入口</x:v>
      </x:c>
      <x:c r="C676" s="19" t="str">
        <x:v>高</x:v>
      </x:c>
      <x:c r="D676" s="19" t="str">
        <x:v>Jul 2026</x:v>
      </x:c>
      <x:c r="E676" s="19" t="n">
        <x:v>33</x:v>
      </x:c>
      <x:c r="F676" s="19" t="str">
        <x:v>usboverdrive.com</x:v>
      </x:c>
      <x:c r="G676" s="19" t="str">
        <x:v>Computers Electronics and Technology</x:v>
      </x:c>
      <x:c r="H676" s="19" t="str">
        <x:v>通用数字产品与技术服务</x:v>
      </x:c>
      <x:c r="I676" s="19" t="str">
        <x:v>Similarweb 行业映射</x:v>
      </x:c>
      <x:c r="J676" s="19" t="n">
        <x:v>3981681</x:v>
      </x:c>
      <x:c r="K676" s="20" t="n">
        <x:v>0.0025</x:v>
      </x:c>
      <x:c r="L676" s="19" t="str">
        <x:v>上升</x:v>
      </x:c>
      <x:c r="M676" s="20" t="n">
        <x:v>0.9397</x:v>
      </x:c>
      <x:c r="N676" s="21" t="n">
        <x:v>107449</x:v>
      </x:c>
      <x:c r="O676" s="21" t="n">
        <x:v>269</x:v>
      </x:c>
      <x:c r="P676" s="21" t="n">
        <x:f>ROUND(N676*K676,0)</x:f>
        <x:v>269</x:v>
      </x:c>
      <x:c r="Q676" s="19" t="str">
        <x:v>否</x:v>
      </x:c>
      <x:c r="R676" s="19" t="str"/>
      <x:c r="S676" s="19" t="n">
        <x:f>IF(Q676="是",0,MIN(10,2+IF(C676="高",2,1)+IF(K676&gt;=3%,3,IF(K676&gt;=1%,2,1))+IF(L676="新出现",2,IF(M676&gt;=100%,3,IF(M676&gt;0,2,0)))))</x:f>
        <x:v>7</x:v>
      </x:c>
      <x:c r="T676" s="21"/>
      <x:c r="U676" s="20"/>
      <x:c r="V676" s="19" t="str">
        <x:v>http://usboverdrive.com/</x:v>
      </x:c>
      <x:c r="W676" s="19" t="str">
        <x:v>https://pro.similarweb.com/#/digitalsuite/websiteanalysis/referrals/*/999/1m?webSource=Total&amp;selectedTab=incomingTraffic&amp;key=sites.fastspring.com</x:v>
      </x:c>
      <x:c r="X676" s="20" t="n">
        <x:f>IF(Q676="是",0,IFERROR(P676/SUMIFS($P$2:$P$964,$A$2:$A$964,A676,$Q$2:$Q$964,"否"),0))</x:f>
        <x:v>0.003330939349661953</x:v>
      </x:c>
      <x:c r="Y676" s="22" t="str">
        <x:f>IF(OR(M676="",U676=""),"未交叉",IF(M676*U676&gt;0,"同向",IF(M676*U676&lt;0,"背离","一侧持平")))</x:f>
        <x:v>未交叉</x:v>
      </x:c>
    </x:row>
    <x:row r="677">
      <x:c r="A677" s="18" t="str">
        <x:v>sites.fastspring.com</x:v>
      </x:c>
      <x:c r="B677" s="19" t="str">
        <x:v>专用支付/结账入口</x:v>
      </x:c>
      <x:c r="C677" s="19" t="str">
        <x:v>高</x:v>
      </x:c>
      <x:c r="D677" s="19" t="str">
        <x:v>Jul 2026</x:v>
      </x:c>
      <x:c r="E677" s="19" t="n">
        <x:v>34</x:v>
      </x:c>
      <x:c r="F677" s="19" t="str">
        <x:v>capitalismlab.com</x:v>
      </x:c>
      <x:c r="G677" s="19" t="str">
        <x:v>Video Games Consoles and Accessories</x:v>
      </x:c>
      <x:c r="H677" s="19" t="str">
        <x:v>游戏、数字商品与虚拟内容</x:v>
      </x:c>
      <x:c r="I677" s="19" t="str">
        <x:v>Similarweb 行业映射</x:v>
      </x:c>
      <x:c r="J677" s="19" t="n">
        <x:v>238969</x:v>
      </x:c>
      <x:c r="K677" s="20" t="n">
        <x:v>0.0025</x:v>
      </x:c>
      <x:c r="L677" s="19" t="str">
        <x:v>下降</x:v>
      </x:c>
      <x:c r="M677" s="20" t="n">
        <x:v>-0.9046</x:v>
      </x:c>
      <x:c r="N677" s="21" t="n">
        <x:v>107449</x:v>
      </x:c>
      <x:c r="O677" s="21" t="n">
        <x:v>269</x:v>
      </x:c>
      <x:c r="P677" s="21" t="n">
        <x:f>ROUND(N677*K677,0)</x:f>
        <x:v>269</x:v>
      </x:c>
      <x:c r="Q677" s="19" t="str">
        <x:v>否</x:v>
      </x:c>
      <x:c r="R677" s="19" t="str"/>
      <x:c r="S677" s="19" t="n">
        <x:f>IF(Q677="是",0,MIN(10,2+IF(C677="高",2,1)+IF(K677&gt;=3%,3,IF(K677&gt;=1%,2,1))+IF(L677="新出现",2,IF(M677&gt;=100%,3,IF(M677&gt;0,2,0)))))</x:f>
        <x:v>5</x:v>
      </x:c>
      <x:c r="T677" s="21"/>
      <x:c r="U677" s="20"/>
      <x:c r="V677" s="19" t="str">
        <x:v>http://capitalismlab.com/</x:v>
      </x:c>
      <x:c r="W677" s="19" t="str">
        <x:v>https://pro.similarweb.com/#/digitalsuite/websiteanalysis/referrals/*/999/1m?webSource=Total&amp;selectedTab=incomingTraffic&amp;key=sites.fastspring.com</x:v>
      </x:c>
      <x:c r="X677" s="20" t="n">
        <x:f>IF(Q677="是",0,IFERROR(P677/SUMIFS($P$2:$P$964,$A$2:$A$964,A677,$Q$2:$Q$964,"否"),0))</x:f>
        <x:v>0.003330939349661953</x:v>
      </x:c>
      <x:c r="Y677" s="22" t="str">
        <x:f>IF(OR(M677="",U677=""),"未交叉",IF(M677*U677&gt;0,"同向",IF(M677*U677&lt;0,"背离","一侧持平")))</x:f>
        <x:v>未交叉</x:v>
      </x:c>
    </x:row>
    <x:row r="678">
      <x:c r="A678" s="18" t="str">
        <x:v>sites.fastspring.com</x:v>
      </x:c>
      <x:c r="B678" s="19" t="str">
        <x:v>专用支付/结账入口</x:v>
      </x:c>
      <x:c r="C678" s="19" t="str">
        <x:v>高</x:v>
      </x:c>
      <x:c r="D678" s="19" t="str">
        <x:v>Jul 2026</x:v>
      </x:c>
      <x:c r="E678" s="19" t="n">
        <x:v>35</x:v>
      </x:c>
      <x:c r="F678" s="19" t="str">
        <x:v>acrosscenter.com</x:v>
      </x:c>
      <x:c r="G678" s="19" t="str">
        <x:v>Programming and Developer Software</x:v>
      </x:c>
      <x:c r="H678" s="19" t="str">
        <x:v>开发者工具与互联网基础设施</x:v>
      </x:c>
      <x:c r="I678" s="19" t="str">
        <x:v>Similarweb 行业映射</x:v>
      </x:c>
      <x:c r="J678" s="19" t="n">
        <x:v>3175926</x:v>
      </x:c>
      <x:c r="K678" s="20" t="n">
        <x:v>0.0023</x:v>
      </x:c>
      <x:c r="L678" s="19" t="str">
        <x:v>上升</x:v>
      </x:c>
      <x:c r="M678" s="20" t="n">
        <x:v>0.0616</x:v>
      </x:c>
      <x:c r="N678" s="21" t="n">
        <x:v>107449</x:v>
      </x:c>
      <x:c r="O678" s="21" t="n">
        <x:v>247</x:v>
      </x:c>
      <x:c r="P678" s="21" t="n">
        <x:f>ROUND(N678*K678,0)</x:f>
        <x:v>247</x:v>
      </x:c>
      <x:c r="Q678" s="19" t="str">
        <x:v>否</x:v>
      </x:c>
      <x:c r="R678" s="19" t="str"/>
      <x:c r="S678" s="19" t="n">
        <x:f>IF(Q678="是",0,MIN(10,2+IF(C678="高",2,1)+IF(K678&gt;=3%,3,IF(K678&gt;=1%,2,1))+IF(L678="新出现",2,IF(M678&gt;=100%,3,IF(M678&gt;0,2,0)))))</x:f>
        <x:v>7</x:v>
      </x:c>
      <x:c r="T678" s="21"/>
      <x:c r="U678" s="20"/>
      <x:c r="V678" s="19" t="str">
        <x:v>http://acrosscenter.com/</x:v>
      </x:c>
      <x:c r="W678" s="19" t="str">
        <x:v>https://pro.similarweb.com/#/digitalsuite/websiteanalysis/referrals/*/999/1m?webSource=Total&amp;selectedTab=incomingTraffic&amp;key=sites.fastspring.com</x:v>
      </x:c>
      <x:c r="X678" s="20" t="n">
        <x:f>IF(Q678="是",0,IFERROR(P678/SUMIFS($P$2:$P$964,$A$2:$A$964,A678,$Q$2:$Q$964,"否"),0))</x:f>
        <x:v>0.003058520518091087</x:v>
      </x:c>
      <x:c r="Y678" s="22" t="str">
        <x:f>IF(OR(M678="",U678=""),"未交叉",IF(M678*U678&gt;0,"同向",IF(M678*U678&lt;0,"背离","一侧持平")))</x:f>
        <x:v>未交叉</x:v>
      </x:c>
    </x:row>
    <x:row r="679">
      <x:c r="A679" s="18" t="str">
        <x:v>sites.fastspring.com</x:v>
      </x:c>
      <x:c r="B679" s="19" t="str">
        <x:v>专用支付/结账入口</x:v>
      </x:c>
      <x:c r="C679" s="19" t="str">
        <x:v>高</x:v>
      </x:c>
      <x:c r="D679" s="19" t="str">
        <x:v>Jul 2026</x:v>
      </x:c>
      <x:c r="E679" s="19" t="n">
        <x:v>36</x:v>
      </x:c>
      <x:c r="F679" s="19" t="str">
        <x:v>nextup.com</x:v>
      </x:c>
      <x:c r="G679" s="19" t="str">
        <x:v>Computers Electronics and Technology</x:v>
      </x:c>
      <x:c r="H679" s="19" t="str">
        <x:v>通用数字产品与技术服务</x:v>
      </x:c>
      <x:c r="I679" s="19" t="str">
        <x:v>Similarweb 行业映射</x:v>
      </x:c>
      <x:c r="J679" s="19" t="n">
        <x:v>550777</x:v>
      </x:c>
      <x:c r="K679" s="20" t="n">
        <x:v>0.0021</x:v>
      </x:c>
      <x:c r="L679" s="19" t="str">
        <x:v>下降</x:v>
      </x:c>
      <x:c r="M679" s="20" t="n">
        <x:v>-0.5195000000000001</x:v>
      </x:c>
      <x:c r="N679" s="21" t="n">
        <x:v>107449</x:v>
      </x:c>
      <x:c r="O679" s="21" t="n">
        <x:v>226</x:v>
      </x:c>
      <x:c r="P679" s="21" t="n">
        <x:f>ROUND(N679*K679,0)</x:f>
        <x:v>226</x:v>
      </x:c>
      <x:c r="Q679" s="19" t="str">
        <x:v>否</x:v>
      </x:c>
      <x:c r="R679" s="19" t="str"/>
      <x:c r="S679" s="19" t="n">
        <x:f>IF(Q679="是",0,MIN(10,2+IF(C679="高",2,1)+IF(K679&gt;=3%,3,IF(K679&gt;=1%,2,1))+IF(L679="新出现",2,IF(M679&gt;=100%,3,IF(M679&gt;0,2,0)))))</x:f>
        <x:v>5</x:v>
      </x:c>
      <x:c r="T679" s="21"/>
      <x:c r="U679" s="20"/>
      <x:c r="V679" s="19" t="str">
        <x:v>http://nextup.com/</x:v>
      </x:c>
      <x:c r="W679" s="19" t="str">
        <x:v>https://pro.similarweb.com/#/digitalsuite/websiteanalysis/referrals/*/999/1m?webSource=Total&amp;selectedTab=incomingTraffic&amp;key=sites.fastspring.com</x:v>
      </x:c>
      <x:c r="X679" s="20" t="n">
        <x:f>IF(Q679="是",0,IFERROR(P679/SUMIFS($P$2:$P$964,$A$2:$A$964,A679,$Q$2:$Q$964,"否"),0))</x:f>
        <x:v>0.002798484360682533</x:v>
      </x:c>
      <x:c r="Y679" s="22" t="str">
        <x:f>IF(OR(M679="",U679=""),"未交叉",IF(M679*U679&gt;0,"同向",IF(M679*U679&lt;0,"背离","一侧持平")))</x:f>
        <x:v>未交叉</x:v>
      </x:c>
    </x:row>
    <x:row r="680">
      <x:c r="A680" s="18" t="str">
        <x:v>sites.fastspring.com</x:v>
      </x:c>
      <x:c r="B680" s="19" t="str">
        <x:v>专用支付/结账入口</x:v>
      </x:c>
      <x:c r="C680" s="19" t="str">
        <x:v>高</x:v>
      </x:c>
      <x:c r="D680" s="19" t="str">
        <x:v>Jul 2026</x:v>
      </x:c>
      <x:c r="E680" s="19" t="n">
        <x:v>37</x:v>
      </x:c>
      <x:c r="F680" s="19" t="str">
        <x:v>cognitiveseo.com</x:v>
      </x:c>
      <x:c r="G680" s="19" t="str">
        <x:v>Computers Electronics and Technology</x:v>
      </x:c>
      <x:c r="H680" s="19" t="str">
        <x:v>通用数字产品与技术服务</x:v>
      </x:c>
      <x:c r="I680" s="19" t="str">
        <x:v>Similarweb 行业映射</x:v>
      </x:c>
      <x:c r="J680" s="19" t="n">
        <x:v>620957</x:v>
      </x:c>
      <x:c r="K680" s="20" t="n">
        <x:v>0.002</x:v>
      </x:c>
      <x:c r="L680" s="19" t="str">
        <x:v>下降</x:v>
      </x:c>
      <x:c r="M680" s="20" t="n">
        <x:v>-0.13720000000000002</x:v>
      </x:c>
      <x:c r="N680" s="21" t="n">
        <x:v>107449</x:v>
      </x:c>
      <x:c r="O680" s="21" t="n">
        <x:v>215</x:v>
      </x:c>
      <x:c r="P680" s="21" t="n">
        <x:f>ROUND(N680*K680,0)</x:f>
        <x:v>215</x:v>
      </x:c>
      <x:c r="Q680" s="19" t="str">
        <x:v>否</x:v>
      </x:c>
      <x:c r="R680" s="19" t="str"/>
      <x:c r="S680" s="19" t="n">
        <x:f>IF(Q680="是",0,MIN(10,2+IF(C680="高",2,1)+IF(K680&gt;=3%,3,IF(K680&gt;=1%,2,1))+IF(L680="新出现",2,IF(M680&gt;=100%,3,IF(M680&gt;0,2,0)))))</x:f>
        <x:v>5</x:v>
      </x:c>
      <x:c r="T680" s="21"/>
      <x:c r="U680" s="20"/>
      <x:c r="V680" s="19" t="str">
        <x:v>http://cognitiveseo.com/</x:v>
      </x:c>
      <x:c r="W680" s="19" t="str">
        <x:v>https://pro.similarweb.com/#/digitalsuite/websiteanalysis/referrals/*/999/1m?webSource=Total&amp;selectedTab=incomingTraffic&amp;key=sites.fastspring.com</x:v>
      </x:c>
      <x:c r="X680" s="20" t="n">
        <x:f>IF(Q680="是",0,IFERROR(P680/SUMIFS($P$2:$P$964,$A$2:$A$964,A680,$Q$2:$Q$964,"否"),0))</x:f>
        <x:v>0.0026622749448971</x:v>
      </x:c>
      <x:c r="Y680" s="22" t="str">
        <x:f>IF(OR(M680="",U680=""),"未交叉",IF(M680*U680&gt;0,"同向",IF(M680*U680&lt;0,"背离","一侧持平")))</x:f>
        <x:v>未交叉</x:v>
      </x:c>
    </x:row>
    <x:row r="681">
      <x:c r="A681" s="18" t="str">
        <x:v>sites.fastspring.com</x:v>
      </x:c>
      <x:c r="B681" s="19" t="str">
        <x:v>专用支付/结账入口</x:v>
      </x:c>
      <x:c r="C681" s="19" t="str">
        <x:v>高</x:v>
      </x:c>
      <x:c r="D681" s="19" t="str">
        <x:v>Jul 2026</x:v>
      </x:c>
      <x:c r="E681" s="19" t="n">
        <x:v>38</x:v>
      </x:c>
      <x:c r="F681" s="19" t="str">
        <x:v>chris-pc.com</x:v>
      </x:c>
      <x:c r="G681" s="19" t="str">
        <x:v>Programming and Developer Software</x:v>
      </x:c>
      <x:c r="H681" s="19" t="str">
        <x:v>开发者工具与互联网基础设施</x:v>
      </x:c>
      <x:c r="I681" s="19" t="str">
        <x:v>Similarweb 行业映射</x:v>
      </x:c>
      <x:c r="J681" s="19" t="n">
        <x:v>1083868</x:v>
      </x:c>
      <x:c r="K681" s="20" t="n">
        <x:v>0.0016</x:v>
      </x:c>
      <x:c r="L681" s="19" t="str">
        <x:v>新出现</x:v>
      </x:c>
      <x:c r="M681" s="20"/>
      <x:c r="N681" s="21" t="n">
        <x:v>107449</x:v>
      </x:c>
      <x:c r="O681" s="21" t="n">
        <x:v>172</x:v>
      </x:c>
      <x:c r="P681" s="21" t="n">
        <x:f>ROUND(N681*K681,0)</x:f>
        <x:v>172</x:v>
      </x:c>
      <x:c r="Q681" s="19" t="str">
        <x:v>否</x:v>
      </x:c>
      <x:c r="R681" s="19" t="str"/>
      <x:c r="S681" s="19" t="n">
        <x:f>IF(Q681="是",0,MIN(10,2+IF(C681="高",2,1)+IF(K681&gt;=3%,3,IF(K681&gt;=1%,2,1))+IF(L681="新出现",2,IF(M681&gt;=100%,3,IF(M681&gt;0,2,0)))))</x:f>
        <x:v>7</x:v>
      </x:c>
      <x:c r="T681" s="21"/>
      <x:c r="U681" s="20"/>
      <x:c r="V681" s="19" t="str">
        <x:v>http://chris-pc.com/</x:v>
      </x:c>
      <x:c r="W681" s="19" t="str">
        <x:v>https://pro.similarweb.com/#/digitalsuite/websiteanalysis/referrals/*/999/1m?webSource=Total&amp;selectedTab=incomingTraffic&amp;key=sites.fastspring.com</x:v>
      </x:c>
      <x:c r="X681" s="20" t="n">
        <x:f>IF(Q681="是",0,IFERROR(P681/SUMIFS($P$2:$P$964,$A$2:$A$964,A681,$Q$2:$Q$964,"否"),0))</x:f>
        <x:v>0.00212981995591768</x:v>
      </x:c>
      <x:c r="Y681" s="22" t="str">
        <x:f>IF(OR(M681="",U681=""),"未交叉",IF(M681*U681&gt;0,"同向",IF(M681*U681&lt;0,"背离","一侧持平")))</x:f>
        <x:v>未交叉</x:v>
      </x:c>
    </x:row>
    <x:row r="682">
      <x:c r="A682" s="18" t="str">
        <x:v>sites.fastspring.com</x:v>
      </x:c>
      <x:c r="B682" s="19" t="str">
        <x:v>专用支付/结账入口</x:v>
      </x:c>
      <x:c r="C682" s="19" t="str">
        <x:v>高</x:v>
      </x:c>
      <x:c r="D682" s="19" t="str">
        <x:v>Jul 2026</x:v>
      </x:c>
      <x:c r="E682" s="19" t="n">
        <x:v>39</x:v>
      </x:c>
      <x:c r="F682" s="19" t="str">
        <x:v>serviio.org</x:v>
      </x:c>
      <x:c r="G682" s="19" t="str">
        <x:v>Computers Electronics and Technology</x:v>
      </x:c>
      <x:c r="H682" s="19" t="str">
        <x:v>通用数字产品与技术服务</x:v>
      </x:c>
      <x:c r="I682" s="19" t="str">
        <x:v>Similarweb 行业映射</x:v>
      </x:c>
      <x:c r="J682" s="19" t="n">
        <x:v>621227</x:v>
      </x:c>
      <x:c r="K682" s="20" t="n">
        <x:v>0.0015</x:v>
      </x:c>
      <x:c r="L682" s="19" t="str">
        <x:v>新出现</x:v>
      </x:c>
      <x:c r="M682" s="20"/>
      <x:c r="N682" s="21" t="n">
        <x:v>107449</x:v>
      </x:c>
      <x:c r="O682" s="21" t="n">
        <x:v>161</x:v>
      </x:c>
      <x:c r="P682" s="21" t="n">
        <x:f>ROUND(N682*K682,0)</x:f>
        <x:v>161</x:v>
      </x:c>
      <x:c r="Q682" s="19" t="str">
        <x:v>否</x:v>
      </x:c>
      <x:c r="R682" s="19" t="str"/>
      <x:c r="S682" s="19" t="n">
        <x:f>IF(Q682="是",0,MIN(10,2+IF(C682="高",2,1)+IF(K682&gt;=3%,3,IF(K682&gt;=1%,2,1))+IF(L682="新出现",2,IF(M682&gt;=100%,3,IF(M682&gt;0,2,0)))))</x:f>
        <x:v>7</x:v>
      </x:c>
      <x:c r="T682" s="21"/>
      <x:c r="U682" s="20"/>
      <x:c r="V682" s="19" t="str">
        <x:v>http://serviio.org/</x:v>
      </x:c>
      <x:c r="W682" s="19" t="str">
        <x:v>https://pro.similarweb.com/#/digitalsuite/websiteanalysis/referrals/*/999/1m?webSource=Total&amp;selectedTab=incomingTraffic&amp;key=sites.fastspring.com</x:v>
      </x:c>
      <x:c r="X682" s="20" t="n">
        <x:f>IF(Q682="是",0,IFERROR(P682/SUMIFS($P$2:$P$964,$A$2:$A$964,A682,$Q$2:$Q$964,"否"),0))</x:f>
        <x:v>0.001993610540132247</x:v>
      </x:c>
      <x:c r="Y682" s="22" t="str">
        <x:f>IF(OR(M682="",U682=""),"未交叉",IF(M682*U682&gt;0,"同向",IF(M682*U682&lt;0,"背离","一侧持平")))</x:f>
        <x:v>未交叉</x:v>
      </x:c>
    </x:row>
    <x:row r="683">
      <x:c r="A683" s="18" t="str">
        <x:v>sites.fastspring.com</x:v>
      </x:c>
      <x:c r="B683" s="19" t="str">
        <x:v>专用支付/结账入口</x:v>
      </x:c>
      <x:c r="C683" s="19" t="str">
        <x:v>高</x:v>
      </x:c>
      <x:c r="D683" s="19" t="str">
        <x:v>Jul 2026</x:v>
      </x:c>
      <x:c r="E683" s="19" t="n">
        <x:v>40</x:v>
      </x:c>
      <x:c r="F683" s="19" t="str">
        <x:v>logviewplus.com</x:v>
      </x:c>
      <x:c r="G683" s="19" t="str">
        <x:v>Programming and Developer Software</x:v>
      </x:c>
      <x:c r="H683" s="19" t="str">
        <x:v>开发者工具与互联网基础设施</x:v>
      </x:c>
      <x:c r="I683" s="19" t="str">
        <x:v>Similarweb 行业映射</x:v>
      </x:c>
      <x:c r="J683" s="19" t="n">
        <x:v>1755672</x:v>
      </x:c>
      <x:c r="K683" s="20" t="n">
        <x:v>0.0013</x:v>
      </x:c>
      <x:c r="L683" s="19" t="str">
        <x:v>上升</x:v>
      </x:c>
      <x:c r="M683" s="20" t="n">
        <x:v>0.21899999999999997</x:v>
      </x:c>
      <x:c r="N683" s="21" t="n">
        <x:v>107449</x:v>
      </x:c>
      <x:c r="O683" s="21" t="n">
        <x:v>140</x:v>
      </x:c>
      <x:c r="P683" s="21" t="n">
        <x:f>ROUND(N683*K683,0)</x:f>
        <x:v>140</x:v>
      </x:c>
      <x:c r="Q683" s="19" t="str">
        <x:v>否</x:v>
      </x:c>
      <x:c r="R683" s="19" t="str"/>
      <x:c r="S683" s="19" t="n">
        <x:f>IF(Q683="是",0,MIN(10,2+IF(C683="高",2,1)+IF(K683&gt;=3%,3,IF(K683&gt;=1%,2,1))+IF(L683="新出现",2,IF(M683&gt;=100%,3,IF(M683&gt;0,2,0)))))</x:f>
        <x:v>7</x:v>
      </x:c>
      <x:c r="T683" s="21"/>
      <x:c r="U683" s="20"/>
      <x:c r="V683" s="19" t="str">
        <x:v>http://logviewplus.com/</x:v>
      </x:c>
      <x:c r="W683" s="19" t="str">
        <x:v>https://pro.similarweb.com/#/digitalsuite/websiteanalysis/referrals/*/999/1m?webSource=Total&amp;selectedTab=incomingTraffic&amp;key=sites.fastspring.com</x:v>
      </x:c>
      <x:c r="X683" s="20" t="n">
        <x:f>IF(Q683="是",0,IFERROR(P683/SUMIFS($P$2:$P$964,$A$2:$A$964,A683,$Q$2:$Q$964,"否"),0))</x:f>
        <x:v>0.0017335743827236931</x:v>
      </x:c>
      <x:c r="Y683" s="22" t="str">
        <x:f>IF(OR(M683="",U683=""),"未交叉",IF(M683*U683&gt;0,"同向",IF(M683*U683&lt;0,"背离","一侧持平")))</x:f>
        <x:v>未交叉</x:v>
      </x:c>
    </x:row>
    <x:row r="684">
      <x:c r="A684" s="18" t="str">
        <x:v>sites.fastspring.com</x:v>
      </x:c>
      <x:c r="B684" s="19" t="str">
        <x:v>专用支付/结账入口</x:v>
      </x:c>
      <x:c r="C684" s="19" t="str">
        <x:v>高</x:v>
      </x:c>
      <x:c r="D684" s="19" t="str">
        <x:v>Jul 2026</x:v>
      </x:c>
      <x:c r="E684" s="19" t="n">
        <x:v>41</x:v>
      </x:c>
      <x:c r="F684" s="19" t="str">
        <x:v>zerenesystems.com</x:v>
      </x:c>
      <x:c r="G684" s="19" t="str">
        <x:v>Photography</x:v>
      </x:c>
      <x:c r="H684" s="19" t="str">
        <x:v>其他/待核查</x:v>
      </x:c>
      <x:c r="I684" s="19" t="str">
        <x:v>保守归类</x:v>
      </x:c>
      <x:c r="J684" s="19" t="n">
        <x:v>2463606</x:v>
      </x:c>
      <x:c r="K684" s="20" t="n">
        <x:v>0.0013</x:v>
      </x:c>
      <x:c r="L684" s="19" t="str">
        <x:v>下降</x:v>
      </x:c>
      <x:c r="M684" s="20" t="n">
        <x:v>-0.7985</x:v>
      </x:c>
      <x:c r="N684" s="21" t="n">
        <x:v>107449</x:v>
      </x:c>
      <x:c r="O684" s="21" t="n">
        <x:v>140</x:v>
      </x:c>
      <x:c r="P684" s="21" t="n">
        <x:f>ROUND(N684*K684,0)</x:f>
        <x:v>140</x:v>
      </x:c>
      <x:c r="Q684" s="19" t="str">
        <x:v>否</x:v>
      </x:c>
      <x:c r="R684" s="19" t="str"/>
      <x:c r="S684" s="19" t="n">
        <x:f>IF(Q684="是",0,MIN(10,2+IF(C684="高",2,1)+IF(K684&gt;=3%,3,IF(K684&gt;=1%,2,1))+IF(L684="新出现",2,IF(M684&gt;=100%,3,IF(M684&gt;0,2,0)))))</x:f>
        <x:v>5</x:v>
      </x:c>
      <x:c r="T684" s="21"/>
      <x:c r="U684" s="20"/>
      <x:c r="V684" s="19" t="str">
        <x:v>http://zerenesystems.com/</x:v>
      </x:c>
      <x:c r="W684" s="19" t="str">
        <x:v>https://pro.similarweb.com/#/digitalsuite/websiteanalysis/referrals/*/999/1m?webSource=Total&amp;selectedTab=incomingTraffic&amp;key=sites.fastspring.com</x:v>
      </x:c>
      <x:c r="X684" s="20" t="n">
        <x:f>IF(Q684="是",0,IFERROR(P684/SUMIFS($P$2:$P$964,$A$2:$A$964,A684,$Q$2:$Q$964,"否"),0))</x:f>
        <x:v>0.0017335743827236931</x:v>
      </x:c>
      <x:c r="Y684" s="22" t="str">
        <x:f>IF(OR(M684="",U684=""),"未交叉",IF(M684*U684&gt;0,"同向",IF(M684*U684&lt;0,"背离","一侧持平")))</x:f>
        <x:v>未交叉</x:v>
      </x:c>
    </x:row>
    <x:row r="685">
      <x:c r="A685" s="18" t="str">
        <x:v>sites.fastspring.com</x:v>
      </x:c>
      <x:c r="B685" s="19" t="str">
        <x:v>专用支付/结账入口</x:v>
      </x:c>
      <x:c r="C685" s="19" t="str">
        <x:v>高</x:v>
      </x:c>
      <x:c r="D685" s="19" t="str">
        <x:v>Jul 2026</x:v>
      </x:c>
      <x:c r="E685" s="19" t="n">
        <x:v>42</x:v>
      </x:c>
      <x:c r="F685" s="19" t="str">
        <x:v>oncuetech.com</x:v>
      </x:c>
      <x:c r="G685" s="19" t="str">
        <x:v>Unknown</x:v>
      </x:c>
      <x:c r="H685" s="19" t="str">
        <x:v>其他/待核查</x:v>
      </x:c>
      <x:c r="I685" s="19" t="str">
        <x:v>Similarweb 未分类</x:v>
      </x:c>
      <x:c r="J685" s="19" t="n">
        <x:v>3292046</x:v>
      </x:c>
      <x:c r="K685" s="20" t="n">
        <x:v>0.0013</x:v>
      </x:c>
      <x:c r="L685" s="19" t="str">
        <x:v>新出现</x:v>
      </x:c>
      <x:c r="M685" s="20"/>
      <x:c r="N685" s="21" t="n">
        <x:v>107449</x:v>
      </x:c>
      <x:c r="O685" s="21" t="n">
        <x:v>140</x:v>
      </x:c>
      <x:c r="P685" s="21" t="n">
        <x:f>ROUND(N685*K685,0)</x:f>
        <x:v>140</x:v>
      </x:c>
      <x:c r="Q685" s="19" t="str">
        <x:v>否</x:v>
      </x:c>
      <x:c r="R685" s="19" t="str"/>
      <x:c r="S685" s="19" t="n">
        <x:f>IF(Q685="是",0,MIN(10,2+IF(C685="高",2,1)+IF(K685&gt;=3%,3,IF(K685&gt;=1%,2,1))+IF(L685="新出现",2,IF(M685&gt;=100%,3,IF(M685&gt;0,2,0)))))</x:f>
        <x:v>7</x:v>
      </x:c>
      <x:c r="T685" s="21"/>
      <x:c r="U685" s="20"/>
      <x:c r="V685" s="19" t="str">
        <x:v>http://oncuetech.com/</x:v>
      </x:c>
      <x:c r="W685" s="19" t="str">
        <x:v>https://pro.similarweb.com/#/digitalsuite/websiteanalysis/referrals/*/999/1m?webSource=Total&amp;selectedTab=incomingTraffic&amp;key=sites.fastspring.com</x:v>
      </x:c>
      <x:c r="X685" s="20" t="n">
        <x:f>IF(Q685="是",0,IFERROR(P685/SUMIFS($P$2:$P$964,$A$2:$A$964,A685,$Q$2:$Q$964,"否"),0))</x:f>
        <x:v>0.0017335743827236931</x:v>
      </x:c>
      <x:c r="Y685" s="22" t="str">
        <x:f>IF(OR(M685="",U685=""),"未交叉",IF(M685*U685&gt;0,"同向",IF(M685*U685&lt;0,"背离","一侧持平")))</x:f>
        <x:v>未交叉</x:v>
      </x:c>
    </x:row>
    <x:row r="686">
      <x:c r="A686" s="18" t="str">
        <x:v>sites.fastspring.com</x:v>
      </x:c>
      <x:c r="B686" s="19" t="str">
        <x:v>专用支付/结账入口</x:v>
      </x:c>
      <x:c r="C686" s="19" t="str">
        <x:v>高</x:v>
      </x:c>
      <x:c r="D686" s="19" t="str">
        <x:v>Jul 2026</x:v>
      </x:c>
      <x:c r="E686" s="19" t="n">
        <x:v>43</x:v>
      </x:c>
      <x:c r="F686" s="19" t="str">
        <x:v>atlantiswordprocessor.com</x:v>
      </x:c>
      <x:c r="G686" s="19" t="str">
        <x:v>Programming and Developer Software</x:v>
      </x:c>
      <x:c r="H686" s="19" t="str">
        <x:v>开发者工具与互联网基础设施</x:v>
      </x:c>
      <x:c r="I686" s="19" t="str">
        <x:v>Similarweb 行业映射</x:v>
      </x:c>
      <x:c r="J686" s="19" t="n">
        <x:v>1676798</x:v>
      </x:c>
      <x:c r="K686" s="20" t="n">
        <x:v>0.0013</x:v>
      </x:c>
      <x:c r="L686" s="19" t="str">
        <x:v>新出现</x:v>
      </x:c>
      <x:c r="M686" s="20"/>
      <x:c r="N686" s="21" t="n">
        <x:v>107449</x:v>
      </x:c>
      <x:c r="O686" s="21" t="n">
        <x:v>140</x:v>
      </x:c>
      <x:c r="P686" s="21" t="n">
        <x:f>ROUND(N686*K686,0)</x:f>
        <x:v>140</x:v>
      </x:c>
      <x:c r="Q686" s="19" t="str">
        <x:v>否</x:v>
      </x:c>
      <x:c r="R686" s="19" t="str"/>
      <x:c r="S686" s="19" t="n">
        <x:f>IF(Q686="是",0,MIN(10,2+IF(C686="高",2,1)+IF(K686&gt;=3%,3,IF(K686&gt;=1%,2,1))+IF(L686="新出现",2,IF(M686&gt;=100%,3,IF(M686&gt;0,2,0)))))</x:f>
        <x:v>7</x:v>
      </x:c>
      <x:c r="T686" s="21"/>
      <x:c r="U686" s="20"/>
      <x:c r="V686" s="19" t="str">
        <x:v>http://atlantiswordprocessor.com/</x:v>
      </x:c>
      <x:c r="W686" s="19" t="str">
        <x:v>https://pro.similarweb.com/#/digitalsuite/websiteanalysis/referrals/*/999/1m?webSource=Total&amp;selectedTab=incomingTraffic&amp;key=sites.fastspring.com</x:v>
      </x:c>
      <x:c r="X686" s="20" t="n">
        <x:f>IF(Q686="是",0,IFERROR(P686/SUMIFS($P$2:$P$964,$A$2:$A$964,A686,$Q$2:$Q$964,"否"),0))</x:f>
        <x:v>0.0017335743827236931</x:v>
      </x:c>
      <x:c r="Y686" s="22" t="str">
        <x:f>IF(OR(M686="",U686=""),"未交叉",IF(M686*U686&gt;0,"同向",IF(M686*U686&lt;0,"背离","一侧持平")))</x:f>
        <x:v>未交叉</x:v>
      </x:c>
    </x:row>
    <x:row r="687">
      <x:c r="A687" s="18" t="str">
        <x:v>sites.fastspring.com</x:v>
      </x:c>
      <x:c r="B687" s="19" t="str">
        <x:v>专用支付/结账入口</x:v>
      </x:c>
      <x:c r="C687" s="19" t="str">
        <x:v>高</x:v>
      </x:c>
      <x:c r="D687" s="19" t="str">
        <x:v>Jul 2026</x:v>
      </x:c>
      <x:c r="E687" s="19" t="n">
        <x:v>44</x:v>
      </x:c>
      <x:c r="F687" s="19" t="str">
        <x:v>turbocollage.com</x:v>
      </x:c>
      <x:c r="G687" s="19" t="str">
        <x:v>Photography</x:v>
      </x:c>
      <x:c r="H687" s="19" t="str">
        <x:v>其他/待核查</x:v>
      </x:c>
      <x:c r="I687" s="19" t="str">
        <x:v>保守归类</x:v>
      </x:c>
      <x:c r="J687" s="19" t="n">
        <x:v>1011823</x:v>
      </x:c>
      <x:c r="K687" s="20" t="n">
        <x:v>0.0013</x:v>
      </x:c>
      <x:c r="L687" s="19" t="str">
        <x:v>新出现</x:v>
      </x:c>
      <x:c r="M687" s="20"/>
      <x:c r="N687" s="21" t="n">
        <x:v>107449</x:v>
      </x:c>
      <x:c r="O687" s="21" t="n">
        <x:v>140</x:v>
      </x:c>
      <x:c r="P687" s="21" t="n">
        <x:f>ROUND(N687*K687,0)</x:f>
        <x:v>140</x:v>
      </x:c>
      <x:c r="Q687" s="19" t="str">
        <x:v>否</x:v>
      </x:c>
      <x:c r="R687" s="19" t="str"/>
      <x:c r="S687" s="19" t="n">
        <x:f>IF(Q687="是",0,MIN(10,2+IF(C687="高",2,1)+IF(K687&gt;=3%,3,IF(K687&gt;=1%,2,1))+IF(L687="新出现",2,IF(M687&gt;=100%,3,IF(M687&gt;0,2,0)))))</x:f>
        <x:v>7</x:v>
      </x:c>
      <x:c r="T687" s="21"/>
      <x:c r="U687" s="20"/>
      <x:c r="V687" s="19" t="str">
        <x:v>http://turbocollage.com/</x:v>
      </x:c>
      <x:c r="W687" s="19" t="str">
        <x:v>https://pro.similarweb.com/#/digitalsuite/websiteanalysis/referrals/*/999/1m?webSource=Total&amp;selectedTab=incomingTraffic&amp;key=sites.fastspring.com</x:v>
      </x:c>
      <x:c r="X687" s="20" t="n">
        <x:f>IF(Q687="是",0,IFERROR(P687/SUMIFS($P$2:$P$964,$A$2:$A$964,A687,$Q$2:$Q$964,"否"),0))</x:f>
        <x:v>0.0017335743827236931</x:v>
      </x:c>
      <x:c r="Y687" s="22" t="str">
        <x:f>IF(OR(M687="",U687=""),"未交叉",IF(M687*U687&gt;0,"同向",IF(M687*U687&lt;0,"背离","一侧持平")))</x:f>
        <x:v>未交叉</x:v>
      </x:c>
    </x:row>
    <x:row r="688">
      <x:c r="A688" s="18" t="str">
        <x:v>sites.fastspring.com</x:v>
      </x:c>
      <x:c r="B688" s="19" t="str">
        <x:v>专用支付/结账入口</x:v>
      </x:c>
      <x:c r="C688" s="19" t="str">
        <x:v>高</x:v>
      </x:c>
      <x:c r="D688" s="19" t="str">
        <x:v>Jul 2026</x:v>
      </x:c>
      <x:c r="E688" s="19" t="n">
        <x:v>45</x:v>
      </x:c>
      <x:c r="F688" s="19" t="str">
        <x:v>ashisoft.com</x:v>
      </x:c>
      <x:c r="G688" s="19" t="str">
        <x:v>Programming and Developer Software</x:v>
      </x:c>
      <x:c r="H688" s="19" t="str">
        <x:v>开发者工具与互联网基础设施</x:v>
      </x:c>
      <x:c r="I688" s="19" t="str">
        <x:v>Similarweb 行业映射</x:v>
      </x:c>
      <x:c r="J688" s="19" t="n">
        <x:v>849893</x:v>
      </x:c>
      <x:c r="K688" s="20" t="n">
        <x:v>0.0013</x:v>
      </x:c>
      <x:c r="L688" s="19" t="str">
        <x:v>新出现</x:v>
      </x:c>
      <x:c r="M688" s="20"/>
      <x:c r="N688" s="21" t="n">
        <x:v>107449</x:v>
      </x:c>
      <x:c r="O688" s="21" t="n">
        <x:v>140</x:v>
      </x:c>
      <x:c r="P688" s="21" t="n">
        <x:f>ROUND(N688*K688,0)</x:f>
        <x:v>140</x:v>
      </x:c>
      <x:c r="Q688" s="19" t="str">
        <x:v>否</x:v>
      </x:c>
      <x:c r="R688" s="19" t="str"/>
      <x:c r="S688" s="19" t="n">
        <x:f>IF(Q688="是",0,MIN(10,2+IF(C688="高",2,1)+IF(K688&gt;=3%,3,IF(K688&gt;=1%,2,1))+IF(L688="新出现",2,IF(M688&gt;=100%,3,IF(M688&gt;0,2,0)))))</x:f>
        <x:v>7</x:v>
      </x:c>
      <x:c r="T688" s="21"/>
      <x:c r="U688" s="20"/>
      <x:c r="V688" s="19" t="str">
        <x:v>http://ashisoft.com/</x:v>
      </x:c>
      <x:c r="W688" s="19" t="str">
        <x:v>https://pro.similarweb.com/#/digitalsuite/websiteanalysis/referrals/*/999/1m?webSource=Total&amp;selectedTab=incomingTraffic&amp;key=sites.fastspring.com</x:v>
      </x:c>
      <x:c r="X688" s="20" t="n">
        <x:f>IF(Q688="是",0,IFERROR(P688/SUMIFS($P$2:$P$964,$A$2:$A$964,A688,$Q$2:$Q$964,"否"),0))</x:f>
        <x:v>0.0017335743827236931</x:v>
      </x:c>
      <x:c r="Y688" s="22" t="str">
        <x:f>IF(OR(M688="",U688=""),"未交叉",IF(M688*U688&gt;0,"同向",IF(M688*U688&lt;0,"背离","一侧持平")))</x:f>
        <x:v>未交叉</x:v>
      </x:c>
    </x:row>
    <x:row r="689">
      <x:c r="A689" s="18" t="str">
        <x:v>sites.fastspring.com</x:v>
      </x:c>
      <x:c r="B689" s="19" t="str">
        <x:v>专用支付/结账入口</x:v>
      </x:c>
      <x:c r="C689" s="19" t="str">
        <x:v>高</x:v>
      </x:c>
      <x:c r="D689" s="19" t="str">
        <x:v>Jul 2026</x:v>
      </x:c>
      <x:c r="E689" s="19" t="n">
        <x:v>46</x:v>
      </x:c>
      <x:c r="F689" s="19" t="str">
        <x:v>ardfry.com</x:v>
      </x:c>
      <x:c r="G689" s="19" t="str">
        <x:v>Programming and Developer Software</x:v>
      </x:c>
      <x:c r="H689" s="19" t="str">
        <x:v>开发者工具与互联网基础设施</x:v>
      </x:c>
      <x:c r="I689" s="19" t="str">
        <x:v>Similarweb 行业映射</x:v>
      </x:c>
      <x:c r="J689" s="19" t="n">
        <x:v>1544872</x:v>
      </x:c>
      <x:c r="K689" s="20" t="n">
        <x:v>0.0012</x:v>
      </x:c>
      <x:c r="L689" s="19" t="str">
        <x:v>新出现</x:v>
      </x:c>
      <x:c r="M689" s="20"/>
      <x:c r="N689" s="21" t="n">
        <x:v>107449</x:v>
      </x:c>
      <x:c r="O689" s="21" t="n">
        <x:v>129</x:v>
      </x:c>
      <x:c r="P689" s="21" t="n">
        <x:f>ROUND(N689*K689,0)</x:f>
        <x:v>129</x:v>
      </x:c>
      <x:c r="Q689" s="19" t="str">
        <x:v>否</x:v>
      </x:c>
      <x:c r="R689" s="19" t="str"/>
      <x:c r="S689" s="19" t="n">
        <x:f>IF(Q689="是",0,MIN(10,2+IF(C689="高",2,1)+IF(K689&gt;=3%,3,IF(K689&gt;=1%,2,1))+IF(L689="新出现",2,IF(M689&gt;=100%,3,IF(M689&gt;0,2,0)))))</x:f>
        <x:v>7</x:v>
      </x:c>
      <x:c r="T689" s="21"/>
      <x:c r="U689" s="20"/>
      <x:c r="V689" s="19" t="str">
        <x:v>http://ardfry.com/</x:v>
      </x:c>
      <x:c r="W689" s="19" t="str">
        <x:v>https://pro.similarweb.com/#/digitalsuite/websiteanalysis/referrals/*/999/1m?webSource=Total&amp;selectedTab=incomingTraffic&amp;key=sites.fastspring.com</x:v>
      </x:c>
      <x:c r="X689" s="20" t="n">
        <x:f>IF(Q689="是",0,IFERROR(P689/SUMIFS($P$2:$P$964,$A$2:$A$964,A689,$Q$2:$Q$964,"否"),0))</x:f>
        <x:v>0.00159736496693826</x:v>
      </x:c>
      <x:c r="Y689" s="22" t="str">
        <x:f>IF(OR(M689="",U689=""),"未交叉",IF(M689*U689&gt;0,"同向",IF(M689*U689&lt;0,"背离","一侧持平")))</x:f>
        <x:v>未交叉</x:v>
      </x:c>
    </x:row>
    <x:row r="690">
      <x:c r="A690" s="18" t="str">
        <x:v>sites.fastspring.com</x:v>
      </x:c>
      <x:c r="B690" s="19" t="str">
        <x:v>专用支付/结账入口</x:v>
      </x:c>
      <x:c r="C690" s="19" t="str">
        <x:v>高</x:v>
      </x:c>
      <x:c r="D690" s="19" t="str">
        <x:v>Jul 2026</x:v>
      </x:c>
      <x:c r="E690" s="19" t="n">
        <x:v>47</x:v>
      </x:c>
      <x:c r="F690" s="19" t="str">
        <x:v>app-us.smtp2go.com</x:v>
      </x:c>
      <x:c r="G690" s="19" t="str">
        <x:v>Email</x:v>
      </x:c>
      <x:c r="H690" s="19" t="str">
        <x:v>营销、生产力与商业服务</x:v>
      </x:c>
      <x:c r="I690" s="19" t="str">
        <x:v>Similarweb 行业映射</x:v>
      </x:c>
      <x:c r="J690" s="19"/>
      <x:c r="K690" s="20" t="n">
        <x:v>0.0011</x:v>
      </x:c>
      <x:c r="L690" s="19" t="str">
        <x:v>新出现</x:v>
      </x:c>
      <x:c r="M690" s="20"/>
      <x:c r="N690" s="21" t="n">
        <x:v>107449</x:v>
      </x:c>
      <x:c r="O690" s="21" t="n">
        <x:v>118</x:v>
      </x:c>
      <x:c r="P690" s="21" t="n">
        <x:f>ROUND(N690*K690,0)</x:f>
        <x:v>118</x:v>
      </x:c>
      <x:c r="Q690" s="19" t="str">
        <x:v>否</x:v>
      </x:c>
      <x:c r="R690" s="19" t="str"/>
      <x:c r="S690" s="19" t="n">
        <x:f>IF(Q690="是",0,MIN(10,2+IF(C690="高",2,1)+IF(K690&gt;=3%,3,IF(K690&gt;=1%,2,1))+IF(L690="新出现",2,IF(M690&gt;=100%,3,IF(M690&gt;0,2,0)))))</x:f>
        <x:v>7</x:v>
      </x:c>
      <x:c r="T690" s="21"/>
      <x:c r="U690" s="20"/>
      <x:c r="V690" s="19" t="str">
        <x:v>http://app-us.smtp2go.com/</x:v>
      </x:c>
      <x:c r="W690" s="19" t="str">
        <x:v>https://pro.similarweb.com/#/digitalsuite/websiteanalysis/referrals/*/999/1m?webSource=Total&amp;selectedTab=incomingTraffic&amp;key=sites.fastspring.com</x:v>
      </x:c>
      <x:c r="X690" s="20" t="n">
        <x:f>IF(Q690="是",0,IFERROR(P690/SUMIFS($P$2:$P$964,$A$2:$A$964,A690,$Q$2:$Q$964,"否"),0))</x:f>
        <x:v>0.001461155551152827</x:v>
      </x:c>
      <x:c r="Y690" s="22" t="str">
        <x:f>IF(OR(M690="",U690=""),"未交叉",IF(M690*U690&gt;0,"同向",IF(M690*U690&lt;0,"背离","一侧持平")))</x:f>
        <x:v>未交叉</x:v>
      </x:c>
    </x:row>
    <x:row r="691">
      <x:c r="A691" s="18" t="str">
        <x:v>sites.fastspring.com</x:v>
      </x:c>
      <x:c r="B691" s="19" t="str">
        <x:v>专用支付/结账入口</x:v>
      </x:c>
      <x:c r="C691" s="19" t="str">
        <x:v>高</x:v>
      </x:c>
      <x:c r="D691" s="19" t="str">
        <x:v>Jul 2026</x:v>
      </x:c>
      <x:c r="E691" s="19" t="n">
        <x:v>48</x:v>
      </x:c>
      <x:c r="F691" s="19" t="str">
        <x:v>limeproxies.com</x:v>
      </x:c>
      <x:c r="G691" s="19" t="str">
        <x:v>Online Marketing</x:v>
      </x:c>
      <x:c r="H691" s="19" t="str">
        <x:v>营销、生产力与商业服务</x:v>
      </x:c>
      <x:c r="I691" s="19" t="str">
        <x:v>Similarweb 行业映射</x:v>
      </x:c>
      <x:c r="J691" s="19" t="n">
        <x:v>2399029</x:v>
      </x:c>
      <x:c r="K691" s="20" t="n">
        <x:v>0.001</x:v>
      </x:c>
      <x:c r="L691" s="19" t="str">
        <x:v>新出现</x:v>
      </x:c>
      <x:c r="M691" s="20"/>
      <x:c r="N691" s="21" t="n">
        <x:v>107449</x:v>
      </x:c>
      <x:c r="O691" s="21" t="n">
        <x:v>107</x:v>
      </x:c>
      <x:c r="P691" s="21" t="n">
        <x:f>ROUND(N691*K691,0)</x:f>
        <x:v>107</x:v>
      </x:c>
      <x:c r="Q691" s="19" t="str">
        <x:v>否</x:v>
      </x:c>
      <x:c r="R691" s="19" t="str"/>
      <x:c r="S691" s="19" t="n">
        <x:f>IF(Q691="是",0,MIN(10,2+IF(C691="高",2,1)+IF(K691&gt;=3%,3,IF(K691&gt;=1%,2,1))+IF(L691="新出现",2,IF(M691&gt;=100%,3,IF(M691&gt;0,2,0)))))</x:f>
        <x:v>7</x:v>
      </x:c>
      <x:c r="T691" s="21"/>
      <x:c r="U691" s="20"/>
      <x:c r="V691" s="19" t="str">
        <x:v>http://limeproxies.com/</x:v>
      </x:c>
      <x:c r="W691" s="19" t="str">
        <x:v>https://pro.similarweb.com/#/digitalsuite/websiteanalysis/referrals/*/999/1m?webSource=Total&amp;selectedTab=incomingTraffic&amp;key=sites.fastspring.com</x:v>
      </x:c>
      <x:c r="X691" s="20" t="n">
        <x:f>IF(Q691="是",0,IFERROR(P691/SUMIFS($P$2:$P$964,$A$2:$A$964,A691,$Q$2:$Q$964,"否"),0))</x:f>
        <x:v>0.001324946135367394</x:v>
      </x:c>
      <x:c r="Y691" s="22" t="str">
        <x:f>IF(OR(M691="",U691=""),"未交叉",IF(M691*U691&gt;0,"同向",IF(M691*U691&lt;0,"背离","一侧持平")))</x:f>
        <x:v>未交叉</x:v>
      </x:c>
    </x:row>
    <x:row r="692">
      <x:c r="A692" s="18" t="str">
        <x:v>sites.fastspring.com</x:v>
      </x:c>
      <x:c r="B692" s="19" t="str">
        <x:v>专用支付/结账入口</x:v>
      </x:c>
      <x:c r="C692" s="19" t="str">
        <x:v>高</x:v>
      </x:c>
      <x:c r="D692" s="19" t="str">
        <x:v>Jul 2026</x:v>
      </x:c>
      <x:c r="E692" s="19" t="n">
        <x:v>49</x:v>
      </x:c>
      <x:c r="F692" s="19" t="str">
        <x:v>soundsinsync.com</x:v>
      </x:c>
      <x:c r="G692" s="19" t="str">
        <x:v>Music</x:v>
      </x:c>
      <x:c r="H692" s="19" t="str">
        <x:v>创作、设计与多媒体工具</x:v>
      </x:c>
      <x:c r="I692" s="19" t="str">
        <x:v>Similarweb 行业映射</x:v>
      </x:c>
      <x:c r="J692" s="19" t="n">
        <x:v>3727059</x:v>
      </x:c>
      <x:c r="K692" s="20" t="n">
        <x:v>0.001</x:v>
      </x:c>
      <x:c r="L692" s="19" t="str">
        <x:v>新出现</x:v>
      </x:c>
      <x:c r="M692" s="20"/>
      <x:c r="N692" s="21" t="n">
        <x:v>107449</x:v>
      </x:c>
      <x:c r="O692" s="21" t="n">
        <x:v>107</x:v>
      </x:c>
      <x:c r="P692" s="21" t="n">
        <x:f>ROUND(N692*K692,0)</x:f>
        <x:v>107</x:v>
      </x:c>
      <x:c r="Q692" s="19" t="str">
        <x:v>否</x:v>
      </x:c>
      <x:c r="R692" s="19" t="str"/>
      <x:c r="S692" s="19" t="n">
        <x:f>IF(Q692="是",0,MIN(10,2+IF(C692="高",2,1)+IF(K692&gt;=3%,3,IF(K692&gt;=1%,2,1))+IF(L692="新出现",2,IF(M692&gt;=100%,3,IF(M692&gt;0,2,0)))))</x:f>
        <x:v>7</x:v>
      </x:c>
      <x:c r="T692" s="21"/>
      <x:c r="U692" s="20"/>
      <x:c r="V692" s="19" t="str">
        <x:v>http://soundsinsync.com/</x:v>
      </x:c>
      <x:c r="W692" s="19" t="str">
        <x:v>https://pro.similarweb.com/#/digitalsuite/websiteanalysis/referrals/*/999/1m?webSource=Total&amp;selectedTab=incomingTraffic&amp;key=sites.fastspring.com</x:v>
      </x:c>
      <x:c r="X692" s="20" t="n">
        <x:f>IF(Q692="是",0,IFERROR(P692/SUMIFS($P$2:$P$964,$A$2:$A$964,A692,$Q$2:$Q$964,"否"),0))</x:f>
        <x:v>0.001324946135367394</x:v>
      </x:c>
      <x:c r="Y692" s="22" t="str">
        <x:f>IF(OR(M692="",U692=""),"未交叉",IF(M692*U692&gt;0,"同向",IF(M692*U692&lt;0,"背离","一侧持平")))</x:f>
        <x:v>未交叉</x:v>
      </x:c>
    </x:row>
    <x:row r="693">
      <x:c r="A693" s="18" t="str">
        <x:v>sites.fastspring.com</x:v>
      </x:c>
      <x:c r="B693" s="19" t="str">
        <x:v>专用支付/结账入口</x:v>
      </x:c>
      <x:c r="C693" s="19" t="str">
        <x:v>高</x:v>
      </x:c>
      <x:c r="D693" s="19" t="str">
        <x:v>Jul 2026</x:v>
      </x:c>
      <x:c r="E693" s="19" t="n">
        <x:v>50</x:v>
      </x:c>
      <x:c r="F693" s="19" t="str">
        <x:v>account.intego.com</x:v>
      </x:c>
      <x:c r="G693" s="19" t="str">
        <x:v>Computer Security</x:v>
      </x:c>
      <x:c r="H693" s="19" t="str">
        <x:v>开发者工具与互联网基础设施</x:v>
      </x:c>
      <x:c r="I693" s="19" t="str">
        <x:v>Similarweb 行业映射</x:v>
      </x:c>
      <x:c r="J693" s="19"/>
      <x:c r="K693" s="20" t="n">
        <x:v>0.001</x:v>
      </x:c>
      <x:c r="L693" s="19" t="str">
        <x:v>下降</x:v>
      </x:c>
      <x:c r="M693" s="20" t="n">
        <x:v>-0.5768</x:v>
      </x:c>
      <x:c r="N693" s="21" t="n">
        <x:v>107449</x:v>
      </x:c>
      <x:c r="O693" s="21" t="n">
        <x:v>107</x:v>
      </x:c>
      <x:c r="P693" s="21" t="n">
        <x:f>ROUND(N693*K693,0)</x:f>
        <x:v>107</x:v>
      </x:c>
      <x:c r="Q693" s="19" t="str">
        <x:v>否</x:v>
      </x:c>
      <x:c r="R693" s="19" t="str"/>
      <x:c r="S693" s="19" t="n">
        <x:f>IF(Q693="是",0,MIN(10,2+IF(C693="高",2,1)+IF(K693&gt;=3%,3,IF(K693&gt;=1%,2,1))+IF(L693="新出现",2,IF(M693&gt;=100%,3,IF(M693&gt;0,2,0)))))</x:f>
        <x:v>5</x:v>
      </x:c>
      <x:c r="T693" s="21"/>
      <x:c r="U693" s="20"/>
      <x:c r="V693" s="19" t="str">
        <x:v>http://account.intego.com/</x:v>
      </x:c>
      <x:c r="W693" s="19" t="str">
        <x:v>https://pro.similarweb.com/#/digitalsuite/websiteanalysis/referrals/*/999/1m?webSource=Total&amp;selectedTab=incomingTraffic&amp;key=sites.fastspring.com</x:v>
      </x:c>
      <x:c r="X693" s="20" t="n">
        <x:f>IF(Q693="是",0,IFERROR(P693/SUMIFS($P$2:$P$964,$A$2:$A$964,A693,$Q$2:$Q$964,"否"),0))</x:f>
        <x:v>0.001324946135367394</x:v>
      </x:c>
      <x:c r="Y693" s="22" t="str">
        <x:f>IF(OR(M693="",U693=""),"未交叉",IF(M693*U693&gt;0,"同向",IF(M693*U693&lt;0,"背离","一侧持平")))</x:f>
        <x:v>未交叉</x:v>
      </x:c>
    </x:row>
    <x:row r="694">
      <x:c r="A694" s="18" t="str">
        <x:v>sites.fastspring.com</x:v>
      </x:c>
      <x:c r="B694" s="19" t="str">
        <x:v>专用支付/结账入口</x:v>
      </x:c>
      <x:c r="C694" s="19" t="str">
        <x:v>高</x:v>
      </x:c>
      <x:c r="D694" s="19" t="str">
        <x:v>Jul 2026</x:v>
      </x:c>
      <x:c r="E694" s="19" t="n">
        <x:v>51</x:v>
      </x:c>
      <x:c r="F694" s="19" t="str">
        <x:v>chocolateaudio.com</x:v>
      </x:c>
      <x:c r="G694" s="19" t="str">
        <x:v>Music</x:v>
      </x:c>
      <x:c r="H694" s="19" t="str">
        <x:v>创作、设计与多媒体工具</x:v>
      </x:c>
      <x:c r="I694" s="19" t="str">
        <x:v>Similarweb 行业映射</x:v>
      </x:c>
      <x:c r="J694" s="19" t="n">
        <x:v>6898642</x:v>
      </x:c>
      <x:c r="K694" s="20" t="n">
        <x:v>0.001</x:v>
      </x:c>
      <x:c r="L694" s="19" t="str">
        <x:v>新出现</x:v>
      </x:c>
      <x:c r="M694" s="20"/>
      <x:c r="N694" s="21" t="n">
        <x:v>107449</x:v>
      </x:c>
      <x:c r="O694" s="21" t="n">
        <x:v>107</x:v>
      </x:c>
      <x:c r="P694" s="21" t="n">
        <x:f>ROUND(N694*K694,0)</x:f>
        <x:v>107</x:v>
      </x:c>
      <x:c r="Q694" s="19" t="str">
        <x:v>否</x:v>
      </x:c>
      <x:c r="R694" s="19" t="str"/>
      <x:c r="S694" s="19" t="n">
        <x:f>IF(Q694="是",0,MIN(10,2+IF(C694="高",2,1)+IF(K694&gt;=3%,3,IF(K694&gt;=1%,2,1))+IF(L694="新出现",2,IF(M694&gt;=100%,3,IF(M694&gt;0,2,0)))))</x:f>
        <x:v>7</x:v>
      </x:c>
      <x:c r="T694" s="21"/>
      <x:c r="U694" s="20"/>
      <x:c r="V694" s="19" t="str">
        <x:v>http://chocolateaudio.com/</x:v>
      </x:c>
      <x:c r="W694" s="19" t="str">
        <x:v>https://pro.similarweb.com/#/digitalsuite/websiteanalysis/referrals/*/999/1m?webSource=Total&amp;selectedTab=incomingTraffic&amp;key=sites.fastspring.com</x:v>
      </x:c>
      <x:c r="X694" s="20" t="n">
        <x:f>IF(Q694="是",0,IFERROR(P694/SUMIFS($P$2:$P$964,$A$2:$A$964,A694,$Q$2:$Q$964,"否"),0))</x:f>
        <x:v>0.001324946135367394</x:v>
      </x:c>
      <x:c r="Y694" s="22" t="str">
        <x:f>IF(OR(M694="",U694=""),"未交叉",IF(M694*U694&gt;0,"同向",IF(M694*U694&lt;0,"背离","一侧持平")))</x:f>
        <x:v>未交叉</x:v>
      </x:c>
    </x:row>
    <x:row r="695">
      <x:c r="A695" s="18" t="str">
        <x:v>sites.fastspring.com</x:v>
      </x:c>
      <x:c r="B695" s="19" t="str">
        <x:v>专用支付/结账入口</x:v>
      </x:c>
      <x:c r="C695" s="19" t="str">
        <x:v>高</x:v>
      </x:c>
      <x:c r="D695" s="19" t="str">
        <x:v>Jul 2026</x:v>
      </x:c>
      <x:c r="E695" s="19" t="n">
        <x:v>52</x:v>
      </x:c>
      <x:c r="F695" s="19" t="str">
        <x:v>irisdown.co.uk</x:v>
      </x:c>
      <x:c r="G695" s="19" t="str">
        <x:v>Unknown</x:v>
      </x:c>
      <x:c r="H695" s="19" t="str">
        <x:v>其他/待核查</x:v>
      </x:c>
      <x:c r="I695" s="19" t="str">
        <x:v>Similarweb 未分类</x:v>
      </x:c>
      <x:c r="J695" s="19" t="n">
        <x:v>3152319</x:v>
      </x:c>
      <x:c r="K695" s="20" t="n">
        <x:v>0.001</x:v>
      </x:c>
      <x:c r="L695" s="19" t="str">
        <x:v>新出现</x:v>
      </x:c>
      <x:c r="M695" s="20"/>
      <x:c r="N695" s="21" t="n">
        <x:v>107449</x:v>
      </x:c>
      <x:c r="O695" s="21" t="n">
        <x:v>107</x:v>
      </x:c>
      <x:c r="P695" s="21" t="n">
        <x:f>ROUND(N695*K695,0)</x:f>
        <x:v>107</x:v>
      </x:c>
      <x:c r="Q695" s="19" t="str">
        <x:v>否</x:v>
      </x:c>
      <x:c r="R695" s="19" t="str"/>
      <x:c r="S695" s="19" t="n">
        <x:f>IF(Q695="是",0,MIN(10,2+IF(C695="高",2,1)+IF(K695&gt;=3%,3,IF(K695&gt;=1%,2,1))+IF(L695="新出现",2,IF(M695&gt;=100%,3,IF(M695&gt;0,2,0)))))</x:f>
        <x:v>7</x:v>
      </x:c>
      <x:c r="T695" s="21"/>
      <x:c r="U695" s="20"/>
      <x:c r="V695" s="19" t="str">
        <x:v>http://irisdown.co.uk/</x:v>
      </x:c>
      <x:c r="W695" s="19" t="str">
        <x:v>https://pro.similarweb.com/#/digitalsuite/websiteanalysis/referrals/*/999/1m?webSource=Total&amp;selectedTab=incomingTraffic&amp;key=sites.fastspring.com</x:v>
      </x:c>
      <x:c r="X695" s="20" t="n">
        <x:f>IF(Q695="是",0,IFERROR(P695/SUMIFS($P$2:$P$964,$A$2:$A$964,A695,$Q$2:$Q$964,"否"),0))</x:f>
        <x:v>0.001324946135367394</x:v>
      </x:c>
      <x:c r="Y695" s="22" t="str">
        <x:f>IF(OR(M695="",U695=""),"未交叉",IF(M695*U695&gt;0,"同向",IF(M695*U695&lt;0,"背离","一侧持平")))</x:f>
        <x:v>未交叉</x:v>
      </x:c>
    </x:row>
    <x:row r="696">
      <x:c r="A696" s="18" t="str">
        <x:v>sites.fastspring.com</x:v>
      </x:c>
      <x:c r="B696" s="19" t="str">
        <x:v>专用支付/结账入口</x:v>
      </x:c>
      <x:c r="C696" s="19" t="str">
        <x:v>高</x:v>
      </x:c>
      <x:c r="D696" s="19" t="str">
        <x:v>Jul 2026</x:v>
      </x:c>
      <x:c r="E696" s="19" t="n">
        <x:v>53</x:v>
      </x:c>
      <x:c r="F696" s="19" t="str">
        <x:v>yogatemple.com</x:v>
      </x:c>
      <x:c r="G696" s="19" t="str">
        <x:v>Unknown</x:v>
      </x:c>
      <x:c r="H696" s="19" t="str">
        <x:v>其他/待核查</x:v>
      </x:c>
      <x:c r="I696" s="19" t="str">
        <x:v>Similarweb 未分类</x:v>
      </x:c>
      <x:c r="J696" s="19" t="n">
        <x:v>5321553</x:v>
      </x:c>
      <x:c r="K696" s="20" t="n">
        <x:v>0.001</x:v>
      </x:c>
      <x:c r="L696" s="19" t="str">
        <x:v>新出现</x:v>
      </x:c>
      <x:c r="M696" s="20"/>
      <x:c r="N696" s="21" t="n">
        <x:v>107449</x:v>
      </x:c>
      <x:c r="O696" s="21" t="n">
        <x:v>107</x:v>
      </x:c>
      <x:c r="P696" s="21" t="n">
        <x:f>ROUND(N696*K696,0)</x:f>
        <x:v>107</x:v>
      </x:c>
      <x:c r="Q696" s="19" t="str">
        <x:v>否</x:v>
      </x:c>
      <x:c r="R696" s="19" t="str"/>
      <x:c r="S696" s="19" t="n">
        <x:f>IF(Q696="是",0,MIN(10,2+IF(C696="高",2,1)+IF(K696&gt;=3%,3,IF(K696&gt;=1%,2,1))+IF(L696="新出现",2,IF(M696&gt;=100%,3,IF(M696&gt;0,2,0)))))</x:f>
        <x:v>7</x:v>
      </x:c>
      <x:c r="T696" s="21"/>
      <x:c r="U696" s="20"/>
      <x:c r="V696" s="19" t="str">
        <x:v>http://yogatemple.com/</x:v>
      </x:c>
      <x:c r="W696" s="19" t="str">
        <x:v>https://pro.similarweb.com/#/digitalsuite/websiteanalysis/referrals/*/999/1m?webSource=Total&amp;selectedTab=incomingTraffic&amp;key=sites.fastspring.com</x:v>
      </x:c>
      <x:c r="X696" s="20" t="n">
        <x:f>IF(Q696="是",0,IFERROR(P696/SUMIFS($P$2:$P$964,$A$2:$A$964,A696,$Q$2:$Q$964,"否"),0))</x:f>
        <x:v>0.001324946135367394</x:v>
      </x:c>
      <x:c r="Y696" s="22" t="str">
        <x:f>IF(OR(M696="",U696=""),"未交叉",IF(M696*U696&gt;0,"同向",IF(M696*U696&lt;0,"背离","一侧持平")))</x:f>
        <x:v>未交叉</x:v>
      </x:c>
    </x:row>
    <x:row r="697">
      <x:c r="A697" s="18" t="str">
        <x:v>sites.fastspring.com</x:v>
      </x:c>
      <x:c r="B697" s="19" t="str">
        <x:v>专用支付/结账入口</x:v>
      </x:c>
      <x:c r="C697" s="19" t="str">
        <x:v>高</x:v>
      </x:c>
      <x:c r="D697" s="19" t="str">
        <x:v>Jul 2026</x:v>
      </x:c>
      <x:c r="E697" s="19" t="n">
        <x:v>54</x:v>
      </x:c>
      <x:c r="F697" s="19" t="str">
        <x:v>asutype.com</x:v>
      </x:c>
      <x:c r="G697" s="19" t="str">
        <x:v>Programming and Developer Software</x:v>
      </x:c>
      <x:c r="H697" s="19" t="str">
        <x:v>开发者工具与互联网基础设施</x:v>
      </x:c>
      <x:c r="I697" s="19" t="str">
        <x:v>Similarweb 行业映射</x:v>
      </x:c>
      <x:c r="J697" s="19" t="n">
        <x:v>8608538</x:v>
      </x:c>
      <x:c r="K697" s="20" t="n">
        <x:v>0.001</x:v>
      </x:c>
      <x:c r="L697" s="19" t="str">
        <x:v>新出现</x:v>
      </x:c>
      <x:c r="M697" s="20"/>
      <x:c r="N697" s="21" t="n">
        <x:v>107449</x:v>
      </x:c>
      <x:c r="O697" s="21" t="n">
        <x:v>107</x:v>
      </x:c>
      <x:c r="P697" s="21" t="n">
        <x:f>ROUND(N697*K697,0)</x:f>
        <x:v>107</x:v>
      </x:c>
      <x:c r="Q697" s="19" t="str">
        <x:v>否</x:v>
      </x:c>
      <x:c r="R697" s="19" t="str"/>
      <x:c r="S697" s="19" t="n">
        <x:f>IF(Q697="是",0,MIN(10,2+IF(C697="高",2,1)+IF(K697&gt;=3%,3,IF(K697&gt;=1%,2,1))+IF(L697="新出现",2,IF(M697&gt;=100%,3,IF(M697&gt;0,2,0)))))</x:f>
        <x:v>7</x:v>
      </x:c>
      <x:c r="T697" s="21"/>
      <x:c r="U697" s="20"/>
      <x:c r="V697" s="19" t="str">
        <x:v>http://asutype.com/</x:v>
      </x:c>
      <x:c r="W697" s="19" t="str">
        <x:v>https://pro.similarweb.com/#/digitalsuite/websiteanalysis/referrals/*/999/1m?webSource=Total&amp;selectedTab=incomingTraffic&amp;key=sites.fastspring.com</x:v>
      </x:c>
      <x:c r="X697" s="20" t="n">
        <x:f>IF(Q697="是",0,IFERROR(P697/SUMIFS($P$2:$P$964,$A$2:$A$964,A697,$Q$2:$Q$964,"否"),0))</x:f>
        <x:v>0.001324946135367394</x:v>
      </x:c>
      <x:c r="Y697" s="22" t="str">
        <x:f>IF(OR(M697="",U697=""),"未交叉",IF(M697*U697&gt;0,"同向",IF(M697*U697&lt;0,"背离","一侧持平")))</x:f>
        <x:v>未交叉</x:v>
      </x:c>
    </x:row>
    <x:row r="698">
      <x:c r="A698" s="18" t="str">
        <x:v>sites.fastspring.com</x:v>
      </x:c>
      <x:c r="B698" s="19" t="str">
        <x:v>专用支付/结账入口</x:v>
      </x:c>
      <x:c r="C698" s="19" t="str">
        <x:v>高</x:v>
      </x:c>
      <x:c r="D698" s="19" t="str">
        <x:v>Jul 2026</x:v>
      </x:c>
      <x:c r="E698" s="19" t="n">
        <x:v>55</x:v>
      </x:c>
      <x:c r="F698" s="19" t="str">
        <x:v>astah.net</x:v>
      </x:c>
      <x:c r="G698" s="19" t="str">
        <x:v>Programming and Developer Software</x:v>
      </x:c>
      <x:c r="H698" s="19" t="str">
        <x:v>开发者工具与互联网基础设施</x:v>
      </x:c>
      <x:c r="I698" s="19" t="str">
        <x:v>Similarweb 行业映射</x:v>
      </x:c>
      <x:c r="J698" s="19" t="n">
        <x:v>996317</x:v>
      </x:c>
      <x:c r="K698" s="20" t="n">
        <x:v>0.001</x:v>
      </x:c>
      <x:c r="L698" s="19" t="str">
        <x:v>新出现</x:v>
      </x:c>
      <x:c r="M698" s="20"/>
      <x:c r="N698" s="21" t="n">
        <x:v>107449</x:v>
      </x:c>
      <x:c r="O698" s="21" t="n">
        <x:v>107</x:v>
      </x:c>
      <x:c r="P698" s="21" t="n">
        <x:f>ROUND(N698*K698,0)</x:f>
        <x:v>107</x:v>
      </x:c>
      <x:c r="Q698" s="19" t="str">
        <x:v>否</x:v>
      </x:c>
      <x:c r="R698" s="19" t="str"/>
      <x:c r="S698" s="19" t="n">
        <x:f>IF(Q698="是",0,MIN(10,2+IF(C698="高",2,1)+IF(K698&gt;=3%,3,IF(K698&gt;=1%,2,1))+IF(L698="新出现",2,IF(M698&gt;=100%,3,IF(M698&gt;0,2,0)))))</x:f>
        <x:v>7</x:v>
      </x:c>
      <x:c r="T698" s="21"/>
      <x:c r="U698" s="20"/>
      <x:c r="V698" s="19" t="str">
        <x:v>http://astah.net/</x:v>
      </x:c>
      <x:c r="W698" s="19" t="str">
        <x:v>https://pro.similarweb.com/#/digitalsuite/websiteanalysis/referrals/*/999/1m?webSource=Total&amp;selectedTab=incomingTraffic&amp;key=sites.fastspring.com</x:v>
      </x:c>
      <x:c r="X698" s="20" t="n">
        <x:f>IF(Q698="是",0,IFERROR(P698/SUMIFS($P$2:$P$964,$A$2:$A$964,A698,$Q$2:$Q$964,"否"),0))</x:f>
        <x:v>0.001324946135367394</x:v>
      </x:c>
      <x:c r="Y698" s="22" t="str">
        <x:f>IF(OR(M698="",U698=""),"未交叉",IF(M698*U698&gt;0,"同向",IF(M698*U698&lt;0,"背离","一侧持平")))</x:f>
        <x:v>未交叉</x:v>
      </x:c>
    </x:row>
    <x:row r="699">
      <x:c r="A699" s="18" t="str">
        <x:v>sites.fastspring.com</x:v>
      </x:c>
      <x:c r="B699" s="19" t="str">
        <x:v>专用支付/结账入口</x:v>
      </x:c>
      <x:c r="C699" s="19" t="str">
        <x:v>高</x:v>
      </x:c>
      <x:c r="D699" s="19" t="str">
        <x:v>Jul 2026</x:v>
      </x:c>
      <x:c r="E699" s="19" t="n">
        <x:v>56</x:v>
      </x:c>
      <x:c r="F699" s="19" t="str">
        <x:v>phraseexpander.com</x:v>
      </x:c>
      <x:c r="G699" s="19" t="str">
        <x:v>Programming and Developer Software</x:v>
      </x:c>
      <x:c r="H699" s="19" t="str">
        <x:v>开发者工具与互联网基础设施</x:v>
      </x:c>
      <x:c r="I699" s="19" t="str">
        <x:v>Similarweb 行业映射</x:v>
      </x:c>
      <x:c r="J699" s="19" t="n">
        <x:v>5144840</x:v>
      </x:c>
      <x:c r="K699" s="20" t="n">
        <x:v>0.001</x:v>
      </x:c>
      <x:c r="L699" s="19" t="str">
        <x:v>新出现</x:v>
      </x:c>
      <x:c r="M699" s="20"/>
      <x:c r="N699" s="21" t="n">
        <x:v>107449</x:v>
      </x:c>
      <x:c r="O699" s="21" t="n">
        <x:v>107</x:v>
      </x:c>
      <x:c r="P699" s="21" t="n">
        <x:f>ROUND(N699*K699,0)</x:f>
        <x:v>107</x:v>
      </x:c>
      <x:c r="Q699" s="19" t="str">
        <x:v>否</x:v>
      </x:c>
      <x:c r="R699" s="19" t="str"/>
      <x:c r="S699" s="19" t="n">
        <x:f>IF(Q699="是",0,MIN(10,2+IF(C699="高",2,1)+IF(K699&gt;=3%,3,IF(K699&gt;=1%,2,1))+IF(L699="新出现",2,IF(M699&gt;=100%,3,IF(M699&gt;0,2,0)))))</x:f>
        <x:v>7</x:v>
      </x:c>
      <x:c r="T699" s="21"/>
      <x:c r="U699" s="20"/>
      <x:c r="V699" s="19" t="str">
        <x:v>http://phraseexpander.com/</x:v>
      </x:c>
      <x:c r="W699" s="19" t="str">
        <x:v>https://pro.similarweb.com/#/digitalsuite/websiteanalysis/referrals/*/999/1m?webSource=Total&amp;selectedTab=incomingTraffic&amp;key=sites.fastspring.com</x:v>
      </x:c>
      <x:c r="X699" s="20" t="n">
        <x:f>IF(Q699="是",0,IFERROR(P699/SUMIFS($P$2:$P$964,$A$2:$A$964,A699,$Q$2:$Q$964,"否"),0))</x:f>
        <x:v>0.001324946135367394</x:v>
      </x:c>
      <x:c r="Y699" s="22" t="str">
        <x:f>IF(OR(M699="",U699=""),"未交叉",IF(M699*U699&gt;0,"同向",IF(M699*U699&lt;0,"背离","一侧持平")))</x:f>
        <x:v>未交叉</x:v>
      </x:c>
    </x:row>
    <x:row r="700">
      <x:c r="A700" s="18" t="str">
        <x:v>sites.fastspring.com</x:v>
      </x:c>
      <x:c r="B700" s="19" t="str">
        <x:v>专用支付/结账入口</x:v>
      </x:c>
      <x:c r="C700" s="19" t="str">
        <x:v>高</x:v>
      </x:c>
      <x:c r="D700" s="19" t="str">
        <x:v>Jul 2026</x:v>
      </x:c>
      <x:c r="E700" s="19" t="n">
        <x:v>57</x:v>
      </x:c>
      <x:c r="F700" s="19" t="str">
        <x:v>gapotchenko.com</x:v>
      </x:c>
      <x:c r="G700" s="19" t="str">
        <x:v>Computer Security</x:v>
      </x:c>
      <x:c r="H700" s="19" t="str">
        <x:v>开发者工具与互联网基础设施</x:v>
      </x:c>
      <x:c r="I700" s="19" t="str">
        <x:v>Similarweb 行业映射</x:v>
      </x:c>
      <x:c r="J700" s="19" t="n">
        <x:v>2622845</x:v>
      </x:c>
      <x:c r="K700" s="20" t="n">
        <x:v>0.001</x:v>
      </x:c>
      <x:c r="L700" s="19" t="str">
        <x:v>新出现</x:v>
      </x:c>
      <x:c r="M700" s="20"/>
      <x:c r="N700" s="21" t="n">
        <x:v>107449</x:v>
      </x:c>
      <x:c r="O700" s="21" t="n">
        <x:v>107</x:v>
      </x:c>
      <x:c r="P700" s="21" t="n">
        <x:f>ROUND(N700*K700,0)</x:f>
        <x:v>107</x:v>
      </x:c>
      <x:c r="Q700" s="19" t="str">
        <x:v>否</x:v>
      </x:c>
      <x:c r="R700" s="19" t="str"/>
      <x:c r="S700" s="19" t="n">
        <x:f>IF(Q700="是",0,MIN(10,2+IF(C700="高",2,1)+IF(K700&gt;=3%,3,IF(K700&gt;=1%,2,1))+IF(L700="新出现",2,IF(M700&gt;=100%,3,IF(M700&gt;0,2,0)))))</x:f>
        <x:v>7</x:v>
      </x:c>
      <x:c r="T700" s="21"/>
      <x:c r="U700" s="20"/>
      <x:c r="V700" s="19" t="str">
        <x:v>http://gapotchenko.com/</x:v>
      </x:c>
      <x:c r="W700" s="19" t="str">
        <x:v>https://pro.similarweb.com/#/digitalsuite/websiteanalysis/referrals/*/999/1m?webSource=Total&amp;selectedTab=incomingTraffic&amp;key=sites.fastspring.com</x:v>
      </x:c>
      <x:c r="X700" s="20" t="n">
        <x:f>IF(Q700="是",0,IFERROR(P700/SUMIFS($P$2:$P$964,$A$2:$A$964,A700,$Q$2:$Q$964,"否"),0))</x:f>
        <x:v>0.001324946135367394</x:v>
      </x:c>
      <x:c r="Y700" s="22" t="str">
        <x:f>IF(OR(M700="",U700=""),"未交叉",IF(M700*U700&gt;0,"同向",IF(M700*U700&lt;0,"背离","一侧持平")))</x:f>
        <x:v>未交叉</x:v>
      </x:c>
    </x:row>
    <x:row r="701">
      <x:c r="A701" s="18" t="str">
        <x:v>sites.fastspring.com</x:v>
      </x:c>
      <x:c r="B701" s="19" t="str">
        <x:v>专用支付/结账入口</x:v>
      </x:c>
      <x:c r="C701" s="19" t="str">
        <x:v>高</x:v>
      </x:c>
      <x:c r="D701" s="19" t="str">
        <x:v>Jul 2026</x:v>
      </x:c>
      <x:c r="E701" s="19" t="n">
        <x:v>58</x:v>
      </x:c>
      <x:c r="F701" s="19" t="str">
        <x:v>cleverspinner.com</x:v>
      </x:c>
      <x:c r="G701" s="19" t="str">
        <x:v>Science and Education</x:v>
      </x:c>
      <x:c r="H701" s="19" t="str">
        <x:v>教育、知识与考试服务</x:v>
      </x:c>
      <x:c r="I701" s="19" t="str">
        <x:v>Similarweb 行业映射</x:v>
      </x:c>
      <x:c r="J701" s="19" t="n">
        <x:v>1169547</x:v>
      </x:c>
      <x:c r="K701" s="20" t="n">
        <x:v>0.001</x:v>
      </x:c>
      <x:c r="L701" s="19" t="str">
        <x:v>上升</x:v>
      </x:c>
      <x:c r="M701" s="20" t="n">
        <x:v>0.607</x:v>
      </x:c>
      <x:c r="N701" s="21" t="n">
        <x:v>107449</x:v>
      </x:c>
      <x:c r="O701" s="21" t="n">
        <x:v>107</x:v>
      </x:c>
      <x:c r="P701" s="21" t="n">
        <x:f>ROUND(N701*K701,0)</x:f>
        <x:v>107</x:v>
      </x:c>
      <x:c r="Q701" s="19" t="str">
        <x:v>否</x:v>
      </x:c>
      <x:c r="R701" s="19" t="str"/>
      <x:c r="S701" s="19" t="n">
        <x:f>IF(Q701="是",0,MIN(10,2+IF(C701="高",2,1)+IF(K701&gt;=3%,3,IF(K701&gt;=1%,2,1))+IF(L701="新出现",2,IF(M701&gt;=100%,3,IF(M701&gt;0,2,0)))))</x:f>
        <x:v>7</x:v>
      </x:c>
      <x:c r="T701" s="21"/>
      <x:c r="U701" s="20"/>
      <x:c r="V701" s="19" t="str">
        <x:v>http://cleverspinner.com/</x:v>
      </x:c>
      <x:c r="W701" s="19" t="str">
        <x:v>https://pro.similarweb.com/#/digitalsuite/websiteanalysis/referrals/*/999/1m?webSource=Total&amp;selectedTab=incomingTraffic&amp;key=sites.fastspring.com</x:v>
      </x:c>
      <x:c r="X701" s="20" t="n">
        <x:f>IF(Q701="是",0,IFERROR(P701/SUMIFS($P$2:$P$964,$A$2:$A$964,A701,$Q$2:$Q$964,"否"),0))</x:f>
        <x:v>0.001324946135367394</x:v>
      </x:c>
      <x:c r="Y701" s="22" t="str">
        <x:f>IF(OR(M701="",U701=""),"未交叉",IF(M701*U701&gt;0,"同向",IF(M701*U701&lt;0,"背离","一侧持平")))</x:f>
        <x:v>未交叉</x:v>
      </x:c>
    </x:row>
    <x:row r="702">
      <x:c r="A702" s="18" t="str">
        <x:v>sites.fastspring.com</x:v>
      </x:c>
      <x:c r="B702" s="19" t="str">
        <x:v>专用支付/结账入口</x:v>
      </x:c>
      <x:c r="C702" s="19" t="str">
        <x:v>高</x:v>
      </x:c>
      <x:c r="D702" s="19" t="str">
        <x:v>Jul 2026</x:v>
      </x:c>
      <x:c r="E702" s="19" t="n">
        <x:v>59</x:v>
      </x:c>
      <x:c r="F702" s="19" t="str">
        <x:v>webodmbook.com</x:v>
      </x:c>
      <x:c r="G702" s="19" t="str">
        <x:v>Unknown</x:v>
      </x:c>
      <x:c r="H702" s="19" t="str">
        <x:v>其他/待核查</x:v>
      </x:c>
      <x:c r="I702" s="19" t="str">
        <x:v>Similarweb 未分类</x:v>
      </x:c>
      <x:c r="J702" s="19" t="n">
        <x:v>10923307</x:v>
      </x:c>
      <x:c r="K702" s="20" t="n">
        <x:v>0.001</x:v>
      </x:c>
      <x:c r="L702" s="19" t="str">
        <x:v>新出现</x:v>
      </x:c>
      <x:c r="M702" s="20"/>
      <x:c r="N702" s="21" t="n">
        <x:v>107449</x:v>
      </x:c>
      <x:c r="O702" s="21" t="n">
        <x:v>107</x:v>
      </x:c>
      <x:c r="P702" s="21" t="n">
        <x:f>ROUND(N702*K702,0)</x:f>
        <x:v>107</x:v>
      </x:c>
      <x:c r="Q702" s="19" t="str">
        <x:v>否</x:v>
      </x:c>
      <x:c r="R702" s="19" t="str"/>
      <x:c r="S702" s="19" t="n">
        <x:f>IF(Q702="是",0,MIN(10,2+IF(C702="高",2,1)+IF(K702&gt;=3%,3,IF(K702&gt;=1%,2,1))+IF(L702="新出现",2,IF(M702&gt;=100%,3,IF(M702&gt;0,2,0)))))</x:f>
        <x:v>7</x:v>
      </x:c>
      <x:c r="T702" s="21"/>
      <x:c r="U702" s="20"/>
      <x:c r="V702" s="19" t="str">
        <x:v>http://webodmbook.com/</x:v>
      </x:c>
      <x:c r="W702" s="19" t="str">
        <x:v>https://pro.similarweb.com/#/digitalsuite/websiteanalysis/referrals/*/999/1m?webSource=Total&amp;selectedTab=incomingTraffic&amp;key=sites.fastspring.com</x:v>
      </x:c>
      <x:c r="X702" s="20" t="n">
        <x:f>IF(Q702="是",0,IFERROR(P702/SUMIFS($P$2:$P$964,$A$2:$A$964,A702,$Q$2:$Q$964,"否"),0))</x:f>
        <x:v>0.001324946135367394</x:v>
      </x:c>
      <x:c r="Y702" s="22" t="str">
        <x:f>IF(OR(M702="",U702=""),"未交叉",IF(M702*U702&gt;0,"同向",IF(M702*U702&lt;0,"背离","一侧持平")))</x:f>
        <x:v>未交叉</x:v>
      </x:c>
    </x:row>
    <x:row r="703">
      <x:c r="A703" s="18" t="str">
        <x:v>sites.fastspring.com</x:v>
      </x:c>
      <x:c r="B703" s="19" t="str">
        <x:v>专用支付/结账入口</x:v>
      </x:c>
      <x:c r="C703" s="19" t="str">
        <x:v>高</x:v>
      </x:c>
      <x:c r="D703" s="19" t="str">
        <x:v>Jul 2026</x:v>
      </x:c>
      <x:c r="E703" s="19" t="n">
        <x:v>60</x:v>
      </x:c>
      <x:c r="F703" s="19" t="str">
        <x:v>freevideoaudioconverter.com</x:v>
      </x:c>
      <x:c r="G703" s="19" t="str">
        <x:v>Graphics Multimedia and Web Design</x:v>
      </x:c>
      <x:c r="H703" s="19" t="str">
        <x:v>创作、设计与多媒体工具</x:v>
      </x:c>
      <x:c r="I703" s="19" t="str">
        <x:v>Similarweb 行业映射</x:v>
      </x:c>
      <x:c r="J703" s="19"/>
      <x:c r="K703" s="20" t="n">
        <x:v>0.001</x:v>
      </x:c>
      <x:c r="L703" s="19" t="str">
        <x:v>新出现</x:v>
      </x:c>
      <x:c r="M703" s="20"/>
      <x:c r="N703" s="21" t="n">
        <x:v>107449</x:v>
      </x:c>
      <x:c r="O703" s="21" t="n">
        <x:v>107</x:v>
      </x:c>
      <x:c r="P703" s="21" t="n">
        <x:f>ROUND(N703*K703,0)</x:f>
        <x:v>107</x:v>
      </x:c>
      <x:c r="Q703" s="19" t="str">
        <x:v>否</x:v>
      </x:c>
      <x:c r="R703" s="19" t="str"/>
      <x:c r="S703" s="19" t="n">
        <x:f>IF(Q703="是",0,MIN(10,2+IF(C703="高",2,1)+IF(K703&gt;=3%,3,IF(K703&gt;=1%,2,1))+IF(L703="新出现",2,IF(M703&gt;=100%,3,IF(M703&gt;0,2,0)))))</x:f>
        <x:v>7</x:v>
      </x:c>
      <x:c r="T703" s="21"/>
      <x:c r="U703" s="20"/>
      <x:c r="V703" s="19" t="str">
        <x:v>http://freevideoaudioconverter.com/</x:v>
      </x:c>
      <x:c r="W703" s="19" t="str">
        <x:v>https://pro.similarweb.com/#/digitalsuite/websiteanalysis/referrals/*/999/1m?webSource=Total&amp;selectedTab=incomingTraffic&amp;key=sites.fastspring.com</x:v>
      </x:c>
      <x:c r="X703" s="20" t="n">
        <x:f>IF(Q703="是",0,IFERROR(P703/SUMIFS($P$2:$P$964,$A$2:$A$964,A703,$Q$2:$Q$964,"否"),0))</x:f>
        <x:v>0.001324946135367394</x:v>
      </x:c>
      <x:c r="Y703" s="22" t="str">
        <x:f>IF(OR(M703="",U703=""),"未交叉",IF(M703*U703&gt;0,"同向",IF(M703*U703&lt;0,"背离","一侧持平")))</x:f>
        <x:v>未交叉</x:v>
      </x:c>
    </x:row>
    <x:row r="704">
      <x:c r="A704" s="18" t="str">
        <x:v>sites.fastspring.com</x:v>
      </x:c>
      <x:c r="B704" s="19" t="str">
        <x:v>专用支付/结账入口</x:v>
      </x:c>
      <x:c r="C704" s="19" t="str">
        <x:v>高</x:v>
      </x:c>
      <x:c r="D704" s="19" t="str">
        <x:v>Jul 2026</x:v>
      </x:c>
      <x:c r="E704" s="19" t="n">
        <x:v>61</x:v>
      </x:c>
      <x:c r="F704" s="19" t="str">
        <x:v>pstextractorpro.com</x:v>
      </x:c>
      <x:c r="G704" s="19" t="str">
        <x:v>Unknown</x:v>
      </x:c>
      <x:c r="H704" s="19" t="str">
        <x:v>其他/待核查</x:v>
      </x:c>
      <x:c r="I704" s="19" t="str">
        <x:v>Similarweb 未分类</x:v>
      </x:c>
      <x:c r="J704" s="19"/>
      <x:c r="K704" s="20" t="n">
        <x:v>0.001</x:v>
      </x:c>
      <x:c r="L704" s="19" t="str">
        <x:v>新出现</x:v>
      </x:c>
      <x:c r="M704" s="20"/>
      <x:c r="N704" s="21" t="n">
        <x:v>107449</x:v>
      </x:c>
      <x:c r="O704" s="21" t="n">
        <x:v>107</x:v>
      </x:c>
      <x:c r="P704" s="21" t="n">
        <x:f>ROUND(N704*K704,0)</x:f>
        <x:v>107</x:v>
      </x:c>
      <x:c r="Q704" s="19" t="str">
        <x:v>否</x:v>
      </x:c>
      <x:c r="R704" s="19" t="str"/>
      <x:c r="S704" s="19" t="n">
        <x:f>IF(Q704="是",0,MIN(10,2+IF(C704="高",2,1)+IF(K704&gt;=3%,3,IF(K704&gt;=1%,2,1))+IF(L704="新出现",2,IF(M704&gt;=100%,3,IF(M704&gt;0,2,0)))))</x:f>
        <x:v>7</x:v>
      </x:c>
      <x:c r="T704" s="21"/>
      <x:c r="U704" s="20"/>
      <x:c r="V704" s="19" t="str">
        <x:v>http://pstextractorpro.com/</x:v>
      </x:c>
      <x:c r="W704" s="19" t="str">
        <x:v>https://pro.similarweb.com/#/digitalsuite/websiteanalysis/referrals/*/999/1m?webSource=Total&amp;selectedTab=incomingTraffic&amp;key=sites.fastspring.com</x:v>
      </x:c>
      <x:c r="X704" s="20" t="n">
        <x:f>IF(Q704="是",0,IFERROR(P704/SUMIFS($P$2:$P$964,$A$2:$A$964,A704,$Q$2:$Q$964,"否"),0))</x:f>
        <x:v>0.001324946135367394</x:v>
      </x:c>
      <x:c r="Y704" s="22" t="str">
        <x:f>IF(OR(M704="",U704=""),"未交叉",IF(M704*U704&gt;0,"同向",IF(M704*U704&lt;0,"背离","一侧持平")))</x:f>
        <x:v>未交叉</x:v>
      </x:c>
    </x:row>
    <x:row r="705">
      <x:c r="A705" s="18" t="str">
        <x:v>sites.fastspring.com</x:v>
      </x:c>
      <x:c r="B705" s="19" t="str">
        <x:v>专用支付/结账入口</x:v>
      </x:c>
      <x:c r="C705" s="19" t="str">
        <x:v>高</x:v>
      </x:c>
      <x:c r="D705" s="19" t="str">
        <x:v>Jul 2026</x:v>
      </x:c>
      <x:c r="E705" s="19" t="n">
        <x:v>62</x:v>
      </x:c>
      <x:c r="F705" s="19" t="str">
        <x:v>xgenstudios.com</x:v>
      </x:c>
      <x:c r="G705" s="19" t="str">
        <x:v>Video Games Consoles and Accessories</x:v>
      </x:c>
      <x:c r="H705" s="19" t="str">
        <x:v>游戏、数字商品与虚拟内容</x:v>
      </x:c>
      <x:c r="I705" s="19" t="str">
        <x:v>Similarweb 行业映射</x:v>
      </x:c>
      <x:c r="J705" s="19" t="n">
        <x:v>379007</x:v>
      </x:c>
      <x:c r="K705" s="20" t="n">
        <x:v>0.0009</x:v>
      </x:c>
      <x:c r="L705" s="19" t="str">
        <x:v>上升</x:v>
      </x:c>
      <x:c r="M705" s="20" t="n">
        <x:v>2.8139999999999996</x:v>
      </x:c>
      <x:c r="N705" s="21" t="n">
        <x:v>107449</x:v>
      </x:c>
      <x:c r="O705" s="21" t="n">
        <x:v>97</x:v>
      </x:c>
      <x:c r="P705" s="21" t="n">
        <x:f>ROUND(N705*K705,0)</x:f>
        <x:v>97</x:v>
      </x:c>
      <x:c r="Q705" s="19" t="str">
        <x:v>否</x:v>
      </x:c>
      <x:c r="R705" s="19" t="str"/>
      <x:c r="S705" s="19" t="n">
        <x:f>IF(Q705="是",0,MIN(10,2+IF(C705="高",2,1)+IF(K705&gt;=3%,3,IF(K705&gt;=1%,2,1))+IF(L705="新出现",2,IF(M705&gt;=100%,3,IF(M705&gt;0,2,0)))))</x:f>
        <x:v>8</x:v>
      </x:c>
      <x:c r="T705" s="21"/>
      <x:c r="U705" s="20"/>
      <x:c r="V705" s="19" t="str">
        <x:v>http://xgenstudios.com/</x:v>
      </x:c>
      <x:c r="W705" s="19" t="str">
        <x:v>https://pro.similarweb.com/#/digitalsuite/websiteanalysis/referrals/*/999/1m?webSource=Total&amp;selectedTab=incomingTraffic&amp;key=sites.fastspring.com</x:v>
      </x:c>
      <x:c r="X705" s="20" t="n">
        <x:f>IF(Q705="是",0,IFERROR(P705/SUMIFS($P$2:$P$964,$A$2:$A$964,A705,$Q$2:$Q$964,"否"),0))</x:f>
        <x:v>0.001201119393744273</x:v>
      </x:c>
      <x:c r="Y705" s="22" t="str">
        <x:f>IF(OR(M705="",U705=""),"未交叉",IF(M705*U705&gt;0,"同向",IF(M705*U705&lt;0,"背离","一侧持平")))</x:f>
        <x:v>未交叉</x:v>
      </x:c>
    </x:row>
    <x:row r="706">
      <x:c r="A706" s="18" t="str">
        <x:v>sites.fastspring.com</x:v>
      </x:c>
      <x:c r="B706" s="19" t="str">
        <x:v>专用支付/结账入口</x:v>
      </x:c>
      <x:c r="C706" s="19" t="str">
        <x:v>高</x:v>
      </x:c>
      <x:c r="D706" s="19" t="str">
        <x:v>Jul 2026</x:v>
      </x:c>
      <x:c r="E706" s="19" t="n">
        <x:v>63</x:v>
      </x:c>
      <x:c r="F706" s="19" t="str">
        <x:v>uav4geo.com</x:v>
      </x:c>
      <x:c r="G706" s="19" t="str">
        <x:v>Unknown</x:v>
      </x:c>
      <x:c r="H706" s="19" t="str">
        <x:v>其他/待核查</x:v>
      </x:c>
      <x:c r="I706" s="19" t="str">
        <x:v>Similarweb 未分类</x:v>
      </x:c>
      <x:c r="J706" s="19"/>
      <x:c r="K706" s="20" t="n">
        <x:v>0.0009</x:v>
      </x:c>
      <x:c r="L706" s="19" t="str">
        <x:v>新出现</x:v>
      </x:c>
      <x:c r="M706" s="20"/>
      <x:c r="N706" s="21" t="n">
        <x:v>107449</x:v>
      </x:c>
      <x:c r="O706" s="21" t="n">
        <x:v>97</x:v>
      </x:c>
      <x:c r="P706" s="21" t="n">
        <x:f>ROUND(N706*K706,0)</x:f>
        <x:v>97</x:v>
      </x:c>
      <x:c r="Q706" s="19" t="str">
        <x:v>否</x:v>
      </x:c>
      <x:c r="R706" s="19" t="str"/>
      <x:c r="S706" s="19" t="n">
        <x:f>IF(Q706="是",0,MIN(10,2+IF(C706="高",2,1)+IF(K706&gt;=3%,3,IF(K706&gt;=1%,2,1))+IF(L706="新出现",2,IF(M706&gt;=100%,3,IF(M706&gt;0,2,0)))))</x:f>
        <x:v>7</x:v>
      </x:c>
      <x:c r="T706" s="21"/>
      <x:c r="U706" s="20"/>
      <x:c r="V706" s="19" t="str">
        <x:v>http://uav4geo.com/</x:v>
      </x:c>
      <x:c r="W706" s="19" t="str">
        <x:v>https://pro.similarweb.com/#/digitalsuite/websiteanalysis/referrals/*/999/1m?webSource=Total&amp;selectedTab=incomingTraffic&amp;key=sites.fastspring.com</x:v>
      </x:c>
      <x:c r="X706" s="20" t="n">
        <x:f>IF(Q706="是",0,IFERROR(P706/SUMIFS($P$2:$P$964,$A$2:$A$964,A706,$Q$2:$Q$964,"否"),0))</x:f>
        <x:v>0.001201119393744273</x:v>
      </x:c>
      <x:c r="Y706" s="22" t="str">
        <x:f>IF(OR(M706="",U706=""),"未交叉",IF(M706*U706&gt;0,"同向",IF(M706*U706&lt;0,"背离","一侧持平")))</x:f>
        <x:v>未交叉</x:v>
      </x:c>
    </x:row>
    <x:row r="707">
      <x:c r="A707" s="18" t="str">
        <x:v>sites.fastspring.com</x:v>
      </x:c>
      <x:c r="B707" s="19" t="str">
        <x:v>专用支付/结账入口</x:v>
      </x:c>
      <x:c r="C707" s="19" t="str">
        <x:v>高</x:v>
      </x:c>
      <x:c r="D707" s="19" t="str">
        <x:v>Jul 2026</x:v>
      </x:c>
      <x:c r="E707" s="19" t="n">
        <x:v>64</x:v>
      </x:c>
      <x:c r="F707" s="19" t="str">
        <x:v>quickfolders.org</x:v>
      </x:c>
      <x:c r="G707" s="19" t="str">
        <x:v>Programming and Developer Software</x:v>
      </x:c>
      <x:c r="H707" s="19" t="str">
        <x:v>开发者工具与互联网基础设施</x:v>
      </x:c>
      <x:c r="I707" s="19" t="str">
        <x:v>Similarweb 行业映射</x:v>
      </x:c>
      <x:c r="J707" s="19" t="n">
        <x:v>5329832</x:v>
      </x:c>
      <x:c r="K707" s="20" t="n">
        <x:v>0.0009</x:v>
      </x:c>
      <x:c r="L707" s="19" t="str">
        <x:v>新出现</x:v>
      </x:c>
      <x:c r="M707" s="20"/>
      <x:c r="N707" s="21" t="n">
        <x:v>107449</x:v>
      </x:c>
      <x:c r="O707" s="21" t="n">
        <x:v>97</x:v>
      </x:c>
      <x:c r="P707" s="21" t="n">
        <x:f>ROUND(N707*K707,0)</x:f>
        <x:v>97</x:v>
      </x:c>
      <x:c r="Q707" s="19" t="str">
        <x:v>否</x:v>
      </x:c>
      <x:c r="R707" s="19" t="str"/>
      <x:c r="S707" s="19" t="n">
        <x:f>IF(Q707="是",0,MIN(10,2+IF(C707="高",2,1)+IF(K707&gt;=3%,3,IF(K707&gt;=1%,2,1))+IF(L707="新出现",2,IF(M707&gt;=100%,3,IF(M707&gt;0,2,0)))))</x:f>
        <x:v>7</x:v>
      </x:c>
      <x:c r="T707" s="21"/>
      <x:c r="U707" s="20"/>
      <x:c r="V707" s="19" t="str">
        <x:v>http://quickfolders.org/</x:v>
      </x:c>
      <x:c r="W707" s="19" t="str">
        <x:v>https://pro.similarweb.com/#/digitalsuite/websiteanalysis/referrals/*/999/1m?webSource=Total&amp;selectedTab=incomingTraffic&amp;key=sites.fastspring.com</x:v>
      </x:c>
      <x:c r="X707" s="20" t="n">
        <x:f>IF(Q707="是",0,IFERROR(P707/SUMIFS($P$2:$P$964,$A$2:$A$964,A707,$Q$2:$Q$964,"否"),0))</x:f>
        <x:v>0.001201119393744273</x:v>
      </x:c>
      <x:c r="Y707" s="22" t="str">
        <x:f>IF(OR(M707="",U707=""),"未交叉",IF(M707*U707&gt;0,"同向",IF(M707*U707&lt;0,"背离","一侧持平")))</x:f>
        <x:v>未交叉</x:v>
      </x:c>
    </x:row>
    <x:row r="708">
      <x:c r="A708" s="18" t="str">
        <x:v>sites.fastspring.com</x:v>
      </x:c>
      <x:c r="B708" s="19" t="str">
        <x:v>专用支付/结账入口</x:v>
      </x:c>
      <x:c r="C708" s="19" t="str">
        <x:v>高</x:v>
      </x:c>
      <x:c r="D708" s="19" t="str">
        <x:v>Jul 2026</x:v>
      </x:c>
      <x:c r="E708" s="19" t="n">
        <x:v>65</x:v>
      </x:c>
      <x:c r="F708" s="19" t="str">
        <x:v>ursasoftware.com</x:v>
      </x:c>
      <x:c r="G708" s="19" t="str">
        <x:v>Home and Garden</x:v>
      </x:c>
      <x:c r="H708" s="19" t="str">
        <x:v>内容媒体、线下与实体消费</x:v>
      </x:c>
      <x:c r="I708" s="19" t="str">
        <x:v>Similarweb 行业映射</x:v>
      </x:c>
      <x:c r="J708" s="19" t="n">
        <x:v>1418158</x:v>
      </x:c>
      <x:c r="K708" s="20" t="n">
        <x:v>0.0009</x:v>
      </x:c>
      <x:c r="L708" s="19" t="str">
        <x:v>新出现</x:v>
      </x:c>
      <x:c r="M708" s="20"/>
      <x:c r="N708" s="21" t="n">
        <x:v>107449</x:v>
      </x:c>
      <x:c r="O708" s="21" t="n">
        <x:v>97</x:v>
      </x:c>
      <x:c r="P708" s="21" t="n">
        <x:f>ROUND(N708*K708,0)</x:f>
        <x:v>97</x:v>
      </x:c>
      <x:c r="Q708" s="19" t="str">
        <x:v>否</x:v>
      </x:c>
      <x:c r="R708" s="19" t="str"/>
      <x:c r="S708" s="19" t="n">
        <x:f>IF(Q708="是",0,MIN(10,2+IF(C708="高",2,1)+IF(K708&gt;=3%,3,IF(K708&gt;=1%,2,1))+IF(L708="新出现",2,IF(M708&gt;=100%,3,IF(M708&gt;0,2,0)))))</x:f>
        <x:v>7</x:v>
      </x:c>
      <x:c r="T708" s="21"/>
      <x:c r="U708" s="20"/>
      <x:c r="V708" s="19" t="str">
        <x:v>http://ursasoftware.com/</x:v>
      </x:c>
      <x:c r="W708" s="19" t="str">
        <x:v>https://pro.similarweb.com/#/digitalsuite/websiteanalysis/referrals/*/999/1m?webSource=Total&amp;selectedTab=incomingTraffic&amp;key=sites.fastspring.com</x:v>
      </x:c>
      <x:c r="X708" s="20" t="n">
        <x:f>IF(Q708="是",0,IFERROR(P708/SUMIFS($P$2:$P$964,$A$2:$A$964,A708,$Q$2:$Q$964,"否"),0))</x:f>
        <x:v>0.001201119393744273</x:v>
      </x:c>
      <x:c r="Y708" s="22" t="str">
        <x:f>IF(OR(M708="",U708=""),"未交叉",IF(M708*U708&gt;0,"同向",IF(M708*U708&lt;0,"背离","一侧持平")))</x:f>
        <x:v>未交叉</x:v>
      </x:c>
    </x:row>
    <x:row r="709">
      <x:c r="A709" s="18" t="str">
        <x:v>sites.fastspring.com</x:v>
      </x:c>
      <x:c r="B709" s="19" t="str">
        <x:v>专用支付/结账入口</x:v>
      </x:c>
      <x:c r="C709" s="19" t="str">
        <x:v>高</x:v>
      </x:c>
      <x:c r="D709" s="19" t="str">
        <x:v>Jul 2026</x:v>
      </x:c>
      <x:c r="E709" s="19" t="n">
        <x:v>66</x:v>
      </x:c>
      <x:c r="F709" s="19" t="str">
        <x:v>batchphoto.com</x:v>
      </x:c>
      <x:c r="G709" s="19" t="str">
        <x:v>Programming and Developer Software</x:v>
      </x:c>
      <x:c r="H709" s="19" t="str">
        <x:v>开发者工具与互联网基础设施</x:v>
      </x:c>
      <x:c r="I709" s="19" t="str">
        <x:v>Similarweb 行业映射</x:v>
      </x:c>
      <x:c r="J709" s="19" t="n">
        <x:v>859762</x:v>
      </x:c>
      <x:c r="K709" s="20" t="n">
        <x:v>0.0008</x:v>
      </x:c>
      <x:c r="L709" s="19" t="str">
        <x:v>新出现</x:v>
      </x:c>
      <x:c r="M709" s="20"/>
      <x:c r="N709" s="21" t="n">
        <x:v>107449</x:v>
      </x:c>
      <x:c r="O709" s="21" t="n">
        <x:v>86</x:v>
      </x:c>
      <x:c r="P709" s="21" t="n">
        <x:f>ROUND(N709*K709,0)</x:f>
        <x:v>86</x:v>
      </x:c>
      <x:c r="Q709" s="19" t="str">
        <x:v>否</x:v>
      </x:c>
      <x:c r="R709" s="19" t="str"/>
      <x:c r="S709" s="19" t="n">
        <x:f>IF(Q709="是",0,MIN(10,2+IF(C709="高",2,1)+IF(K709&gt;=3%,3,IF(K709&gt;=1%,2,1))+IF(L709="新出现",2,IF(M709&gt;=100%,3,IF(M709&gt;0,2,0)))))</x:f>
        <x:v>7</x:v>
      </x:c>
      <x:c r="T709" s="21"/>
      <x:c r="U709" s="20"/>
      <x:c r="V709" s="19" t="str">
        <x:v>http://batchphoto.com/</x:v>
      </x:c>
      <x:c r="W709" s="19" t="str">
        <x:v>https://pro.similarweb.com/#/digitalsuite/websiteanalysis/referrals/*/999/1m?webSource=Total&amp;selectedTab=incomingTraffic&amp;key=sites.fastspring.com</x:v>
      </x:c>
      <x:c r="X709" s="20" t="n">
        <x:f>IF(Q709="是",0,IFERROR(P709/SUMIFS($P$2:$P$964,$A$2:$A$964,A709,$Q$2:$Q$964,"否"),0))</x:f>
        <x:v>0.00106490997795884</x:v>
      </x:c>
      <x:c r="Y709" s="22" t="str">
        <x:f>IF(OR(M709="",U709=""),"未交叉",IF(M709*U709&gt;0,"同向",IF(M709*U709&lt;0,"背离","一侧持平")))</x:f>
        <x:v>未交叉</x:v>
      </x:c>
    </x:row>
    <x:row r="710">
      <x:c r="A710" s="18" t="str">
        <x:v>sites.fastspring.com</x:v>
      </x:c>
      <x:c r="B710" s="19" t="str">
        <x:v>专用支付/结账入口</x:v>
      </x:c>
      <x:c r="C710" s="19" t="str">
        <x:v>高</x:v>
      </x:c>
      <x:c r="D710" s="19" t="str">
        <x:v>Jul 2026</x:v>
      </x:c>
      <x:c r="E710" s="19" t="n">
        <x:v>67</x:v>
      </x:c>
      <x:c r="F710" s="19" t="str">
        <x:v>soma-zone.com</x:v>
      </x:c>
      <x:c r="G710" s="19" t="str">
        <x:v>Programming and Developer Software</x:v>
      </x:c>
      <x:c r="H710" s="19" t="str">
        <x:v>开发者工具与互联网基础设施</x:v>
      </x:c>
      <x:c r="I710" s="19" t="str">
        <x:v>Similarweb 行业映射</x:v>
      </x:c>
      <x:c r="J710" s="19" t="n">
        <x:v>2173177</x:v>
      </x:c>
      <x:c r="K710" s="20" t="n">
        <x:v>0.0007000000000000001</x:v>
      </x:c>
      <x:c r="L710" s="19" t="str">
        <x:v>下降</x:v>
      </x:c>
      <x:c r="M710" s="20" t="n">
        <x:v>-0.8184</x:v>
      </x:c>
      <x:c r="N710" s="21" t="n">
        <x:v>107449</x:v>
      </x:c>
      <x:c r="O710" s="21" t="n">
        <x:v>75</x:v>
      </x:c>
      <x:c r="P710" s="21" t="n">
        <x:f>ROUND(N710*K710,0)</x:f>
        <x:v>75</x:v>
      </x:c>
      <x:c r="Q710" s="19" t="str">
        <x:v>否</x:v>
      </x:c>
      <x:c r="R710" s="19" t="str"/>
      <x:c r="S710" s="19" t="n">
        <x:f>IF(Q710="是",0,MIN(10,2+IF(C710="高",2,1)+IF(K710&gt;=3%,3,IF(K710&gt;=1%,2,1))+IF(L710="新出现",2,IF(M710&gt;=100%,3,IF(M710&gt;0,2,0)))))</x:f>
        <x:v>5</x:v>
      </x:c>
      <x:c r="T710" s="21"/>
      <x:c r="U710" s="20"/>
      <x:c r="V710" s="19" t="str">
        <x:v>http://soma-zone.com/</x:v>
      </x:c>
      <x:c r="W710" s="19" t="str">
        <x:v>https://pro.similarweb.com/#/digitalsuite/websiteanalysis/referrals/*/999/1m?webSource=Total&amp;selectedTab=incomingTraffic&amp;key=sites.fastspring.com</x:v>
      </x:c>
      <x:c r="X710" s="20" t="n">
        <x:f>IF(Q710="是",0,IFERROR(P710/SUMIFS($P$2:$P$964,$A$2:$A$964,A710,$Q$2:$Q$964,"否"),0))</x:f>
        <x:v>0.000928700562173407</x:v>
      </x:c>
      <x:c r="Y710" s="22" t="str">
        <x:f>IF(OR(M710="",U710=""),"未交叉",IF(M710*U710&gt;0,"同向",IF(M710*U710&lt;0,"背离","一侧持平")))</x:f>
        <x:v>未交叉</x:v>
      </x:c>
    </x:row>
    <x:row r="711">
      <x:c r="A711" s="18" t="str">
        <x:v>sites.fastspring.com</x:v>
      </x:c>
      <x:c r="B711" s="19" t="str">
        <x:v>专用支付/结账入口</x:v>
      </x:c>
      <x:c r="C711" s="19" t="str">
        <x:v>高</x:v>
      </x:c>
      <x:c r="D711" s="19" t="str">
        <x:v>Jul 2026</x:v>
      </x:c>
      <x:c r="E711" s="19" t="n">
        <x:v>68</x:v>
      </x:c>
      <x:c r="F711" s="19" t="str">
        <x:v>astrogold.io</x:v>
      </x:c>
      <x:c r="G711" s="19" t="str">
        <x:v>Faith and Beliefs</x:v>
      </x:c>
      <x:c r="H711" s="19" t="str">
        <x:v>教育、知识与考试服务</x:v>
      </x:c>
      <x:c r="I711" s="19" t="str">
        <x:v>Similarweb 行业映射</x:v>
      </x:c>
      <x:c r="J711" s="19" t="n">
        <x:v>870728</x:v>
      </x:c>
      <x:c r="K711" s="20" t="n">
        <x:v>0.0007000000000000001</x:v>
      </x:c>
      <x:c r="L711" s="19" t="str">
        <x:v>下降</x:v>
      </x:c>
      <x:c r="M711" s="20" t="n">
        <x:v>-0.3075</x:v>
      </x:c>
      <x:c r="N711" s="21" t="n">
        <x:v>107449</x:v>
      </x:c>
      <x:c r="O711" s="21" t="n">
        <x:v>75</x:v>
      </x:c>
      <x:c r="P711" s="21" t="n">
        <x:f>ROUND(N711*K711,0)</x:f>
        <x:v>75</x:v>
      </x:c>
      <x:c r="Q711" s="19" t="str">
        <x:v>否</x:v>
      </x:c>
      <x:c r="R711" s="19" t="str"/>
      <x:c r="S711" s="19" t="n">
        <x:f>IF(Q711="是",0,MIN(10,2+IF(C711="高",2,1)+IF(K711&gt;=3%,3,IF(K711&gt;=1%,2,1))+IF(L711="新出现",2,IF(M711&gt;=100%,3,IF(M711&gt;0,2,0)))))</x:f>
        <x:v>5</x:v>
      </x:c>
      <x:c r="T711" s="21"/>
      <x:c r="U711" s="20"/>
      <x:c r="V711" s="19" t="str">
        <x:v>http://astrogold.io/</x:v>
      </x:c>
      <x:c r="W711" s="19" t="str">
        <x:v>https://pro.similarweb.com/#/digitalsuite/websiteanalysis/referrals/*/999/1m?webSource=Total&amp;selectedTab=incomingTraffic&amp;key=sites.fastspring.com</x:v>
      </x:c>
      <x:c r="X711" s="20" t="n">
        <x:f>IF(Q711="是",0,IFERROR(P711/SUMIFS($P$2:$P$964,$A$2:$A$964,A711,$Q$2:$Q$964,"否"),0))</x:f>
        <x:v>0.000928700562173407</x:v>
      </x:c>
      <x:c r="Y711" s="22" t="str">
        <x:f>IF(OR(M711="",U711=""),"未交叉",IF(M711*U711&gt;0,"同向",IF(M711*U711&lt;0,"背离","一侧持平")))</x:f>
        <x:v>未交叉</x:v>
      </x:c>
    </x:row>
    <x:row r="712">
      <x:c r="A712" s="18" t="str">
        <x:v>sites.fastspring.com</x:v>
      </x:c>
      <x:c r="B712" s="19" t="str">
        <x:v>专用支付/结账入口</x:v>
      </x:c>
      <x:c r="C712" s="19" t="str">
        <x:v>高</x:v>
      </x:c>
      <x:c r="D712" s="19" t="str">
        <x:v>Jul 2026</x:v>
      </x:c>
      <x:c r="E712" s="19" t="n">
        <x:v>69</x:v>
      </x:c>
      <x:c r="F712" s="19" t="str">
        <x:v>analyticsedge.com</x:v>
      </x:c>
      <x:c r="G712" s="19" t="str">
        <x:v>Online Marketing</x:v>
      </x:c>
      <x:c r="H712" s="19" t="str">
        <x:v>营销、生产力与商业服务</x:v>
      </x:c>
      <x:c r="I712" s="19" t="str">
        <x:v>Similarweb 行业映射</x:v>
      </x:c>
      <x:c r="J712" s="19" t="n">
        <x:v>2993691</x:v>
      </x:c>
      <x:c r="K712" s="20" t="n">
        <x:v>0.0007000000000000001</x:v>
      </x:c>
      <x:c r="L712" s="19" t="str">
        <x:v>新出现</x:v>
      </x:c>
      <x:c r="M712" s="20"/>
      <x:c r="N712" s="21" t="n">
        <x:v>107449</x:v>
      </x:c>
      <x:c r="O712" s="21" t="n">
        <x:v>75</x:v>
      </x:c>
      <x:c r="P712" s="21" t="n">
        <x:f>ROUND(N712*K712,0)</x:f>
        <x:v>75</x:v>
      </x:c>
      <x:c r="Q712" s="19" t="str">
        <x:v>否</x:v>
      </x:c>
      <x:c r="R712" s="19" t="str"/>
      <x:c r="S712" s="19" t="n">
        <x:f>IF(Q712="是",0,MIN(10,2+IF(C712="高",2,1)+IF(K712&gt;=3%,3,IF(K712&gt;=1%,2,1))+IF(L712="新出现",2,IF(M712&gt;=100%,3,IF(M712&gt;0,2,0)))))</x:f>
        <x:v>7</x:v>
      </x:c>
      <x:c r="T712" s="21"/>
      <x:c r="U712" s="20"/>
      <x:c r="V712" s="19" t="str">
        <x:v>http://analyticsedge.com/</x:v>
      </x:c>
      <x:c r="W712" s="19" t="str">
        <x:v>https://pro.similarweb.com/#/digitalsuite/websiteanalysis/referrals/*/999/1m?webSource=Total&amp;selectedTab=incomingTraffic&amp;key=sites.fastspring.com</x:v>
      </x:c>
      <x:c r="X712" s="20" t="n">
        <x:f>IF(Q712="是",0,IFERROR(P712/SUMIFS($P$2:$P$964,$A$2:$A$964,A712,$Q$2:$Q$964,"否"),0))</x:f>
        <x:v>0.000928700562173407</x:v>
      </x:c>
      <x:c r="Y712" s="22" t="str">
        <x:f>IF(OR(M712="",U712=""),"未交叉",IF(M712*U712&gt;0,"同向",IF(M712*U712&lt;0,"背离","一侧持平")))</x:f>
        <x:v>未交叉</x:v>
      </x:c>
    </x:row>
    <x:row r="713">
      <x:c r="A713" s="18" t="str">
        <x:v>sites.fastspring.com</x:v>
      </x:c>
      <x:c r="B713" s="19" t="str">
        <x:v>专用支付/结账入口</x:v>
      </x:c>
      <x:c r="C713" s="19" t="str">
        <x:v>高</x:v>
      </x:c>
      <x:c r="D713" s="19" t="str">
        <x:v>Jul 2026</x:v>
      </x:c>
      <x:c r="E713" s="19" t="n">
        <x:v>70</x:v>
      </x:c>
      <x:c r="F713" s="19" t="str">
        <x:v>wpbookingcalendar.com</x:v>
      </x:c>
      <x:c r="G713" s="19" t="str">
        <x:v>Graphics Multimedia and Web Design</x:v>
      </x:c>
      <x:c r="H713" s="19" t="str">
        <x:v>创作、设计与多媒体工具</x:v>
      </x:c>
      <x:c r="I713" s="19" t="str">
        <x:v>Similarweb 行业映射</x:v>
      </x:c>
      <x:c r="J713" s="19" t="n">
        <x:v>1397711</x:v>
      </x:c>
      <x:c r="K713" s="20" t="n">
        <x:v>0.0005</x:v>
      </x:c>
      <x:c r="L713" s="19" t="str">
        <x:v>下降</x:v>
      </x:c>
      <x:c r="M713" s="20" t="n">
        <x:v>-0.9084</x:v>
      </x:c>
      <x:c r="N713" s="21" t="n">
        <x:v>107449</x:v>
      </x:c>
      <x:c r="O713" s="21" t="n">
        <x:v>54</x:v>
      </x:c>
      <x:c r="P713" s="21" t="n">
        <x:f>ROUND(N713*K713,0)</x:f>
        <x:v>54</x:v>
      </x:c>
      <x:c r="Q713" s="19" t="str">
        <x:v>否</x:v>
      </x:c>
      <x:c r="R713" s="19" t="str"/>
      <x:c r="S713" s="19" t="n">
        <x:f>IF(Q713="是",0,MIN(10,2+IF(C713="高",2,1)+IF(K713&gt;=3%,3,IF(K713&gt;=1%,2,1))+IF(L713="新出现",2,IF(M713&gt;=100%,3,IF(M713&gt;0,2,0)))))</x:f>
        <x:v>5</x:v>
      </x:c>
      <x:c r="T713" s="21"/>
      <x:c r="U713" s="20"/>
      <x:c r="V713" s="19" t="str">
        <x:v>http://wpbookingcalendar.com/</x:v>
      </x:c>
      <x:c r="W713" s="19" t="str">
        <x:v>https://pro.similarweb.com/#/digitalsuite/websiteanalysis/referrals/*/999/1m?webSource=Total&amp;selectedTab=incomingTraffic&amp;key=sites.fastspring.com</x:v>
      </x:c>
      <x:c r="X713" s="20" t="n">
        <x:f>IF(Q713="是",0,IFERROR(P713/SUMIFS($P$2:$P$964,$A$2:$A$964,A713,$Q$2:$Q$964,"否"),0))</x:f>
        <x:v>0.0006686644047648531</x:v>
      </x:c>
      <x:c r="Y713" s="22" t="str">
        <x:f>IF(OR(M713="",U713=""),"未交叉",IF(M713*U713&gt;0,"同向",IF(M713*U713&lt;0,"背离","一侧持平")))</x:f>
        <x:v>未交叉</x:v>
      </x:c>
    </x:row>
    <x:row r="714">
      <x:c r="A714" s="18" t="str">
        <x:v>sites.fastspring.com</x:v>
      </x:c>
      <x:c r="B714" s="19" t="str">
        <x:v>专用支付/结账入口</x:v>
      </x:c>
      <x:c r="C714" s="19" t="str">
        <x:v>高</x:v>
      </x:c>
      <x:c r="D714" s="19" t="str">
        <x:v>Jul 2026</x:v>
      </x:c>
      <x:c r="E714" s="19" t="n">
        <x:v>71</x:v>
      </x:c>
      <x:c r="F714" s="19" t="str">
        <x:v>login.wisefax.com</x:v>
      </x:c>
      <x:c r="G714" s="19" t="str">
        <x:v>Financial Planning and Management</x:v>
      </x:c>
      <x:c r="H714" s="19" t="str">
        <x:v>金融、支付与交易服务</x:v>
      </x:c>
      <x:c r="I714" s="19" t="str">
        <x:v>Similarweb 行业映射</x:v>
      </x:c>
      <x:c r="J714" s="19"/>
      <x:c r="K714" s="20" t="n">
        <x:v>0.0005</x:v>
      </x:c>
      <x:c r="L714" s="19" t="str">
        <x:v>新出现</x:v>
      </x:c>
      <x:c r="M714" s="20"/>
      <x:c r="N714" s="21" t="n">
        <x:v>107449</x:v>
      </x:c>
      <x:c r="O714" s="21" t="n">
        <x:v>54</x:v>
      </x:c>
      <x:c r="P714" s="21" t="n">
        <x:f>ROUND(N714*K714,0)</x:f>
        <x:v>54</x:v>
      </x:c>
      <x:c r="Q714" s="19" t="str">
        <x:v>否</x:v>
      </x:c>
      <x:c r="R714" s="19" t="str"/>
      <x:c r="S714" s="19" t="n">
        <x:f>IF(Q714="是",0,MIN(10,2+IF(C714="高",2,1)+IF(K714&gt;=3%,3,IF(K714&gt;=1%,2,1))+IF(L714="新出现",2,IF(M714&gt;=100%,3,IF(M714&gt;0,2,0)))))</x:f>
        <x:v>7</x:v>
      </x:c>
      <x:c r="T714" s="21"/>
      <x:c r="U714" s="20"/>
      <x:c r="V714" s="19" t="str">
        <x:v>http://login.wisefax.com/</x:v>
      </x:c>
      <x:c r="W714" s="19" t="str">
        <x:v>https://pro.similarweb.com/#/digitalsuite/websiteanalysis/referrals/*/999/1m?webSource=Total&amp;selectedTab=incomingTraffic&amp;key=sites.fastspring.com</x:v>
      </x:c>
      <x:c r="X714" s="20" t="n">
        <x:f>IF(Q714="是",0,IFERROR(P714/SUMIFS($P$2:$P$964,$A$2:$A$964,A714,$Q$2:$Q$964,"否"),0))</x:f>
        <x:v>0.0006686644047648531</x:v>
      </x:c>
      <x:c r="Y714" s="22" t="str">
        <x:f>IF(OR(M714="",U714=""),"未交叉",IF(M714*U714&gt;0,"同向",IF(M714*U714&lt;0,"背离","一侧持平")))</x:f>
        <x:v>未交叉</x:v>
      </x:c>
    </x:row>
    <x:row r="715">
      <x:c r="A715" s="18" t="str">
        <x:v>sites.fastspring.com</x:v>
      </x:c>
      <x:c r="B715" s="19" t="str">
        <x:v>专用支付/结账入口</x:v>
      </x:c>
      <x:c r="C715" s="19" t="str">
        <x:v>高</x:v>
      </x:c>
      <x:c r="D715" s="19" t="str">
        <x:v>Jul 2026</x:v>
      </x:c>
      <x:c r="E715" s="19" t="n">
        <x:v>72</x:v>
      </x:c>
      <x:c r="F715" s="19" t="str">
        <x:v>indiginus.com</x:v>
      </x:c>
      <x:c r="G715" s="19" t="str">
        <x:v>Music</x:v>
      </x:c>
      <x:c r="H715" s="19" t="str">
        <x:v>创作、设计与多媒体工具</x:v>
      </x:c>
      <x:c r="I715" s="19" t="str">
        <x:v>Similarweb 行业映射</x:v>
      </x:c>
      <x:c r="J715" s="19" t="n">
        <x:v>2014707</x:v>
      </x:c>
      <x:c r="K715" s="20" t="n">
        <x:v>0.0005</x:v>
      </x:c>
      <x:c r="L715" s="19" t="str">
        <x:v>新出现</x:v>
      </x:c>
      <x:c r="M715" s="20"/>
      <x:c r="N715" s="21" t="n">
        <x:v>107449</x:v>
      </x:c>
      <x:c r="O715" s="21" t="n">
        <x:v>54</x:v>
      </x:c>
      <x:c r="P715" s="21" t="n">
        <x:f>ROUND(N715*K715,0)</x:f>
        <x:v>54</x:v>
      </x:c>
      <x:c r="Q715" s="19" t="str">
        <x:v>否</x:v>
      </x:c>
      <x:c r="R715" s="19" t="str"/>
      <x:c r="S715" s="19" t="n">
        <x:f>IF(Q715="是",0,MIN(10,2+IF(C715="高",2,1)+IF(K715&gt;=3%,3,IF(K715&gt;=1%,2,1))+IF(L715="新出现",2,IF(M715&gt;=100%,3,IF(M715&gt;0,2,0)))))</x:f>
        <x:v>7</x:v>
      </x:c>
      <x:c r="T715" s="21"/>
      <x:c r="U715" s="20"/>
      <x:c r="V715" s="19" t="str">
        <x:v>http://indiginus.com/</x:v>
      </x:c>
      <x:c r="W715" s="19" t="str">
        <x:v>https://pro.similarweb.com/#/digitalsuite/websiteanalysis/referrals/*/999/1m?webSource=Total&amp;selectedTab=incomingTraffic&amp;key=sites.fastspring.com</x:v>
      </x:c>
      <x:c r="X715" s="20" t="n">
        <x:f>IF(Q715="是",0,IFERROR(P715/SUMIFS($P$2:$P$964,$A$2:$A$964,A715,$Q$2:$Q$964,"否"),0))</x:f>
        <x:v>0.0006686644047648531</x:v>
      </x:c>
      <x:c r="Y715" s="22" t="str">
        <x:f>IF(OR(M715="",U715=""),"未交叉",IF(M715*U715&gt;0,"同向",IF(M715*U715&lt;0,"背离","一侧持平")))</x:f>
        <x:v>未交叉</x:v>
      </x:c>
    </x:row>
    <x:row r="716">
      <x:c r="A716" s="18" t="str">
        <x:v>sites.fastspring.com</x:v>
      </x:c>
      <x:c r="B716" s="19" t="str">
        <x:v>专用支付/结账入口</x:v>
      </x:c>
      <x:c r="C716" s="19" t="str">
        <x:v>高</x:v>
      </x:c>
      <x:c r="D716" s="19" t="str">
        <x:v>Jul 2026</x:v>
      </x:c>
      <x:c r="E716" s="19" t="n">
        <x:v>73</x:v>
      </x:c>
      <x:c r="F716" s="19" t="str">
        <x:v>onehouronelife.com</x:v>
      </x:c>
      <x:c r="G716" s="19" t="str">
        <x:v>Video Games Consoles and Accessories</x:v>
      </x:c>
      <x:c r="H716" s="19" t="str">
        <x:v>游戏、数字商品与虚拟内容</x:v>
      </x:c>
      <x:c r="I716" s="19" t="str">
        <x:v>Similarweb 行业映射</x:v>
      </x:c>
      <x:c r="J716" s="19" t="n">
        <x:v>1229626</x:v>
      </x:c>
      <x:c r="K716" s="20" t="n">
        <x:v>0.0005</x:v>
      </x:c>
      <x:c r="L716" s="19" t="str">
        <x:v>下降</x:v>
      </x:c>
      <x:c r="M716" s="20" t="n">
        <x:v>-0.907</x:v>
      </x:c>
      <x:c r="N716" s="21" t="n">
        <x:v>107449</x:v>
      </x:c>
      <x:c r="O716" s="21" t="n">
        <x:v>54</x:v>
      </x:c>
      <x:c r="P716" s="21" t="n">
        <x:f>ROUND(N716*K716,0)</x:f>
        <x:v>54</x:v>
      </x:c>
      <x:c r="Q716" s="19" t="str">
        <x:v>否</x:v>
      </x:c>
      <x:c r="R716" s="19" t="str"/>
      <x:c r="S716" s="19" t="n">
        <x:f>IF(Q716="是",0,MIN(10,2+IF(C716="高",2,1)+IF(K716&gt;=3%,3,IF(K716&gt;=1%,2,1))+IF(L716="新出现",2,IF(M716&gt;=100%,3,IF(M716&gt;0,2,0)))))</x:f>
        <x:v>5</x:v>
      </x:c>
      <x:c r="T716" s="21"/>
      <x:c r="U716" s="20"/>
      <x:c r="V716" s="19" t="str">
        <x:v>http://onehouronelife.com/</x:v>
      </x:c>
      <x:c r="W716" s="19" t="str">
        <x:v>https://pro.similarweb.com/#/digitalsuite/websiteanalysis/referrals/*/999/1m?webSource=Total&amp;selectedTab=incomingTraffic&amp;key=sites.fastspring.com</x:v>
      </x:c>
      <x:c r="X716" s="20" t="n">
        <x:f>IF(Q716="是",0,IFERROR(P716/SUMIFS($P$2:$P$964,$A$2:$A$964,A716,$Q$2:$Q$964,"否"),0))</x:f>
        <x:v>0.0006686644047648531</x:v>
      </x:c>
      <x:c r="Y716" s="22" t="str">
        <x:f>IF(OR(M716="",U716=""),"未交叉",IF(M716*U716&gt;0,"同向",IF(M716*U716&lt;0,"背离","一侧持平")))</x:f>
        <x:v>未交叉</x:v>
      </x:c>
    </x:row>
    <x:row r="717">
      <x:c r="A717" s="18" t="str">
        <x:v>sites.fastspring.com</x:v>
      </x:c>
      <x:c r="B717" s="19" t="str">
        <x:v>专用支付/结账入口</x:v>
      </x:c>
      <x:c r="C717" s="19" t="str">
        <x:v>高</x:v>
      </x:c>
      <x:c r="D717" s="19" t="str">
        <x:v>Jul 2026</x:v>
      </x:c>
      <x:c r="E717" s="19" t="n">
        <x:v>74</x:v>
      </x:c>
      <x:c r="F717" s="19" t="str">
        <x:v>appstorrent.ru</x:v>
      </x:c>
      <x:c r="G717" s="19" t="str">
        <x:v>Computers Electronics and Technology</x:v>
      </x:c>
      <x:c r="H717" s="19" t="str">
        <x:v>通用数字产品与技术服务</x:v>
      </x:c>
      <x:c r="I717" s="19" t="str">
        <x:v>Similarweb 行业映射</x:v>
      </x:c>
      <x:c r="J717" s="19" t="n">
        <x:v>12871</x:v>
      </x:c>
      <x:c r="K717" s="20" t="n">
        <x:v>0.0004</x:v>
      </x:c>
      <x:c r="L717" s="19" t="str">
        <x:v>新出现</x:v>
      </x:c>
      <x:c r="M717" s="20"/>
      <x:c r="N717" s="21" t="n">
        <x:v>107449</x:v>
      </x:c>
      <x:c r="O717" s="21" t="n">
        <x:v>43</x:v>
      </x:c>
      <x:c r="P717" s="21" t="n">
        <x:f>ROUND(N717*K717,0)</x:f>
        <x:v>43</x:v>
      </x:c>
      <x:c r="Q717" s="19" t="str">
        <x:v>否</x:v>
      </x:c>
      <x:c r="R717" s="19" t="str"/>
      <x:c r="S717" s="19" t="n">
        <x:f>IF(Q717="是",0,MIN(10,2+IF(C717="高",2,1)+IF(K717&gt;=3%,3,IF(K717&gt;=1%,2,1))+IF(L717="新出现",2,IF(M717&gt;=100%,3,IF(M717&gt;0,2,0)))))</x:f>
        <x:v>7</x:v>
      </x:c>
      <x:c r="T717" s="21"/>
      <x:c r="U717" s="20"/>
      <x:c r="V717" s="19" t="str">
        <x:v>http://appstorrent.ru/</x:v>
      </x:c>
      <x:c r="W717" s="19" t="str">
        <x:v>https://pro.similarweb.com/#/digitalsuite/websiteanalysis/referrals/*/999/1m?webSource=Total&amp;selectedTab=incomingTraffic&amp;key=sites.fastspring.com</x:v>
      </x:c>
      <x:c r="X717" s="20" t="n">
        <x:f>IF(Q717="是",0,IFERROR(P717/SUMIFS($P$2:$P$964,$A$2:$A$964,A717,$Q$2:$Q$964,"否"),0))</x:f>
        <x:v>0.00053245498897942</x:v>
      </x:c>
      <x:c r="Y717" s="22" t="str">
        <x:f>IF(OR(M717="",U717=""),"未交叉",IF(M717*U717&gt;0,"同向",IF(M717*U717&lt;0,"背离","一侧持平")))</x:f>
        <x:v>未交叉</x:v>
      </x:c>
    </x:row>
    <x:row r="718">
      <x:c r="A718" s="18" t="str">
        <x:v>sites.fastspring.com</x:v>
      </x:c>
      <x:c r="B718" s="19" t="str">
        <x:v>专用支付/结账入口</x:v>
      </x:c>
      <x:c r="C718" s="19" t="str">
        <x:v>高</x:v>
      </x:c>
      <x:c r="D718" s="19" t="str">
        <x:v>Jul 2026</x:v>
      </x:c>
      <x:c r="E718" s="19" t="n">
        <x:v>75</x:v>
      </x:c>
      <x:c r="F718" s="19" t="str">
        <x:v>easycron.com</x:v>
      </x:c>
      <x:c r="G718" s="19" t="str">
        <x:v>Web Hosting and Domain Names</x:v>
      </x:c>
      <x:c r="H718" s="19" t="str">
        <x:v>开发者工具与互联网基础设施</x:v>
      </x:c>
      <x:c r="I718" s="19" t="str">
        <x:v>Similarweb 行业映射</x:v>
      </x:c>
      <x:c r="J718" s="19" t="n">
        <x:v>699730</x:v>
      </x:c>
      <x:c r="K718" s="20" t="n">
        <x:v>0.0004</x:v>
      </x:c>
      <x:c r="L718" s="19" t="str">
        <x:v>下降</x:v>
      </x:c>
      <x:c r="M718" s="20" t="n">
        <x:v>-0.8756</x:v>
      </x:c>
      <x:c r="N718" s="21" t="n">
        <x:v>107449</x:v>
      </x:c>
      <x:c r="O718" s="21" t="n">
        <x:v>43</x:v>
      </x:c>
      <x:c r="P718" s="21" t="n">
        <x:f>ROUND(N718*K718,0)</x:f>
        <x:v>43</x:v>
      </x:c>
      <x:c r="Q718" s="19" t="str">
        <x:v>否</x:v>
      </x:c>
      <x:c r="R718" s="19" t="str"/>
      <x:c r="S718" s="19" t="n">
        <x:f>IF(Q718="是",0,MIN(10,2+IF(C718="高",2,1)+IF(K718&gt;=3%,3,IF(K718&gt;=1%,2,1))+IF(L718="新出现",2,IF(M718&gt;=100%,3,IF(M718&gt;0,2,0)))))</x:f>
        <x:v>5</x:v>
      </x:c>
      <x:c r="T718" s="21"/>
      <x:c r="U718" s="20"/>
      <x:c r="V718" s="19" t="str">
        <x:v>http://easycron.com/</x:v>
      </x:c>
      <x:c r="W718" s="19" t="str">
        <x:v>https://pro.similarweb.com/#/digitalsuite/websiteanalysis/referrals/*/999/1m?webSource=Total&amp;selectedTab=incomingTraffic&amp;key=sites.fastspring.com</x:v>
      </x:c>
      <x:c r="X718" s="20" t="n">
        <x:f>IF(Q718="是",0,IFERROR(P718/SUMIFS($P$2:$P$964,$A$2:$A$964,A718,$Q$2:$Q$964,"否"),0))</x:f>
        <x:v>0.00053245498897942</x:v>
      </x:c>
      <x:c r="Y718" s="22" t="str">
        <x:f>IF(OR(M718="",U718=""),"未交叉",IF(M718*U718&gt;0,"同向",IF(M718*U718&lt;0,"背离","一侧持平")))</x:f>
        <x:v>未交叉</x:v>
      </x:c>
    </x:row>
    <x:row r="719">
      <x:c r="A719" s="18" t="str">
        <x:v>sites.fastspring.com</x:v>
      </x:c>
      <x:c r="B719" s="19" t="str">
        <x:v>专用支付/结账入口</x:v>
      </x:c>
      <x:c r="C719" s="19" t="str">
        <x:v>高</x:v>
      </x:c>
      <x:c r="D719" s="19" t="str">
        <x:v>Jul 2026</x:v>
      </x:c>
      <x:c r="E719" s="19" t="n">
        <x:v>76</x:v>
      </x:c>
      <x:c r="F719" s="19" t="str">
        <x:v>hashsuite.openwall.net</x:v>
      </x:c>
      <x:c r="G719" s="19" t="str">
        <x:v>Computer Security</x:v>
      </x:c>
      <x:c r="H719" s="19" t="str">
        <x:v>开发者工具与互联网基础设施</x:v>
      </x:c>
      <x:c r="I719" s="19" t="str">
        <x:v>Similarweb 行业映射</x:v>
      </x:c>
      <x:c r="J719" s="19"/>
      <x:c r="K719" s="20" t="n">
        <x:v>0.0002</x:v>
      </x:c>
      <x:c r="L719" s="19" t="str">
        <x:v>下降</x:v>
      </x:c>
      <x:c r="M719" s="20" t="n">
        <x:v>-0.8321999999999999</x:v>
      </x:c>
      <x:c r="N719" s="21" t="n">
        <x:v>107449</x:v>
      </x:c>
      <x:c r="O719" s="21" t="n">
        <x:v>21</x:v>
      </x:c>
      <x:c r="P719" s="21" t="n">
        <x:f>ROUND(N719*K719,0)</x:f>
        <x:v>21</x:v>
      </x:c>
      <x:c r="Q719" s="19" t="str">
        <x:v>否</x:v>
      </x:c>
      <x:c r="R719" s="19" t="str"/>
      <x:c r="S719" s="19" t="n">
        <x:f>IF(Q719="是",0,MIN(10,2+IF(C719="高",2,1)+IF(K719&gt;=3%,3,IF(K719&gt;=1%,2,1))+IF(L719="新出现",2,IF(M719&gt;=100%,3,IF(M719&gt;0,2,0)))))</x:f>
        <x:v>5</x:v>
      </x:c>
      <x:c r="T719" s="21"/>
      <x:c r="U719" s="20"/>
      <x:c r="V719" s="19" t="str">
        <x:v>http://hashsuite.openwall.net/</x:v>
      </x:c>
      <x:c r="W719" s="19" t="str">
        <x:v>https://pro.similarweb.com/#/digitalsuite/websiteanalysis/referrals/*/999/1m?webSource=Total&amp;selectedTab=incomingTraffic&amp;key=sites.fastspring.com</x:v>
      </x:c>
      <x:c r="X719" s="20" t="n">
        <x:f>IF(Q719="是",0,IFERROR(P719/SUMIFS($P$2:$P$964,$A$2:$A$964,A719,$Q$2:$Q$964,"否"),0))</x:f>
        <x:v>0.00026003615740855397</x:v>
      </x:c>
      <x:c r="Y719" s="22" t="str">
        <x:f>IF(OR(M719="",U719=""),"未交叉",IF(M719*U719&gt;0,"同向",IF(M719*U719&lt;0,"背离","一侧持平")))</x:f>
        <x:v>未交叉</x:v>
      </x:c>
    </x:row>
    <x:row r="720">
      <x:c r="A720" s="18" t="str">
        <x:v>sites.fastspring.com</x:v>
      </x:c>
      <x:c r="B720" s="19" t="str">
        <x:v>专用支付/结账入口</x:v>
      </x:c>
      <x:c r="C720" s="19" t="str">
        <x:v>高</x:v>
      </x:c>
      <x:c r="D720" s="19" t="str">
        <x:v>Jul 2026</x:v>
      </x:c>
      <x:c r="E720" s="19" t="n">
        <x:v>77</x:v>
      </x:c>
      <x:c r="F720" s="19" t="str">
        <x:v>nurgo-software.com</x:v>
      </x:c>
      <x:c r="G720" s="19" t="str">
        <x:v>Programming and Developer Software</x:v>
      </x:c>
      <x:c r="H720" s="19" t="str">
        <x:v>开发者工具与互联网基础设施</x:v>
      </x:c>
      <x:c r="I720" s="19" t="str">
        <x:v>Similarweb 行业映射</x:v>
      </x:c>
      <x:c r="J720" s="19" t="n">
        <x:v>1526249</x:v>
      </x:c>
      <x:c r="K720" s="20" t="n">
        <x:v>0.0001</x:v>
      </x:c>
      <x:c r="L720" s="19" t="str">
        <x:v>下降</x:v>
      </x:c>
      <x:c r="M720" s="20" t="n">
        <x:v>-0.937</x:v>
      </x:c>
      <x:c r="N720" s="21" t="n">
        <x:v>107449</x:v>
      </x:c>
      <x:c r="O720" s="21" t="n">
        <x:v>11</x:v>
      </x:c>
      <x:c r="P720" s="21" t="n">
        <x:f>ROUND(N720*K720,0)</x:f>
        <x:v>11</x:v>
      </x:c>
      <x:c r="Q720" s="19" t="str">
        <x:v>否</x:v>
      </x:c>
      <x:c r="R720" s="19" t="str"/>
      <x:c r="S720" s="19" t="n">
        <x:f>IF(Q720="是",0,MIN(10,2+IF(C720="高",2,1)+IF(K720&gt;=3%,3,IF(K720&gt;=1%,2,1))+IF(L720="新出现",2,IF(M720&gt;=100%,3,IF(M720&gt;0,2,0)))))</x:f>
        <x:v>5</x:v>
      </x:c>
      <x:c r="T720" s="21"/>
      <x:c r="U720" s="20"/>
      <x:c r="V720" s="19" t="str">
        <x:v>http://nurgo-software.com/</x:v>
      </x:c>
      <x:c r="W720" s="19" t="str">
        <x:v>https://pro.similarweb.com/#/digitalsuite/websiteanalysis/referrals/*/999/1m?webSource=Total&amp;selectedTab=incomingTraffic&amp;key=sites.fastspring.com</x:v>
      </x:c>
      <x:c r="X720" s="20" t="n">
        <x:f>IF(Q720="是",0,IFERROR(P720/SUMIFS($P$2:$P$964,$A$2:$A$964,A720,$Q$2:$Q$964,"否"),0))</x:f>
        <x:v>0.00013620941578543303</x:v>
      </x:c>
      <x:c r="Y720" s="22" t="str">
        <x:f>IF(OR(M720="",U720=""),"未交叉",IF(M720*U720&gt;0,"同向",IF(M720*U720&lt;0,"背离","一侧持平")))</x:f>
        <x:v>未交叉</x:v>
      </x:c>
    </x:row>
    <x:row r="721">
      <x:c r="A721" s="18" t="str">
        <x:v>sites.fastspring.com</x:v>
      </x:c>
      <x:c r="B721" s="19" t="str">
        <x:v>专用支付/结账入口</x:v>
      </x:c>
      <x:c r="C721" s="19" t="str">
        <x:v>高</x:v>
      </x:c>
      <x:c r="D721" s="19" t="str">
        <x:v>Jul 2026</x:v>
      </x:c>
      <x:c r="E721" s="19" t="n">
        <x:v>78</x:v>
      </x:c>
      <x:c r="F721" s="19" t="str">
        <x:v>macplus-software.com</x:v>
      </x:c>
      <x:c r="G721" s="19" t="str">
        <x:v>Unknown</x:v>
      </x:c>
      <x:c r="H721" s="19" t="str">
        <x:v>其他/待核查</x:v>
      </x:c>
      <x:c r="I721" s="19" t="str">
        <x:v>Similarweb 未分类</x:v>
      </x:c>
      <x:c r="J721" s="19"/>
      <x:c r="K721" s="20" t="n">
        <x:v>0.0001</x:v>
      </x:c>
      <x:c r="L721" s="19" t="str">
        <x:v>新出现</x:v>
      </x:c>
      <x:c r="M721" s="20"/>
      <x:c r="N721" s="21" t="n">
        <x:v>107449</x:v>
      </x:c>
      <x:c r="O721" s="21" t="n">
        <x:v>11</x:v>
      </x:c>
      <x:c r="P721" s="21" t="n">
        <x:f>ROUND(N721*K721,0)</x:f>
        <x:v>11</x:v>
      </x:c>
      <x:c r="Q721" s="19" t="str">
        <x:v>否</x:v>
      </x:c>
      <x:c r="R721" s="19" t="str"/>
      <x:c r="S721" s="19" t="n">
        <x:f>IF(Q721="是",0,MIN(10,2+IF(C721="高",2,1)+IF(K721&gt;=3%,3,IF(K721&gt;=1%,2,1))+IF(L721="新出现",2,IF(M721&gt;=100%,3,IF(M721&gt;0,2,0)))))</x:f>
        <x:v>7</x:v>
      </x:c>
      <x:c r="T721" s="21"/>
      <x:c r="U721" s="20"/>
      <x:c r="V721" s="19" t="str">
        <x:v>http://macplus-software.com/</x:v>
      </x:c>
      <x:c r="W721" s="19" t="str">
        <x:v>https://pro.similarweb.com/#/digitalsuite/websiteanalysis/referrals/*/999/1m?webSource=Total&amp;selectedTab=incomingTraffic&amp;key=sites.fastspring.com</x:v>
      </x:c>
      <x:c r="X721" s="20" t="n">
        <x:f>IF(Q721="是",0,IFERROR(P721/SUMIFS($P$2:$P$964,$A$2:$A$964,A721,$Q$2:$Q$964,"否"),0))</x:f>
        <x:v>0.00013620941578543303</x:v>
      </x:c>
      <x:c r="Y721" s="22" t="str">
        <x:f>IF(OR(M721="",U721=""),"未交叉",IF(M721*U721&gt;0,"同向",IF(M721*U721&lt;0,"背离","一侧持平")))</x:f>
        <x:v>未交叉</x:v>
      </x:c>
    </x:row>
    <x:row r="722">
      <x:c r="A722" s="18" t="str">
        <x:v>sites.fastspring.com</x:v>
      </x:c>
      <x:c r="B722" s="19" t="str">
        <x:v>专用支付/结账入口</x:v>
      </x:c>
      <x:c r="C722" s="19" t="str">
        <x:v>高</x:v>
      </x:c>
      <x:c r="D722" s="19" t="str">
        <x:v>Jul 2026</x:v>
      </x:c>
      <x:c r="E722" s="19" t="n">
        <x:v>79</x:v>
      </x:c>
      <x:c r="F722" s="19" t="str">
        <x:v>zebra.com</x:v>
      </x:c>
      <x:c r="G722" s="19" t="str">
        <x:v>Business Services</x:v>
      </x:c>
      <x:c r="H722" s="19" t="str">
        <x:v>营销、生产力与商业服务</x:v>
      </x:c>
      <x:c r="I722" s="19" t="str">
        <x:v>Similarweb 行业映射</x:v>
      </x:c>
      <x:c r="J722" s="19" t="n">
        <x:v>26741</x:v>
      </x:c>
      <x:c r="K722" s="20"/>
      <x:c r="L722" s="19" t="str">
        <x:v>下降</x:v>
      </x:c>
      <x:c r="M722" s="20" t="n">
        <x:v>-0.9961</x:v>
      </x:c>
      <x:c r="N722" s="21" t="n">
        <x:v>107449</x:v>
      </x:c>
      <x:c r="O722" s="21" t="n">
        <x:v>0</x:v>
      </x:c>
      <x:c r="P722" s="21" t="n">
        <x:f>ROUND(N722*K722,0)</x:f>
        <x:v>0</x:v>
      </x:c>
      <x:c r="Q722" s="19" t="str">
        <x:v>否</x:v>
      </x:c>
      <x:c r="R722" s="19" t="str"/>
      <x:c r="S722" s="19" t="n">
        <x:f>IF(Q722="是",0,MIN(10,2+IF(C722="高",2,1)+IF(K722&gt;=3%,3,IF(K722&gt;=1%,2,1))+IF(L722="新出现",2,IF(M722&gt;=100%,3,IF(M722&gt;0,2,0)))))</x:f>
        <x:v>5</x:v>
      </x:c>
      <x:c r="T722" s="21"/>
      <x:c r="U722" s="20"/>
      <x:c r="V722" s="19" t="str">
        <x:v>http://zebra.com/</x:v>
      </x:c>
      <x:c r="W722" s="19" t="str">
        <x:v>https://pro.similarweb.com/#/digitalsuite/websiteanalysis/referrals/*/999/1m?webSource=Total&amp;selectedTab=incomingTraffic&amp;key=sites.fastspring.com</x:v>
      </x:c>
      <x:c r="X722" s="20" t="n">
        <x:f>IF(Q722="是",0,IFERROR(P722/SUMIFS($P$2:$P$964,$A$2:$A$964,A722,$Q$2:$Q$964,"否"),0))</x:f>
        <x:v>0</x:v>
      </x:c>
      <x:c r="Y722" s="22" t="str">
        <x:f>IF(OR(M722="",U722=""),"未交叉",IF(M722*U722&gt;0,"同向",IF(M722*U722&lt;0,"背离","一侧持平")))</x:f>
        <x:v>未交叉</x:v>
      </x:c>
    </x:row>
    <x:row r="723">
      <x:c r="A723" s="18" t="str">
        <x:v>sites.fastspring.com</x:v>
      </x:c>
      <x:c r="B723" s="19" t="str">
        <x:v>专用支付/结账入口</x:v>
      </x:c>
      <x:c r="C723" s="19" t="str">
        <x:v>高</x:v>
      </x:c>
      <x:c r="D723" s="19" t="str">
        <x:v>Jul 2026</x:v>
      </x:c>
      <x:c r="E723" s="19" t="n">
        <x:v>80</x:v>
      </x:c>
      <x:c r="F723" s="19" t="str">
        <x:v>bitsdujour.com</x:v>
      </x:c>
      <x:c r="G723" s="19" t="str">
        <x:v>Programming and Developer Software</x:v>
      </x:c>
      <x:c r="H723" s="19" t="str">
        <x:v>开发者工具与互联网基础设施</x:v>
      </x:c>
      <x:c r="I723" s="19" t="str">
        <x:v>Similarweb 行业映射</x:v>
      </x:c>
      <x:c r="J723" s="19" t="n">
        <x:v>314129</x:v>
      </x:c>
      <x:c r="K723" s="20"/>
      <x:c r="L723" s="19" t="str">
        <x:v>新出现</x:v>
      </x:c>
      <x:c r="M723" s="20"/>
      <x:c r="N723" s="21" t="n">
        <x:v>107449</x:v>
      </x:c>
      <x:c r="O723" s="21" t="n">
        <x:v>0</x:v>
      </x:c>
      <x:c r="P723" s="21" t="n">
        <x:f>ROUND(N723*K723,0)</x:f>
        <x:v>0</x:v>
      </x:c>
      <x:c r="Q723" s="19" t="str">
        <x:v>否</x:v>
      </x:c>
      <x:c r="R723" s="19" t="str"/>
      <x:c r="S723" s="19" t="n">
        <x:f>IF(Q723="是",0,MIN(10,2+IF(C723="高",2,1)+IF(K723&gt;=3%,3,IF(K723&gt;=1%,2,1))+IF(L723="新出现",2,IF(M723&gt;=100%,3,IF(M723&gt;0,2,0)))))</x:f>
        <x:v>7</x:v>
      </x:c>
      <x:c r="T723" s="21"/>
      <x:c r="U723" s="20"/>
      <x:c r="V723" s="19" t="str">
        <x:v>http://bitsdujour.com/</x:v>
      </x:c>
      <x:c r="W723" s="19" t="str">
        <x:v>https://pro.similarweb.com/#/digitalsuite/websiteanalysis/referrals/*/999/1m?webSource=Total&amp;selectedTab=incomingTraffic&amp;key=sites.fastspring.com</x:v>
      </x:c>
      <x:c r="X723" s="20" t="n">
        <x:f>IF(Q723="是",0,IFERROR(P723/SUMIFS($P$2:$P$964,$A$2:$A$964,A723,$Q$2:$Q$964,"否"),0))</x:f>
        <x:v>0</x:v>
      </x:c>
      <x:c r="Y723" s="22" t="str">
        <x:f>IF(OR(M723="",U723=""),"未交叉",IF(M723*U723&gt;0,"同向",IF(M723*U723&lt;0,"背离","一侧持平")))</x:f>
        <x:v>未交叉</x:v>
      </x:c>
    </x:row>
    <x:row r="724">
      <x:c r="A724" s="18" t="str">
        <x:v>sites.fastspring.com</x:v>
      </x:c>
      <x:c r="B724" s="19" t="str">
        <x:v>专用支付/结账入口</x:v>
      </x:c>
      <x:c r="C724" s="19" t="str">
        <x:v>高</x:v>
      </x:c>
      <x:c r="D724" s="19" t="str">
        <x:v>Jul 2026</x:v>
      </x:c>
      <x:c r="E724" s="19" t="n">
        <x:v>81</x:v>
      </x:c>
      <x:c r="F724" s="19" t="str">
        <x:v>vueminder.com</x:v>
      </x:c>
      <x:c r="G724" s="19" t="str">
        <x:v>Programming and Developer Software</x:v>
      </x:c>
      <x:c r="H724" s="19" t="str">
        <x:v>开发者工具与互联网基础设施</x:v>
      </x:c>
      <x:c r="I724" s="19" t="str">
        <x:v>Similarweb 行业映射</x:v>
      </x:c>
      <x:c r="J724" s="19" t="n">
        <x:v>2755789</x:v>
      </x:c>
      <x:c r="K724" s="20"/>
      <x:c r="L724" s="19" t="str">
        <x:v>下降</x:v>
      </x:c>
      <x:c r="M724" s="20" t="n">
        <x:v>-0.9727</x:v>
      </x:c>
      <x:c r="N724" s="21" t="n">
        <x:v>107449</x:v>
      </x:c>
      <x:c r="O724" s="21" t="n">
        <x:v>0</x:v>
      </x:c>
      <x:c r="P724" s="21" t="n">
        <x:f>ROUND(N724*K724,0)</x:f>
        <x:v>0</x:v>
      </x:c>
      <x:c r="Q724" s="19" t="str">
        <x:v>否</x:v>
      </x:c>
      <x:c r="R724" s="19" t="str"/>
      <x:c r="S724" s="19" t="n">
        <x:f>IF(Q724="是",0,MIN(10,2+IF(C724="高",2,1)+IF(K724&gt;=3%,3,IF(K724&gt;=1%,2,1))+IF(L724="新出现",2,IF(M724&gt;=100%,3,IF(M724&gt;0,2,0)))))</x:f>
        <x:v>5</x:v>
      </x:c>
      <x:c r="T724" s="21"/>
      <x:c r="U724" s="20"/>
      <x:c r="V724" s="19" t="str">
        <x:v>http://vueminder.com/</x:v>
      </x:c>
      <x:c r="W724" s="19" t="str">
        <x:v>https://pro.similarweb.com/#/digitalsuite/websiteanalysis/referrals/*/999/1m?webSource=Total&amp;selectedTab=incomingTraffic&amp;key=sites.fastspring.com</x:v>
      </x:c>
      <x:c r="X724" s="20" t="n">
        <x:f>IF(Q724="是",0,IFERROR(P724/SUMIFS($P$2:$P$964,$A$2:$A$964,A724,$Q$2:$Q$964,"否"),0))</x:f>
        <x:v>0</x:v>
      </x:c>
      <x:c r="Y724" s="22" t="str">
        <x:f>IF(OR(M724="",U724=""),"未交叉",IF(M724*U724&gt;0,"同向",IF(M724*U724&lt;0,"背离","一侧持平")))</x:f>
        <x:v>未交叉</x:v>
      </x:c>
    </x:row>
    <x:row r="725">
      <x:c r="A725" s="18" t="str">
        <x:v>sites.fastspring.com</x:v>
      </x:c>
      <x:c r="B725" s="19" t="str">
        <x:v>专用支付/结账入口</x:v>
      </x:c>
      <x:c r="C725" s="19" t="str">
        <x:v>高</x:v>
      </x:c>
      <x:c r="D725" s="19" t="str">
        <x:v>Jul 2026</x:v>
      </x:c>
      <x:c r="E725" s="19" t="n">
        <x:v>82</x:v>
      </x:c>
      <x:c r="F725" s="19" t="str">
        <x:v>enthuware.com</x:v>
      </x:c>
      <x:c r="G725" s="19" t="str">
        <x:v>Programming and Developer Software</x:v>
      </x:c>
      <x:c r="H725" s="19" t="str">
        <x:v>开发者工具与互联网基础设施</x:v>
      </x:c>
      <x:c r="I725" s="19" t="str">
        <x:v>Similarweb 行业映射</x:v>
      </x:c>
      <x:c r="J725" s="19" t="n">
        <x:v>1231344</x:v>
      </x:c>
      <x:c r="K725" s="20"/>
      <x:c r="L725" s="19" t="str">
        <x:v>下降</x:v>
      </x:c>
      <x:c r="M725" s="20" t="n">
        <x:v>-0.8049</x:v>
      </x:c>
      <x:c r="N725" s="21" t="n">
        <x:v>107449</x:v>
      </x:c>
      <x:c r="O725" s="21" t="n">
        <x:v>0</x:v>
      </x:c>
      <x:c r="P725" s="21" t="n">
        <x:f>ROUND(N725*K725,0)</x:f>
        <x:v>0</x:v>
      </x:c>
      <x:c r="Q725" s="19" t="str">
        <x:v>否</x:v>
      </x:c>
      <x:c r="R725" s="19" t="str"/>
      <x:c r="S725" s="19" t="n">
        <x:f>IF(Q725="是",0,MIN(10,2+IF(C725="高",2,1)+IF(K725&gt;=3%,3,IF(K725&gt;=1%,2,1))+IF(L725="新出现",2,IF(M725&gt;=100%,3,IF(M725&gt;0,2,0)))))</x:f>
        <x:v>5</x:v>
      </x:c>
      <x:c r="T725" s="21"/>
      <x:c r="U725" s="20"/>
      <x:c r="V725" s="19" t="str">
        <x:v>http://enthuware.com/</x:v>
      </x:c>
      <x:c r="W725" s="19" t="str">
        <x:v>https://pro.similarweb.com/#/digitalsuite/websiteanalysis/referrals/*/999/1m?webSource=Total&amp;selectedTab=incomingTraffic&amp;key=sites.fastspring.com</x:v>
      </x:c>
      <x:c r="X725" s="20" t="n">
        <x:f>IF(Q725="是",0,IFERROR(P725/SUMIFS($P$2:$P$964,$A$2:$A$964,A725,$Q$2:$Q$964,"否"),0))</x:f>
        <x:v>0</x:v>
      </x:c>
      <x:c r="Y725" s="22" t="str">
        <x:f>IF(OR(M725="",U725=""),"未交叉",IF(M725*U725&gt;0,"同向",IF(M725*U725&lt;0,"背离","一侧持平")))</x:f>
        <x:v>未交叉</x:v>
      </x:c>
    </x:row>
    <x:row r="726">
      <x:c r="A726" s="18" t="str">
        <x:v>gumroad.com</x:v>
      </x:c>
      <x:c r="B726" s="19" t="str">
        <x:v>支付商主域（混合流量）</x:v>
      </x:c>
      <x:c r="C726" s="19" t="str">
        <x:v>中</x:v>
      </x:c>
      <x:c r="D726" s="19" t="str">
        <x:v>Jul 2026</x:v>
      </x:c>
      <x:c r="E726" s="19" t="n">
        <x:v>1</x:v>
      </x:c>
      <x:c r="F726" s="19" t="str">
        <x:v>bit.ly</x:v>
      </x:c>
      <x:c r="G726" s="19" t="str">
        <x:v>Unknown</x:v>
      </x:c>
      <x:c r="H726" s="19" t="str">
        <x:v>其他/待核查</x:v>
      </x:c>
      <x:c r="I726" s="19" t="str">
        <x:v>Similarweb 未分类</x:v>
      </x:c>
      <x:c r="J726" s="19"/>
      <x:c r="K726" s="20" t="n">
        <x:v>0.09949999999999999</x:v>
      </x:c>
      <x:c r="L726" s="19" t="str">
        <x:v>上升</x:v>
      </x:c>
      <x:c r="M726" s="20" t="n">
        <x:v>0.1685</x:v>
      </x:c>
      <x:c r="N726" s="21" t="n">
        <x:v>2103000</x:v>
      </x:c>
      <x:c r="O726" s="21" t="n">
        <x:v>209249</x:v>
      </x:c>
      <x:c r="P726" s="21" t="n">
        <x:f>ROUND(N726*K726,0)</x:f>
        <x:v>209248</x:v>
      </x:c>
      <x:c r="Q726" s="19" t="str">
        <x:v>是</x:v>
      </x:c>
      <x:c r="R726" s="19" t="str">
        <x:v>支付平台、自引荐或流量中介</x:v>
      </x:c>
      <x:c r="S726" s="19" t="n">
        <x:f>IF(Q726="是",0,MIN(10,2+IF(C726="高",2,1)+IF(K726&gt;=3%,3,IF(K726&gt;=1%,2,1))+IF(L726="新出现",2,IF(M726&gt;=100%,3,IF(M726&gt;0,2,0)))))</x:f>
        <x:v>0</x:v>
      </x:c>
      <x:c r="T726" s="21"/>
      <x:c r="U726" s="20"/>
      <x:c r="V726" s="19" t="str">
        <x:v>http://bit.ly/</x:v>
      </x:c>
      <x:c r="W726" s="19" t="str">
        <x:v>https://pro.similarweb.com/#/digitalsuite/websiteanalysis/referrals/*/999/1m?webSource=Total&amp;selectedTab=incomingTraffic&amp;key=gumroad.com</x:v>
      </x:c>
      <x:c r="X726" s="20" t="n">
        <x:f>IF(Q726="是",0,IFERROR(P726/SUMIFS($P$2:$P$964,$A$2:$A$964,A726,$Q$2:$Q$964,"否"),0))</x:f>
        <x:v>0</x:v>
      </x:c>
      <x:c r="Y726" s="22" t="str">
        <x:f>IF(OR(M726="",U726=""),"未交叉",IF(M726*U726&gt;0,"同向",IF(M726*U726&lt;0,"背离","一侧持平")))</x:f>
        <x:v>未交叉</x:v>
      </x:c>
    </x:row>
    <x:row r="727">
      <x:c r="A727" s="18" t="str">
        <x:v>gumroad.com</x:v>
      </x:c>
      <x:c r="B727" s="19" t="str">
        <x:v>支付商主域（混合流量）</x:v>
      </x:c>
      <x:c r="C727" s="19" t="str">
        <x:v>中</x:v>
      </x:c>
      <x:c r="D727" s="19" t="str">
        <x:v>Jul 2026</x:v>
      </x:c>
      <x:c r="E727" s="19" t="n">
        <x:v>2</x:v>
      </x:c>
      <x:c r="F727" s="19" t="str">
        <x:v>jinxxy.com</x:v>
      </x:c>
      <x:c r="G727" s="19" t="str">
        <x:v>Video Games Consoles and Accessories</x:v>
      </x:c>
      <x:c r="H727" s="19" t="str">
        <x:v>游戏、数字商品与虚拟内容</x:v>
      </x:c>
      <x:c r="I727" s="19" t="str">
        <x:v>Similarweb 行业映射</x:v>
      </x:c>
      <x:c r="J727" s="19" t="n">
        <x:v>42861</x:v>
      </x:c>
      <x:c r="K727" s="20" t="n">
        <x:v>0.0751</x:v>
      </x:c>
      <x:c r="L727" s="19" t="str">
        <x:v>下降</x:v>
      </x:c>
      <x:c r="M727" s="20" t="n">
        <x:v>-0.059699999999999996</x:v>
      </x:c>
      <x:c r="N727" s="21" t="n">
        <x:v>2103000</x:v>
      </x:c>
      <x:c r="O727" s="21" t="n">
        <x:v>157935</x:v>
      </x:c>
      <x:c r="P727" s="21" t="n">
        <x:f>ROUND(N727*K727,0)</x:f>
        <x:v>157935</x:v>
      </x:c>
      <x:c r="Q727" s="19" t="str">
        <x:v>否</x:v>
      </x:c>
      <x:c r="R727" s="19" t="str"/>
      <x:c r="S727" s="19" t="n">
        <x:f>IF(Q727="是",0,MIN(10,2+IF(C727="高",2,1)+IF(K727&gt;=3%,3,IF(K727&gt;=1%,2,1))+IF(L727="新出现",2,IF(M727&gt;=100%,3,IF(M727&gt;0,2,0)))))</x:f>
        <x:v>6</x:v>
      </x:c>
      <x:c r="T727" s="21"/>
      <x:c r="U727" s="20"/>
      <x:c r="V727" s="19" t="str">
        <x:v>http://jinxxy.com/</x:v>
      </x:c>
      <x:c r="W727" s="19" t="str">
        <x:v>https://pro.similarweb.com/#/digitalsuite/websiteanalysis/referrals/*/999/1m?webSource=Total&amp;selectedTab=incomingTraffic&amp;key=gumroad.com</x:v>
      </x:c>
      <x:c r="X727" s="20" t="n">
        <x:f>IF(Q727="是",0,IFERROR(P727/SUMIFS($P$2:$P$964,$A$2:$A$964,A727,$Q$2:$Q$964,"否"),0))</x:f>
        <x:v>0.12776372427595703</x:v>
      </x:c>
      <x:c r="Y727" s="22" t="str">
        <x:f>IF(OR(M727="",U727=""),"未交叉",IF(M727*U727&gt;0,"同向",IF(M727*U727&lt;0,"背离","一侧持平")))</x:f>
        <x:v>未交叉</x:v>
      </x:c>
    </x:row>
    <x:row r="728">
      <x:c r="A728" s="18" t="str">
        <x:v>gumroad.com</x:v>
      </x:c>
      <x:c r="B728" s="19" t="str">
        <x:v>支付商主域（混合流量）</x:v>
      </x:c>
      <x:c r="C728" s="19" t="str">
        <x:v>中</x:v>
      </x:c>
      <x:c r="D728" s="19" t="str">
        <x:v>Jul 2026</x:v>
      </x:c>
      <x:c r="E728" s="19" t="n">
        <x:v>3</x:v>
      </x:c>
      <x:c r="F728" s="19" t="str">
        <x:v>forum.ripper.store</x:v>
      </x:c>
      <x:c r="G728" s="19" t="str">
        <x:v>Video Games Consoles and Accessories</x:v>
      </x:c>
      <x:c r="H728" s="19" t="str">
        <x:v>游戏、数字商品与虚拟内容</x:v>
      </x:c>
      <x:c r="I728" s="19" t="str">
        <x:v>Similarweb 行业映射</x:v>
      </x:c>
      <x:c r="J728" s="19"/>
      <x:c r="K728" s="20" t="n">
        <x:v>0.0564</x:v>
      </x:c>
      <x:c r="L728" s="19" t="str">
        <x:v>上升</x:v>
      </x:c>
      <x:c r="M728" s="20" t="n">
        <x:v>0.10640000000000001</x:v>
      </x:c>
      <x:c r="N728" s="21" t="n">
        <x:v>2103000</x:v>
      </x:c>
      <x:c r="O728" s="21" t="n">
        <x:v>118609</x:v>
      </x:c>
      <x:c r="P728" s="21" t="n">
        <x:f>ROUND(N728*K728,0)</x:f>
        <x:v>118609</x:v>
      </x:c>
      <x:c r="Q728" s="19" t="str">
        <x:v>否</x:v>
      </x:c>
      <x:c r="R728" s="19" t="str"/>
      <x:c r="S728" s="19" t="n">
        <x:f>IF(Q728="是",0,MIN(10,2+IF(C728="高",2,1)+IF(K728&gt;=3%,3,IF(K728&gt;=1%,2,1))+IF(L728="新出现",2,IF(M728&gt;=100%,3,IF(M728&gt;0,2,0)))))</x:f>
        <x:v>8</x:v>
      </x:c>
      <x:c r="T728" s="21"/>
      <x:c r="U728" s="20"/>
      <x:c r="V728" s="19" t="str">
        <x:v>http://forum.ripper.store/</x:v>
      </x:c>
      <x:c r="W728" s="19" t="str">
        <x:v>https://pro.similarweb.com/#/digitalsuite/websiteanalysis/referrals/*/999/1m?webSource=Total&amp;selectedTab=incomingTraffic&amp;key=gumroad.com</x:v>
      </x:c>
      <x:c r="X728" s="20" t="n">
        <x:f>IF(Q728="是",0,IFERROR(P728/SUMIFS($P$2:$P$964,$A$2:$A$964,A728,$Q$2:$Q$964,"否"),0))</x:f>
        <x:v>0.09595040727290965</x:v>
      </x:c>
      <x:c r="Y728" s="22" t="str">
        <x:f>IF(OR(M728="",U728=""),"未交叉",IF(M728*U728&gt;0,"同向",IF(M728*U728&lt;0,"背离","一侧持平")))</x:f>
        <x:v>未交叉</x:v>
      </x:c>
    </x:row>
    <x:row r="729">
      <x:c r="A729" s="18" t="str">
        <x:v>gumroad.com</x:v>
      </x:c>
      <x:c r="B729" s="19" t="str">
        <x:v>支付商主域（混合流量）</x:v>
      </x:c>
      <x:c r="C729" s="19" t="str">
        <x:v>中</x:v>
      </x:c>
      <x:c r="D729" s="19" t="str">
        <x:v>Jul 2026</x:v>
      </x:c>
      <x:c r="E729" s="19" t="n">
        <x:v>4</x:v>
      </x:c>
      <x:c r="F729" s="19" t="str">
        <x:v>Referral</x:v>
      </x:c>
      <x:c r="G729" s="19" t="str">
        <x:v>Unknown</x:v>
      </x:c>
      <x:c r="H729" s="19" t="str">
        <x:v>其他/待核查</x:v>
      </x:c>
      <x:c r="I729" s="19" t="str">
        <x:v>Similarweb 未分类</x:v>
      </x:c>
      <x:c r="J729" s="19"/>
      <x:c r="K729" s="20" t="n">
        <x:v>0.039</x:v>
      </x:c>
      <x:c r="L729" s="19" t="str">
        <x:v>上升</x:v>
      </x:c>
      <x:c r="M729" s="20" t="n">
        <x:v>0.1</x:v>
      </x:c>
      <x:c r="N729" s="21" t="n">
        <x:v>2103000</x:v>
      </x:c>
      <x:c r="O729" s="21" t="n">
        <x:v>82017</x:v>
      </x:c>
      <x:c r="P729" s="21" t="n">
        <x:f>ROUND(N729*K729,0)</x:f>
        <x:v>82017</x:v>
      </x:c>
      <x:c r="Q729" s="19" t="str">
        <x:v>是</x:v>
      </x:c>
      <x:c r="R729" s="19" t="str">
        <x:v>无效/聚合标签</x:v>
      </x:c>
      <x:c r="S729" s="19" t="n">
        <x:f>IF(Q729="是",0,MIN(10,2+IF(C729="高",2,1)+IF(K729&gt;=3%,3,IF(K729&gt;=1%,2,1))+IF(L729="新出现",2,IF(M729&gt;=100%,3,IF(M729&gt;0,2,0)))))</x:f>
        <x:v>0</x:v>
      </x:c>
      <x:c r="T729" s="21"/>
      <x:c r="U729" s="20"/>
      <x:c r="V729" s="19" t="str">
        <x:v>http://referral/</x:v>
      </x:c>
      <x:c r="W729" s="19" t="str">
        <x:v>https://pro.similarweb.com/#/digitalsuite/websiteanalysis/referrals/*/999/1m?webSource=Total&amp;selectedTab=incomingTraffic&amp;key=gumroad.com</x:v>
      </x:c>
      <x:c r="X729" s="20" t="n">
        <x:f>IF(Q729="是",0,IFERROR(P729/SUMIFS($P$2:$P$964,$A$2:$A$964,A729,$Q$2:$Q$964,"否"),0))</x:f>
        <x:v>0</x:v>
      </x:c>
      <x:c r="Y729" s="22" t="str">
        <x:f>IF(OR(M729="",U729=""),"未交叉",IF(M729*U729&gt;0,"同向",IF(M729*U729&lt;0,"背离","一侧持平")))</x:f>
        <x:v>未交叉</x:v>
      </x:c>
    </x:row>
    <x:row r="730">
      <x:c r="A730" s="18" t="str">
        <x:v>gumroad.com</x:v>
      </x:c>
      <x:c r="B730" s="19" t="str">
        <x:v>支付商主域（混合流量）</x:v>
      </x:c>
      <x:c r="C730" s="19" t="str">
        <x:v>中</x:v>
      </x:c>
      <x:c r="D730" s="19" t="str">
        <x:v>Jul 2026</x:v>
      </x:c>
      <x:c r="E730" s="19" t="n">
        <x:v>5</x:v>
      </x:c>
      <x:c r="F730" s="19" t="str">
        <x:v>medium.com</x:v>
      </x:c>
      <x:c r="G730" s="19" t="str">
        <x:v>Business and Consumer Services</x:v>
      </x:c>
      <x:c r="H730" s="19" t="str">
        <x:v>其他/待核查</x:v>
      </x:c>
      <x:c r="I730" s="19" t="str">
        <x:v>保守归类</x:v>
      </x:c>
      <x:c r="J730" s="19" t="n">
        <x:v>784</x:v>
      </x:c>
      <x:c r="K730" s="20" t="n">
        <x:v>0.0373</x:v>
      </x:c>
      <x:c r="L730" s="19" t="str">
        <x:v>下降</x:v>
      </x:c>
      <x:c r="M730" s="20" t="n">
        <x:v>-0.0758</x:v>
      </x:c>
      <x:c r="N730" s="21" t="n">
        <x:v>2103000</x:v>
      </x:c>
      <x:c r="O730" s="21" t="n">
        <x:v>78442</x:v>
      </x:c>
      <x:c r="P730" s="21" t="n">
        <x:f>ROUND(N730*K730,0)</x:f>
        <x:v>78442</x:v>
      </x:c>
      <x:c r="Q730" s="19" t="str">
        <x:v>是</x:v>
      </x:c>
      <x:c r="R730" s="19" t="str">
        <x:v>支付平台、自引荐或流量中介</x:v>
      </x:c>
      <x:c r="S730" s="19" t="n">
        <x:f>IF(Q730="是",0,MIN(10,2+IF(C730="高",2,1)+IF(K730&gt;=3%,3,IF(K730&gt;=1%,2,1))+IF(L730="新出现",2,IF(M730&gt;=100%,3,IF(M730&gt;0,2,0)))))</x:f>
        <x:v>0</x:v>
      </x:c>
      <x:c r="T730" s="21"/>
      <x:c r="U730" s="20"/>
      <x:c r="V730" s="19" t="str">
        <x:v>http://medium.com/</x:v>
      </x:c>
      <x:c r="W730" s="19" t="str">
        <x:v>https://pro.similarweb.com/#/digitalsuite/websiteanalysis/referrals/*/999/1m?webSource=Total&amp;selectedTab=incomingTraffic&amp;key=gumroad.com</x:v>
      </x:c>
      <x:c r="X730" s="20" t="n">
        <x:f>IF(Q730="是",0,IFERROR(P730/SUMIFS($P$2:$P$964,$A$2:$A$964,A730,$Q$2:$Q$964,"否"),0))</x:f>
        <x:v>0</x:v>
      </x:c>
      <x:c r="Y730" s="22" t="str">
        <x:f>IF(OR(M730="",U730=""),"未交叉",IF(M730*U730&gt;0,"同向",IF(M730*U730&lt;0,"背离","一侧持平")))</x:f>
        <x:v>未交叉</x:v>
      </x:c>
    </x:row>
    <x:row r="731">
      <x:c r="A731" s="18" t="str">
        <x:v>gumroad.com</x:v>
      </x:c>
      <x:c r="B731" s="19" t="str">
        <x:v>支付商主域（混合流量）</x:v>
      </x:c>
      <x:c r="C731" s="19" t="str">
        <x:v>中</x:v>
      </x:c>
      <x:c r="D731" s="19" t="str">
        <x:v>Jul 2026</x:v>
      </x:c>
      <x:c r="E731" s="19" t="n">
        <x:v>6</x:v>
      </x:c>
      <x:c r="F731" s="19" t="str">
        <x:v>nexyy.com</x:v>
      </x:c>
      <x:c r="G731" s="19" t="str">
        <x:v>Video Games Consoles and Accessories</x:v>
      </x:c>
      <x:c r="H731" s="19" t="str">
        <x:v>游戏、数字商品与虚拟内容</x:v>
      </x:c>
      <x:c r="I731" s="19" t="str">
        <x:v>Similarweb 行业映射</x:v>
      </x:c>
      <x:c r="J731" s="19" t="n">
        <x:v>147092</x:v>
      </x:c>
      <x:c r="K731" s="20" t="n">
        <x:v>0.0369</x:v>
      </x:c>
      <x:c r="L731" s="19" t="str">
        <x:v>上升</x:v>
      </x:c>
      <x:c r="M731" s="20" t="n">
        <x:v>0.3394</x:v>
      </x:c>
      <x:c r="N731" s="21" t="n">
        <x:v>2103000</x:v>
      </x:c>
      <x:c r="O731" s="21" t="n">
        <x:v>77601</x:v>
      </x:c>
      <x:c r="P731" s="21" t="n">
        <x:f>ROUND(N731*K731,0)</x:f>
        <x:v>77601</x:v>
      </x:c>
      <x:c r="Q731" s="19" t="str">
        <x:v>否</x:v>
      </x:c>
      <x:c r="R731" s="19" t="str"/>
      <x:c r="S731" s="19" t="n">
        <x:f>IF(Q731="是",0,MIN(10,2+IF(C731="高",2,1)+IF(K731&gt;=3%,3,IF(K731&gt;=1%,2,1))+IF(L731="新出现",2,IF(M731&gt;=100%,3,IF(M731&gt;0,2,0)))))</x:f>
        <x:v>8</x:v>
      </x:c>
      <x:c r="T731" s="21"/>
      <x:c r="U731" s="20"/>
      <x:c r="V731" s="19" t="str">
        <x:v>http://nexyy.com/</x:v>
      </x:c>
      <x:c r="W731" s="19" t="str">
        <x:v>https://pro.similarweb.com/#/digitalsuite/websiteanalysis/referrals/*/999/1m?webSource=Total&amp;selectedTab=incomingTraffic&amp;key=gumroad.com</x:v>
      </x:c>
      <x:c r="X731" s="20" t="n">
        <x:f>IF(Q731="是",0,IFERROR(P731/SUMIFS($P$2:$P$964,$A$2:$A$964,A731,$Q$2:$Q$964,"否"),0))</x:f>
        <x:v>0.0627764128757941</x:v>
      </x:c>
      <x:c r="Y731" s="22" t="str">
        <x:f>IF(OR(M731="",U731=""),"未交叉",IF(M731*U731&gt;0,"同向",IF(M731*U731&lt;0,"背离","一侧持平")))</x:f>
        <x:v>未交叉</x:v>
      </x:c>
    </x:row>
    <x:row r="732">
      <x:c r="A732" s="18" t="str">
        <x:v>gumroad.com</x:v>
      </x:c>
      <x:c r="B732" s="19" t="str">
        <x:v>支付商主域（混合流量）</x:v>
      </x:c>
      <x:c r="C732" s="19" t="str">
        <x:v>中</x:v>
      </x:c>
      <x:c r="D732" s="19" t="str">
        <x:v>Jul 2026</x:v>
      </x:c>
      <x:c r="E732" s="19" t="n">
        <x:v>7</x:v>
      </x:c>
      <x:c r="F732" s="19" t="str">
        <x:v>patreon.com</x:v>
      </x:c>
      <x:c r="G732" s="19" t="str">
        <x:v>Social Networks and Online Communities</x:v>
      </x:c>
      <x:c r="H732" s="19" t="str">
        <x:v>其他/待核查</x:v>
      </x:c>
      <x:c r="I732" s="19" t="str">
        <x:v>保守归类</x:v>
      </x:c>
      <x:c r="J732" s="19" t="n">
        <x:v>264</x:v>
      </x:c>
      <x:c r="K732" s="20" t="n">
        <x:v>0.035699999999999996</x:v>
      </x:c>
      <x:c r="L732" s="19" t="str">
        <x:v>下降</x:v>
      </x:c>
      <x:c r="M732" s="20" t="n">
        <x:v>-0.1493</x:v>
      </x:c>
      <x:c r="N732" s="21" t="n">
        <x:v>2103000</x:v>
      </x:c>
      <x:c r="O732" s="21" t="n">
        <x:v>75077</x:v>
      </x:c>
      <x:c r="P732" s="21" t="n">
        <x:f>ROUND(N732*K732,0)</x:f>
        <x:v>75077</x:v>
      </x:c>
      <x:c r="Q732" s="19" t="str">
        <x:v>是</x:v>
      </x:c>
      <x:c r="R732" s="19" t="str">
        <x:v>支付平台、自引荐或流量中介</x:v>
      </x:c>
      <x:c r="S732" s="19" t="n">
        <x:f>IF(Q732="是",0,MIN(10,2+IF(C732="高",2,1)+IF(K732&gt;=3%,3,IF(K732&gt;=1%,2,1))+IF(L732="新出现",2,IF(M732&gt;=100%,3,IF(M732&gt;0,2,0)))))</x:f>
        <x:v>0</x:v>
      </x:c>
      <x:c r="T732" s="21"/>
      <x:c r="U732" s="20"/>
      <x:c r="V732" s="19" t="str">
        <x:v>http://patreon.com/</x:v>
      </x:c>
      <x:c r="W732" s="19" t="str">
        <x:v>https://pro.similarweb.com/#/digitalsuite/websiteanalysis/referrals/*/999/1m?webSource=Total&amp;selectedTab=incomingTraffic&amp;key=gumroad.com</x:v>
      </x:c>
      <x:c r="X732" s="20" t="n">
        <x:f>IF(Q732="是",0,IFERROR(P732/SUMIFS($P$2:$P$964,$A$2:$A$964,A732,$Q$2:$Q$964,"否"),0))</x:f>
        <x:v>0</x:v>
      </x:c>
      <x:c r="Y732" s="22" t="str">
        <x:f>IF(OR(M732="",U732=""),"未交叉",IF(M732*U732&gt;0,"同向",IF(M732*U732&lt;0,"背离","一侧持平")))</x:f>
        <x:v>未交叉</x:v>
      </x:c>
    </x:row>
    <x:row r="733">
      <x:c r="A733" s="18" t="str">
        <x:v>gumroad.com</x:v>
      </x:c>
      <x:c r="B733" s="19" t="str">
        <x:v>支付商主域（混合流量）</x:v>
      </x:c>
      <x:c r="C733" s="19" t="str">
        <x:v>中</x:v>
      </x:c>
      <x:c r="D733" s="19" t="str">
        <x:v>Jul 2026</x:v>
      </x:c>
      <x:c r="E733" s="19" t="n">
        <x:v>8</x:v>
      </x:c>
      <x:c r="F733" s="19" t="str">
        <x:v>threads.com</x:v>
      </x:c>
      <x:c r="G733" s="19" t="str">
        <x:v>Social Networks and Online Communities</x:v>
      </x:c>
      <x:c r="H733" s="19" t="str">
        <x:v>其他/待核查</x:v>
      </x:c>
      <x:c r="I733" s="19" t="str">
        <x:v>保守归类</x:v>
      </x:c>
      <x:c r="J733" s="19" t="n">
        <x:v>64</x:v>
      </x:c>
      <x:c r="K733" s="20" t="n">
        <x:v>0.0336</x:v>
      </x:c>
      <x:c r="L733" s="19" t="str">
        <x:v>上升</x:v>
      </x:c>
      <x:c r="M733" s="20" t="n">
        <x:v>0.5245000000000001</x:v>
      </x:c>
      <x:c r="N733" s="21" t="n">
        <x:v>2103000</x:v>
      </x:c>
      <x:c r="O733" s="21" t="n">
        <x:v>70661</x:v>
      </x:c>
      <x:c r="P733" s="21" t="n">
        <x:f>ROUND(N733*K733,0)</x:f>
        <x:v>70661</x:v>
      </x:c>
      <x:c r="Q733" s="19" t="str">
        <x:v>是</x:v>
      </x:c>
      <x:c r="R733" s="19" t="str">
        <x:v>支付平台、自引荐或流量中介</x:v>
      </x:c>
      <x:c r="S733" s="19" t="n">
        <x:f>IF(Q733="是",0,MIN(10,2+IF(C733="高",2,1)+IF(K733&gt;=3%,3,IF(K733&gt;=1%,2,1))+IF(L733="新出现",2,IF(M733&gt;=100%,3,IF(M733&gt;0,2,0)))))</x:f>
        <x:v>0</x:v>
      </x:c>
      <x:c r="T733" s="21"/>
      <x:c r="U733" s="20"/>
      <x:c r="V733" s="19" t="str">
        <x:v>http://threads.com/</x:v>
      </x:c>
      <x:c r="W733" s="19" t="str">
        <x:v>https://pro.similarweb.com/#/digitalsuite/websiteanalysis/referrals/*/999/1m?webSource=Total&amp;selectedTab=incomingTraffic&amp;key=gumroad.com</x:v>
      </x:c>
      <x:c r="X733" s="20" t="n">
        <x:f>IF(Q733="是",0,IFERROR(P733/SUMIFS($P$2:$P$964,$A$2:$A$964,A733,$Q$2:$Q$964,"否"),0))</x:f>
        <x:v>0</x:v>
      </x:c>
      <x:c r="Y733" s="22" t="str">
        <x:f>IF(OR(M733="",U733=""),"未交叉",IF(M733*U733&gt;0,"同向",IF(M733*U733&lt;0,"背离","一侧持平")))</x:f>
        <x:v>未交叉</x:v>
      </x:c>
    </x:row>
    <x:row r="734">
      <x:c r="A734" s="18" t="str">
        <x:v>gumroad.com</x:v>
      </x:c>
      <x:c r="B734" s="19" t="str">
        <x:v>支付商主域（混合流量）</x:v>
      </x:c>
      <x:c r="C734" s="19" t="str">
        <x:v>中</x:v>
      </x:c>
      <x:c r="D734" s="19" t="str">
        <x:v>Jul 2026</x:v>
      </x:c>
      <x:c r="E734" s="19" t="n">
        <x:v>9</x:v>
      </x:c>
      <x:c r="F734" s="19" t="str">
        <x:v>krita-artists.org</x:v>
      </x:c>
      <x:c r="G734" s="19" t="str">
        <x:v>Programming and Developer Software</x:v>
      </x:c>
      <x:c r="H734" s="19" t="str">
        <x:v>开发者工具与互联网基础设施</x:v>
      </x:c>
      <x:c r="I734" s="19" t="str">
        <x:v>Similarweb 行业映射</x:v>
      </x:c>
      <x:c r="J734" s="19" t="n">
        <x:v>53521</x:v>
      </x:c>
      <x:c r="K734" s="20" t="n">
        <x:v>0.031400000000000004</x:v>
      </x:c>
      <x:c r="L734" s="19" t="str">
        <x:v>上升</x:v>
      </x:c>
      <x:c r="M734" s="20" t="n">
        <x:v>0.21280000000000002</x:v>
      </x:c>
      <x:c r="N734" s="21" t="n">
        <x:v>2103000</x:v>
      </x:c>
      <x:c r="O734" s="21" t="n">
        <x:v>66034</x:v>
      </x:c>
      <x:c r="P734" s="21" t="n">
        <x:f>ROUND(N734*K734,0)</x:f>
        <x:v>66034</x:v>
      </x:c>
      <x:c r="Q734" s="19" t="str">
        <x:v>否</x:v>
      </x:c>
      <x:c r="R734" s="19" t="str"/>
      <x:c r="S734" s="19" t="n">
        <x:f>IF(Q734="是",0,MIN(10,2+IF(C734="高",2,1)+IF(K734&gt;=3%,3,IF(K734&gt;=1%,2,1))+IF(L734="新出现",2,IF(M734&gt;=100%,3,IF(M734&gt;0,2,0)))))</x:f>
        <x:v>8</x:v>
      </x:c>
      <x:c r="T734" s="21"/>
      <x:c r="U734" s="20"/>
      <x:c r="V734" s="19" t="str">
        <x:v>http://krita-artists.org/</x:v>
      </x:c>
      <x:c r="W734" s="19" t="str">
        <x:v>https://pro.similarweb.com/#/digitalsuite/websiteanalysis/referrals/*/999/1m?webSource=Total&amp;selectedTab=incomingTraffic&amp;key=gumroad.com</x:v>
      </x:c>
      <x:c r="X734" s="20" t="n">
        <x:f>IF(Q734="是",0,IFERROR(P734/SUMIFS($P$2:$P$964,$A$2:$A$964,A734,$Q$2:$Q$964,"否"),0))</x:f>
        <x:v>0.0534191266586795</x:v>
      </x:c>
      <x:c r="Y734" s="22" t="str">
        <x:f>IF(OR(M734="",U734=""),"未交叉",IF(M734*U734&gt;0,"同向",IF(M734*U734&lt;0,"背离","一侧持平")))</x:f>
        <x:v>未交叉</x:v>
      </x:c>
    </x:row>
    <x:row r="735">
      <x:c r="A735" s="18" t="str">
        <x:v>gumroad.com</x:v>
      </x:c>
      <x:c r="B735" s="19" t="str">
        <x:v>支付商主域（混合流量）</x:v>
      </x:c>
      <x:c r="C735" s="19" t="str">
        <x:v>中</x:v>
      </x:c>
      <x:c r="D735" s="19" t="str">
        <x:v>Jul 2026</x:v>
      </x:c>
      <x:c r="E735" s="19" t="n">
        <x:v>10</x:v>
      </x:c>
      <x:c r="F735" s="19" t="str">
        <x:v>bedroomproducersblog.com</x:v>
      </x:c>
      <x:c r="G735" s="19" t="str">
        <x:v>Graphics Multimedia and Web Design</x:v>
      </x:c>
      <x:c r="H735" s="19" t="str">
        <x:v>创作、设计与多媒体工具</x:v>
      </x:c>
      <x:c r="I735" s="19" t="str">
        <x:v>Similarweb 行业映射</x:v>
      </x:c>
      <x:c r="J735" s="19" t="n">
        <x:v>52273</x:v>
      </x:c>
      <x:c r="K735" s="20" t="n">
        <x:v>0.0241</x:v>
      </x:c>
      <x:c r="L735" s="19" t="str">
        <x:v>上升</x:v>
      </x:c>
      <x:c r="M735" s="20" t="n">
        <x:v>0.4152</x:v>
      </x:c>
      <x:c r="N735" s="21" t="n">
        <x:v>2103000</x:v>
      </x:c>
      <x:c r="O735" s="21" t="n">
        <x:v>50682</x:v>
      </x:c>
      <x:c r="P735" s="21" t="n">
        <x:f>ROUND(N735*K735,0)</x:f>
        <x:v>50682</x:v>
      </x:c>
      <x:c r="Q735" s="19" t="str">
        <x:v>否</x:v>
      </x:c>
      <x:c r="R735" s="19" t="str"/>
      <x:c r="S735" s="19" t="n">
        <x:f>IF(Q735="是",0,MIN(10,2+IF(C735="高",2,1)+IF(K735&gt;=3%,3,IF(K735&gt;=1%,2,1))+IF(L735="新出现",2,IF(M735&gt;=100%,3,IF(M735&gt;0,2,0)))))</x:f>
        <x:v>7</x:v>
      </x:c>
      <x:c r="T735" s="21"/>
      <x:c r="U735" s="20"/>
      <x:c r="V735" s="19" t="str">
        <x:v>http://bedroomproducersblog.com/</x:v>
      </x:c>
      <x:c r="W735" s="19" t="str">
        <x:v>https://pro.similarweb.com/#/digitalsuite/websiteanalysis/referrals/*/999/1m?webSource=Total&amp;selectedTab=incomingTraffic&amp;key=gumroad.com</x:v>
      </x:c>
      <x:c r="X735" s="20" t="n">
        <x:f>IF(Q735="是",0,IFERROR(P735/SUMIFS($P$2:$P$964,$A$2:$A$964,A735,$Q$2:$Q$964,"否"),0))</x:f>
        <x:v>0.0409999118229275</x:v>
      </x:c>
      <x:c r="Y735" s="22" t="str">
        <x:f>IF(OR(M735="",U735=""),"未交叉",IF(M735*U735&gt;0,"同向",IF(M735*U735&lt;0,"背离","一侧持平")))</x:f>
        <x:v>未交叉</x:v>
      </x:c>
    </x:row>
    <x:row r="736">
      <x:c r="A736" s="18" t="str">
        <x:v>gumroad.com</x:v>
      </x:c>
      <x:c r="B736" s="19" t="str">
        <x:v>支付商主域（混合流量）</x:v>
      </x:c>
      <x:c r="C736" s="19" t="str">
        <x:v>中</x:v>
      </x:c>
      <x:c r="D736" s="19" t="str">
        <x:v>Jul 2026</x:v>
      </x:c>
      <x:c r="E736" s="19" t="n">
        <x:v>11</x:v>
      </x:c>
      <x:c r="F736" s="19" t="str">
        <x:v>behance.net</x:v>
      </x:c>
      <x:c r="G736" s="19" t="str">
        <x:v>Visual Arts and Design</x:v>
      </x:c>
      <x:c r="H736" s="19" t="str">
        <x:v>其他/待核查</x:v>
      </x:c>
      <x:c r="I736" s="19" t="str">
        <x:v>保守归类</x:v>
      </x:c>
      <x:c r="J736" s="19" t="n">
        <x:v>1322</x:v>
      </x:c>
      <x:c r="K736" s="20" t="n">
        <x:v>0.022400000000000003</x:v>
      </x:c>
      <x:c r="L736" s="19" t="str">
        <x:v>下降</x:v>
      </x:c>
      <x:c r="M736" s="20" t="n">
        <x:v>-0.1051</x:v>
      </x:c>
      <x:c r="N736" s="21" t="n">
        <x:v>2103000</x:v>
      </x:c>
      <x:c r="O736" s="21" t="n">
        <x:v>47107</x:v>
      </x:c>
      <x:c r="P736" s="21" t="n">
        <x:f>ROUND(N736*K736,0)</x:f>
        <x:v>47107</x:v>
      </x:c>
      <x:c r="Q736" s="19" t="str">
        <x:v>否</x:v>
      </x:c>
      <x:c r="R736" s="19" t="str"/>
      <x:c r="S736" s="19" t="n">
        <x:f>IF(Q736="是",0,MIN(10,2+IF(C736="高",2,1)+IF(K736&gt;=3%,3,IF(K736&gt;=1%,2,1))+IF(L736="新出现",2,IF(M736&gt;=100%,3,IF(M736&gt;0,2,0)))))</x:f>
        <x:v>5</x:v>
      </x:c>
      <x:c r="T736" s="21"/>
      <x:c r="U736" s="20"/>
      <x:c r="V736" s="19" t="str">
        <x:v>http://behance.net/</x:v>
      </x:c>
      <x:c r="W736" s="19" t="str">
        <x:v>https://pro.similarweb.com/#/digitalsuite/websiteanalysis/referrals/*/999/1m?webSource=Total&amp;selectedTab=incomingTraffic&amp;key=gumroad.com</x:v>
      </x:c>
      <x:c r="X736" s="20" t="n">
        <x:f>IF(Q736="是",0,IFERROR(P736/SUMIFS($P$2:$P$964,$A$2:$A$964,A736,$Q$2:$Q$964,"否"),0))</x:f>
        <x:v>0.03810786563755664</x:v>
      </x:c>
      <x:c r="Y736" s="22" t="str">
        <x:f>IF(OR(M736="",U736=""),"未交叉",IF(M736*U736&gt;0,"同向",IF(M736*U736&lt;0,"背离","一侧持平")))</x:f>
        <x:v>未交叉</x:v>
      </x:c>
    </x:row>
    <x:row r="737">
      <x:c r="A737" s="18" t="str">
        <x:v>gumroad.com</x:v>
      </x:c>
      <x:c r="B737" s="19" t="str">
        <x:v>支付商主域（混合流量）</x:v>
      </x:c>
      <x:c r="C737" s="19" t="str">
        <x:v>中</x:v>
      </x:c>
      <x:c r="D737" s="19" t="str">
        <x:v>Jul 2026</x:v>
      </x:c>
      <x:c r="E737" s="19" t="n">
        <x:v>12</x:v>
      </x:c>
      <x:c r="F737" s="19" t="str">
        <x:v>beacons.ai</x:v>
      </x:c>
      <x:c r="G737" s="19" t="str">
        <x:v>Graphics Multimedia and Web Design</x:v>
      </x:c>
      <x:c r="H737" s="19" t="str">
        <x:v>AI 工具与应用（未细分）</x:v>
      </x:c>
      <x:c r="I737" s="19" t="str">
        <x:v>域名后缀启发式</x:v>
      </x:c>
      <x:c r="J737" s="19" t="n">
        <x:v>2072</x:v>
      </x:c>
      <x:c r="K737" s="20" t="n">
        <x:v>0.021</x:v>
      </x:c>
      <x:c r="L737" s="19" t="str">
        <x:v>上升</x:v>
      </x:c>
      <x:c r="M737" s="20" t="n">
        <x:v>0.0028000000000000004</x:v>
      </x:c>
      <x:c r="N737" s="21" t="n">
        <x:v>2103000</x:v>
      </x:c>
      <x:c r="O737" s="21" t="n">
        <x:v>44163</x:v>
      </x:c>
      <x:c r="P737" s="21" t="n">
        <x:f>ROUND(N737*K737,0)</x:f>
        <x:v>44163</x:v>
      </x:c>
      <x:c r="Q737" s="19" t="str">
        <x:v>否</x:v>
      </x:c>
      <x:c r="R737" s="19" t="str"/>
      <x:c r="S737" s="19" t="n">
        <x:f>IF(Q737="是",0,MIN(10,2+IF(C737="高",2,1)+IF(K737&gt;=3%,3,IF(K737&gt;=1%,2,1))+IF(L737="新出现",2,IF(M737&gt;=100%,3,IF(M737&gt;0,2,0)))))</x:f>
        <x:v>7</x:v>
      </x:c>
      <x:c r="T737" s="21"/>
      <x:c r="U737" s="20"/>
      <x:c r="V737" s="19" t="str">
        <x:v>http://beacons.ai/</x:v>
      </x:c>
      <x:c r="W737" s="19" t="str">
        <x:v>https://pro.similarweb.com/#/digitalsuite/websiteanalysis/referrals/*/999/1m?webSource=Total&amp;selectedTab=incomingTraffic&amp;key=gumroad.com</x:v>
      </x:c>
      <x:c r="X737" s="20" t="n">
        <x:f>IF(Q737="是",0,IFERROR(P737/SUMIFS($P$2:$P$964,$A$2:$A$964,A737,$Q$2:$Q$964,"否"),0))</x:f>
        <x:v>0.03572627571595333</x:v>
      </x:c>
      <x:c r="Y737" s="22" t="str">
        <x:f>IF(OR(M737="",U737=""),"未交叉",IF(M737*U737&gt;0,"同向",IF(M737*U737&lt;0,"背离","一侧持平")))</x:f>
        <x:v>未交叉</x:v>
      </x:c>
    </x:row>
    <x:row r="738">
      <x:c r="A738" s="18" t="str">
        <x:v>gumroad.com</x:v>
      </x:c>
      <x:c r="B738" s="19" t="str">
        <x:v>支付商主域（混合流量）</x:v>
      </x:c>
      <x:c r="C738" s="19" t="str">
        <x:v>中</x:v>
      </x:c>
      <x:c r="D738" s="19" t="str">
        <x:v>Jul 2026</x:v>
      </x:c>
      <x:c r="E738" s="19" t="n">
        <x:v>13</x:v>
      </x:c>
      <x:c r="F738" s="19" t="str">
        <x:v>github.com</x:v>
      </x:c>
      <x:c r="G738" s="19" t="str">
        <x:v>Programming and Developer Software</x:v>
      </x:c>
      <x:c r="H738" s="19" t="str">
        <x:v>开发者工具与互联网基础设施</x:v>
      </x:c>
      <x:c r="I738" s="19" t="str">
        <x:v>Similarweb 行业映射</x:v>
      </x:c>
      <x:c r="J738" s="19" t="n">
        <x:v>49</x:v>
      </x:c>
      <x:c r="K738" s="20" t="n">
        <x:v>0.0183</x:v>
      </x:c>
      <x:c r="L738" s="19" t="str">
        <x:v>下降</x:v>
      </x:c>
      <x:c r="M738" s="20" t="n">
        <x:v>-0.32030000000000003</x:v>
      </x:c>
      <x:c r="N738" s="21" t="n">
        <x:v>2103000</x:v>
      </x:c>
      <x:c r="O738" s="21" t="n">
        <x:v>38485</x:v>
      </x:c>
      <x:c r="P738" s="21" t="n">
        <x:f>ROUND(N738*K738,0)</x:f>
        <x:v>38485</x:v>
      </x:c>
      <x:c r="Q738" s="19" t="str">
        <x:v>否</x:v>
      </x:c>
      <x:c r="R738" s="19" t="str"/>
      <x:c r="S738" s="19" t="n">
        <x:f>IF(Q738="是",0,MIN(10,2+IF(C738="高",2,1)+IF(K738&gt;=3%,3,IF(K738&gt;=1%,2,1))+IF(L738="新出现",2,IF(M738&gt;=100%,3,IF(M738&gt;0,2,0)))))</x:f>
        <x:v>5</x:v>
      </x:c>
      <x:c r="T738" s="21"/>
      <x:c r="U738" s="20"/>
      <x:c r="V738" s="19" t="str">
        <x:v>http://github.com/</x:v>
      </x:c>
      <x:c r="W738" s="19" t="str">
        <x:v>https://pro.similarweb.com/#/digitalsuite/websiteanalysis/referrals/*/999/1m?webSource=Total&amp;selectedTab=incomingTraffic&amp;key=gumroad.com</x:v>
      </x:c>
      <x:c r="X738" s="20" t="n">
        <x:f>IF(Q738="是",0,IFERROR(P738/SUMIFS($P$2:$P$964,$A$2:$A$964,A738,$Q$2:$Q$964,"否"),0))</x:f>
        <x:v>0.031132978306013272</x:v>
      </x:c>
      <x:c r="Y738" s="22" t="str">
        <x:f>IF(OR(M738="",U738=""),"未交叉",IF(M738*U738&gt;0,"同向",IF(M738*U738&lt;0,"背离","一侧持平")))</x:f>
        <x:v>未交叉</x:v>
      </x:c>
    </x:row>
    <x:row r="739">
      <x:c r="A739" s="18" t="str">
        <x:v>gumroad.com</x:v>
      </x:c>
      <x:c r="B739" s="19" t="str">
        <x:v>支付商主域（混合流量）</x:v>
      </x:c>
      <x:c r="C739" s="19" t="str">
        <x:v>中</x:v>
      </x:c>
      <x:c r="D739" s="19" t="str">
        <x:v>Jul 2026</x:v>
      </x:c>
      <x:c r="E739" s="19" t="n">
        <x:v>14</x:v>
      </x:c>
      <x:c r="F739" s="19" t="str">
        <x:v>payhip.com</x:v>
      </x:c>
      <x:c r="G739" s="19" t="str">
        <x:v>Graphics Multimedia and Web Design</x:v>
      </x:c>
      <x:c r="H739" s="19" t="str">
        <x:v>创作、设计与多媒体工具</x:v>
      </x:c>
      <x:c r="I739" s="19" t="str">
        <x:v>Similarweb 行业映射</x:v>
      </x:c>
      <x:c r="J739" s="19" t="n">
        <x:v>6125</x:v>
      </x:c>
      <x:c r="K739" s="20" t="n">
        <x:v>0.014199999999999999</x:v>
      </x:c>
      <x:c r="L739" s="19" t="str">
        <x:v>下降</x:v>
      </x:c>
      <x:c r="M739" s="20" t="n">
        <x:v>-0.1014</x:v>
      </x:c>
      <x:c r="N739" s="21" t="n">
        <x:v>2103000</x:v>
      </x:c>
      <x:c r="O739" s="21" t="n">
        <x:v>29863</x:v>
      </x:c>
      <x:c r="P739" s="21" t="n">
        <x:f>ROUND(N739*K739,0)</x:f>
        <x:v>29863</x:v>
      </x:c>
      <x:c r="Q739" s="19" t="str">
        <x:v>否</x:v>
      </x:c>
      <x:c r="R739" s="19" t="str"/>
      <x:c r="S739" s="19" t="n">
        <x:f>IF(Q739="是",0,MIN(10,2+IF(C739="高",2,1)+IF(K739&gt;=3%,3,IF(K739&gt;=1%,2,1))+IF(L739="新出现",2,IF(M739&gt;=100%,3,IF(M739&gt;0,2,0)))))</x:f>
        <x:v>5</x:v>
      </x:c>
      <x:c r="T739" s="21"/>
      <x:c r="U739" s="20"/>
      <x:c r="V739" s="19" t="str">
        <x:v>http://payhip.com/</x:v>
      </x:c>
      <x:c r="W739" s="19" t="str">
        <x:v>https://pro.similarweb.com/#/digitalsuite/websiteanalysis/referrals/*/999/1m?webSource=Total&amp;selectedTab=incomingTraffic&amp;key=gumroad.com</x:v>
      </x:c>
      <x:c r="X739" s="20" t="n">
        <x:f>IF(Q739="是",0,IFERROR(P739/SUMIFS($P$2:$P$964,$A$2:$A$964,A739,$Q$2:$Q$964,"否"),0))</x:f>
        <x:v>0.024158090974469908</x:v>
      </x:c>
      <x:c r="Y739" s="22" t="str">
        <x:f>IF(OR(M739="",U739=""),"未交叉",IF(M739*U739&gt;0,"同向",IF(M739*U739&lt;0,"背离","一侧持平")))</x:f>
        <x:v>未交叉</x:v>
      </x:c>
    </x:row>
    <x:row r="740">
      <x:c r="A740" s="18" t="str">
        <x:v>gumroad.com</x:v>
      </x:c>
      <x:c r="B740" s="19" t="str">
        <x:v>支付商主域（混合流量）</x:v>
      </x:c>
      <x:c r="C740" s="19" t="str">
        <x:v>中</x:v>
      </x:c>
      <x:c r="D740" s="19" t="str">
        <x:v>Jul 2026</x:v>
      </x:c>
      <x:c r="E740" s="19" t="n">
        <x:v>15</x:v>
      </x:c>
      <x:c r="F740" s="19" t="str">
        <x:v>notion.com</x:v>
      </x:c>
      <x:c r="G740" s="19" t="str">
        <x:v>Computers Electronics and Technology</x:v>
      </x:c>
      <x:c r="H740" s="19" t="str">
        <x:v>通用数字产品与技术服务</x:v>
      </x:c>
      <x:c r="I740" s="19" t="str">
        <x:v>Similarweb 行业映射</x:v>
      </x:c>
      <x:c r="J740" s="19" t="n">
        <x:v>165</x:v>
      </x:c>
      <x:c r="K740" s="20" t="n">
        <x:v>0.0138</x:v>
      </x:c>
      <x:c r="L740" s="19" t="str">
        <x:v>下降</x:v>
      </x:c>
      <x:c r="M740" s="20" t="n">
        <x:v>-0.2695</x:v>
      </x:c>
      <x:c r="N740" s="21" t="n">
        <x:v>2103000</x:v>
      </x:c>
      <x:c r="O740" s="21" t="n">
        <x:v>29021</x:v>
      </x:c>
      <x:c r="P740" s="21" t="n">
        <x:f>ROUND(N740*K740,0)</x:f>
        <x:v>29021</x:v>
      </x:c>
      <x:c r="Q740" s="19" t="str">
        <x:v>否</x:v>
      </x:c>
      <x:c r="R740" s="19" t="str"/>
      <x:c r="S740" s="19" t="n">
        <x:f>IF(Q740="是",0,MIN(10,2+IF(C740="高",2,1)+IF(K740&gt;=3%,3,IF(K740&gt;=1%,2,1))+IF(L740="新出现",2,IF(M740&gt;=100%,3,IF(M740&gt;0,2,0)))))</x:f>
        <x:v>5</x:v>
      </x:c>
      <x:c r="T740" s="21"/>
      <x:c r="U740" s="20"/>
      <x:c r="V740" s="19" t="str">
        <x:v>http://notion.com/</x:v>
      </x:c>
      <x:c r="W740" s="19" t="str">
        <x:v>https://pro.similarweb.com/#/digitalsuite/websiteanalysis/referrals/*/999/1m?webSource=Total&amp;selectedTab=incomingTraffic&amp;key=gumroad.com</x:v>
      </x:c>
      <x:c r="X740" s="20" t="n">
        <x:f>IF(Q740="是",0,IFERROR(P740/SUMIFS($P$2:$P$964,$A$2:$A$964,A740,$Q$2:$Q$964,"否"),0))</x:f>
        <x:v>0.023476943313467873</x:v>
      </x:c>
      <x:c r="Y740" s="22" t="str">
        <x:f>IF(OR(M740="",U740=""),"未交叉",IF(M740*U740&gt;0,"同向",IF(M740*U740&lt;0,"背离","一侧持平")))</x:f>
        <x:v>未交叉</x:v>
      </x:c>
    </x:row>
    <x:row r="741">
      <x:c r="A741" s="18" t="str">
        <x:v>gumroad.com</x:v>
      </x:c>
      <x:c r="B741" s="19" t="str">
        <x:v>支付商主域（混合流量）</x:v>
      </x:c>
      <x:c r="C741" s="19" t="str">
        <x:v>中</x:v>
      </x:c>
      <x:c r="D741" s="19" t="str">
        <x:v>Jul 2026</x:v>
      </x:c>
      <x:c r="E741" s="19" t="n">
        <x:v>16</x:v>
      </x:c>
      <x:c r="F741" s="19" t="str">
        <x:v>eliasyoder.com</x:v>
      </x:c>
      <x:c r="G741" s="19" t="str">
        <x:v>Unknown</x:v>
      </x:c>
      <x:c r="H741" s="19" t="str">
        <x:v>其他/待核查</x:v>
      </x:c>
      <x:c r="I741" s="19" t="str">
        <x:v>Similarweb 未分类</x:v>
      </x:c>
      <x:c r="J741" s="19" t="n">
        <x:v>835487</x:v>
      </x:c>
      <x:c r="K741" s="20" t="n">
        <x:v>0.0103</x:v>
      </x:c>
      <x:c r="L741" s="19" t="str">
        <x:v>上升</x:v>
      </x:c>
      <x:c r="M741" s="20" t="n">
        <x:v>1.0652</x:v>
      </x:c>
      <x:c r="N741" s="21" t="n">
        <x:v>2103000</x:v>
      </x:c>
      <x:c r="O741" s="21" t="n">
        <x:v>21661</x:v>
      </x:c>
      <x:c r="P741" s="21" t="n">
        <x:f>ROUND(N741*K741,0)</x:f>
        <x:v>21661</x:v>
      </x:c>
      <x:c r="Q741" s="19" t="str">
        <x:v>否</x:v>
      </x:c>
      <x:c r="R741" s="19" t="str"/>
      <x:c r="S741" s="19" t="n">
        <x:f>IF(Q741="是",0,MIN(10,2+IF(C741="高",2,1)+IF(K741&gt;=3%,3,IF(K741&gt;=1%,2,1))+IF(L741="新出现",2,IF(M741&gt;=100%,3,IF(M741&gt;0,2,0)))))</x:f>
        <x:v>8</x:v>
      </x:c>
      <x:c r="T741" s="21"/>
      <x:c r="U741" s="20"/>
      <x:c r="V741" s="19" t="str">
        <x:v>http://eliasyoder.com/</x:v>
      </x:c>
      <x:c r="W741" s="19" t="str">
        <x:v>https://pro.similarweb.com/#/digitalsuite/websiteanalysis/referrals/*/999/1m?webSource=Total&amp;selectedTab=incomingTraffic&amp;key=gumroad.com</x:v>
      </x:c>
      <x:c r="X741" s="20" t="n">
        <x:f>IF(Q741="是",0,IFERROR(P741/SUMIFS($P$2:$P$964,$A$2:$A$964,A741,$Q$2:$Q$964,"否"),0))</x:f>
        <x:v>0.01752296850945962</x:v>
      </x:c>
      <x:c r="Y741" s="22" t="str">
        <x:f>IF(OR(M741="",U741=""),"未交叉",IF(M741*U741&gt;0,"同向",IF(M741*U741&lt;0,"背离","一侧持平")))</x:f>
        <x:v>未交叉</x:v>
      </x:c>
    </x:row>
    <x:row r="742">
      <x:c r="A742" s="18" t="str">
        <x:v>gumroad.com</x:v>
      </x:c>
      <x:c r="B742" s="19" t="str">
        <x:v>支付商主域（混合流量）</x:v>
      </x:c>
      <x:c r="C742" s="19" t="str">
        <x:v>中</x:v>
      </x:c>
      <x:c r="D742" s="19" t="str">
        <x:v>Jul 2026</x:v>
      </x:c>
      <x:c r="E742" s="19" t="n">
        <x:v>17</x:v>
      </x:c>
      <x:c r="F742" s="19" t="str">
        <x:v>substack.com</x:v>
      </x:c>
      <x:c r="G742" s="19" t="str">
        <x:v>News and Media</x:v>
      </x:c>
      <x:c r="H742" s="19" t="str">
        <x:v>内容媒体、线下与实体消费</x:v>
      </x:c>
      <x:c r="I742" s="19" t="str">
        <x:v>Similarweb 行业映射</x:v>
      </x:c>
      <x:c r="J742" s="19" t="n">
        <x:v>220</x:v>
      </x:c>
      <x:c r="K742" s="20" t="n">
        <x:v>0.0103</x:v>
      </x:c>
      <x:c r="L742" s="19" t="str">
        <x:v>上升</x:v>
      </x:c>
      <x:c r="M742" s="20" t="n">
        <x:v>0.46380000000000005</x:v>
      </x:c>
      <x:c r="N742" s="21" t="n">
        <x:v>2103000</x:v>
      </x:c>
      <x:c r="O742" s="21" t="n">
        <x:v>21661</x:v>
      </x:c>
      <x:c r="P742" s="21" t="n">
        <x:f>ROUND(N742*K742,0)</x:f>
        <x:v>21661</x:v>
      </x:c>
      <x:c r="Q742" s="19" t="str">
        <x:v>否</x:v>
      </x:c>
      <x:c r="R742" s="19" t="str"/>
      <x:c r="S742" s="19" t="n">
        <x:f>IF(Q742="是",0,MIN(10,2+IF(C742="高",2,1)+IF(K742&gt;=3%,3,IF(K742&gt;=1%,2,1))+IF(L742="新出现",2,IF(M742&gt;=100%,3,IF(M742&gt;0,2,0)))))</x:f>
        <x:v>7</x:v>
      </x:c>
      <x:c r="T742" s="21"/>
      <x:c r="U742" s="20"/>
      <x:c r="V742" s="19" t="str">
        <x:v>http://substack.com/</x:v>
      </x:c>
      <x:c r="W742" s="19" t="str">
        <x:v>https://pro.similarweb.com/#/digitalsuite/websiteanalysis/referrals/*/999/1m?webSource=Total&amp;selectedTab=incomingTraffic&amp;key=gumroad.com</x:v>
      </x:c>
      <x:c r="X742" s="20" t="n">
        <x:f>IF(Q742="是",0,IFERROR(P742/SUMIFS($P$2:$P$964,$A$2:$A$964,A742,$Q$2:$Q$964,"否"),0))</x:f>
        <x:v>0.01752296850945962</x:v>
      </x:c>
      <x:c r="Y742" s="22" t="str">
        <x:f>IF(OR(M742="",U742=""),"未交叉",IF(M742*U742&gt;0,"同向",IF(M742*U742&lt;0,"背离","一侧持平")))</x:f>
        <x:v>未交叉</x:v>
      </x:c>
    </x:row>
    <x:row r="743">
      <x:c r="A743" s="18" t="str">
        <x:v>gumroad.com</x:v>
      </x:c>
      <x:c r="B743" s="19" t="str">
        <x:v>支付商主域（混合流量）</x:v>
      </x:c>
      <x:c r="C743" s="19" t="str">
        <x:v>中</x:v>
      </x:c>
      <x:c r="D743" s="19" t="str">
        <x:v>Jul 2026</x:v>
      </x:c>
      <x:c r="E743" s="19" t="n">
        <x:v>18</x:v>
      </x:c>
      <x:c r="F743" s="19" t="str">
        <x:v>bsky.app</x:v>
      </x:c>
      <x:c r="G743" s="19" t="str">
        <x:v>Social Networks and Online Communities</x:v>
      </x:c>
      <x:c r="H743" s="19" t="str">
        <x:v>其他/待核查</x:v>
      </x:c>
      <x:c r="I743" s="19" t="str">
        <x:v>保守归类</x:v>
      </x:c>
      <x:c r="J743" s="19" t="n">
        <x:v>222</x:v>
      </x:c>
      <x:c r="K743" s="20" t="n">
        <x:v>0.0088</x:v>
      </x:c>
      <x:c r="L743" s="19" t="str">
        <x:v>上升</x:v>
      </x:c>
      <x:c r="M743" s="20" t="n">
        <x:v>0.1257</x:v>
      </x:c>
      <x:c r="N743" s="21" t="n">
        <x:v>2103000</x:v>
      </x:c>
      <x:c r="O743" s="21" t="n">
        <x:v>18506</x:v>
      </x:c>
      <x:c r="P743" s="21" t="n">
        <x:f>ROUND(N743*K743,0)</x:f>
        <x:v>18506</x:v>
      </x:c>
      <x:c r="Q743" s="19" t="str">
        <x:v>否</x:v>
      </x:c>
      <x:c r="R743" s="19" t="str"/>
      <x:c r="S743" s="19" t="n">
        <x:f>IF(Q743="是",0,MIN(10,2+IF(C743="高",2,1)+IF(K743&gt;=3%,3,IF(K743&gt;=1%,2,1))+IF(L743="新出现",2,IF(M743&gt;=100%,3,IF(M743&gt;0,2,0)))))</x:f>
        <x:v>6</x:v>
      </x:c>
      <x:c r="T743" s="21"/>
      <x:c r="U743" s="20"/>
      <x:c r="V743" s="19" t="str">
        <x:v>http://bsky.app/</x:v>
      </x:c>
      <x:c r="W743" s="19" t="str">
        <x:v>https://pro.similarweb.com/#/digitalsuite/websiteanalysis/referrals/*/999/1m?webSource=Total&amp;selectedTab=incomingTraffic&amp;key=gumroad.com</x:v>
      </x:c>
      <x:c r="X743" s="20" t="n">
        <x:f>IF(Q743="是",0,IFERROR(P743/SUMIFS($P$2:$P$964,$A$2:$A$964,A743,$Q$2:$Q$964,"否"),0))</x:f>
        <x:v>0.014970687190621843</x:v>
      </x:c>
      <x:c r="Y743" s="22" t="str">
        <x:f>IF(OR(M743="",U743=""),"未交叉",IF(M743*U743&gt;0,"同向",IF(M743*U743&lt;0,"背离","一侧持平")))</x:f>
        <x:v>未交叉</x:v>
      </x:c>
    </x:row>
    <x:row r="744">
      <x:c r="A744" s="18" t="str">
        <x:v>gumroad.com</x:v>
      </x:c>
      <x:c r="B744" s="19" t="str">
        <x:v>支付商主域（混合流量）</x:v>
      </x:c>
      <x:c r="C744" s="19" t="str">
        <x:v>中</x:v>
      </x:c>
      <x:c r="D744" s="19" t="str">
        <x:v>Jul 2026</x:v>
      </x:c>
      <x:c r="E744" s="19" t="n">
        <x:v>19</x:v>
      </x:c>
      <x:c r="F744" s="19" t="str">
        <x:v>unblast.com</x:v>
      </x:c>
      <x:c r="G744" s="19" t="str">
        <x:v>Graphics Multimedia and Web Design</x:v>
      </x:c>
      <x:c r="H744" s="19" t="str">
        <x:v>创作、设计与多媒体工具</x:v>
      </x:c>
      <x:c r="I744" s="19" t="str">
        <x:v>Similarweb 行业映射</x:v>
      </x:c>
      <x:c r="J744" s="19" t="n">
        <x:v>32916</x:v>
      </x:c>
      <x:c r="K744" s="20" t="n">
        <x:v>0.0086</x:v>
      </x:c>
      <x:c r="L744" s="19" t="str">
        <x:v>上升</x:v>
      </x:c>
      <x:c r="M744" s="20" t="n">
        <x:v>0.0832</x:v>
      </x:c>
      <x:c r="N744" s="21" t="n">
        <x:v>2103000</x:v>
      </x:c>
      <x:c r="O744" s="21" t="n">
        <x:v>18086</x:v>
      </x:c>
      <x:c r="P744" s="21" t="n">
        <x:f>ROUND(N744*K744,0)</x:f>
        <x:v>18086</x:v>
      </x:c>
      <x:c r="Q744" s="19" t="str">
        <x:v>否</x:v>
      </x:c>
      <x:c r="R744" s="19" t="str"/>
      <x:c r="S744" s="19" t="n">
        <x:f>IF(Q744="是",0,MIN(10,2+IF(C744="高",2,1)+IF(K744&gt;=3%,3,IF(K744&gt;=1%,2,1))+IF(L744="新出现",2,IF(M744&gt;=100%,3,IF(M744&gt;0,2,0)))))</x:f>
        <x:v>6</x:v>
      </x:c>
      <x:c r="T744" s="21"/>
      <x:c r="U744" s="20"/>
      <x:c r="V744" s="19" t="str">
        <x:v>http://unblast.com/</x:v>
      </x:c>
      <x:c r="W744" s="19" t="str">
        <x:v>https://pro.similarweb.com/#/digitalsuite/websiteanalysis/referrals/*/999/1m?webSource=Total&amp;selectedTab=incomingTraffic&amp;key=gumroad.com</x:v>
      </x:c>
      <x:c r="X744" s="20" t="n">
        <x:f>IF(Q744="是",0,IFERROR(P744/SUMIFS($P$2:$P$964,$A$2:$A$964,A744,$Q$2:$Q$964,"否"),0))</x:f>
        <x:v>0.014630922324088762</x:v>
      </x:c>
      <x:c r="Y744" s="22" t="str">
        <x:f>IF(OR(M744="",U744=""),"未交叉",IF(M744*U744&gt;0,"同向",IF(M744*U744&lt;0,"背离","一侧持平")))</x:f>
        <x:v>未交叉</x:v>
      </x:c>
    </x:row>
    <x:row r="745">
      <x:c r="A745" s="18" t="str">
        <x:v>gumroad.com</x:v>
      </x:c>
      <x:c r="B745" s="19" t="str">
        <x:v>支付商主域（混合流量）</x:v>
      </x:c>
      <x:c r="C745" s="19" t="str">
        <x:v>中</x:v>
      </x:c>
      <x:c r="D745" s="19" t="str">
        <x:v>Jul 2026</x:v>
      </x:c>
      <x:c r="E745" s="19" t="n">
        <x:v>20</x:v>
      </x:c>
      <x:c r="F745" s="19" t="str">
        <x:v>devforum.roblox.com</x:v>
      </x:c>
      <x:c r="G745" s="19" t="str">
        <x:v>Video Games Consoles and Accessories</x:v>
      </x:c>
      <x:c r="H745" s="19" t="str">
        <x:v>游戏、数字商品与虚拟内容</x:v>
      </x:c>
      <x:c r="I745" s="19" t="str">
        <x:v>Similarweb 行业映射</x:v>
      </x:c>
      <x:c r="J745" s="19"/>
      <x:c r="K745" s="20" t="n">
        <x:v>0.0078000000000000005</x:v>
      </x:c>
      <x:c r="L745" s="19" t="str">
        <x:v>上升</x:v>
      </x:c>
      <x:c r="M745" s="20" t="n">
        <x:v>2.1755</x:v>
      </x:c>
      <x:c r="N745" s="21" t="n">
        <x:v>2103000</x:v>
      </x:c>
      <x:c r="O745" s="21" t="n">
        <x:v>16403</x:v>
      </x:c>
      <x:c r="P745" s="21" t="n">
        <x:f>ROUND(N745*K745,0)</x:f>
        <x:v>16403</x:v>
      </x:c>
      <x:c r="Q745" s="19" t="str">
        <x:v>否</x:v>
      </x:c>
      <x:c r="R745" s="19" t="str"/>
      <x:c r="S745" s="19" t="n">
        <x:f>IF(Q745="是",0,MIN(10,2+IF(C745="高",2,1)+IF(K745&gt;=3%,3,IF(K745&gt;=1%,2,1))+IF(L745="新出现",2,IF(M745&gt;=100%,3,IF(M745&gt;0,2,0)))))</x:f>
        <x:v>7</x:v>
      </x:c>
      <x:c r="T745" s="21"/>
      <x:c r="U745" s="20"/>
      <x:c r="V745" s="19" t="str">
        <x:v>http://devforum.roblox.com/</x:v>
      </x:c>
      <x:c r="W745" s="19" t="str">
        <x:v>https://pro.similarweb.com/#/digitalsuite/websiteanalysis/referrals/*/999/1m?webSource=Total&amp;selectedTab=incomingTraffic&amp;key=gumroad.com</x:v>
      </x:c>
      <x:c r="X745" s="20" t="n">
        <x:f>IF(Q745="是",0,IFERROR(P745/SUMIFS($P$2:$P$964,$A$2:$A$964,A745,$Q$2:$Q$964,"否"),0))</x:f>
        <x:v>0.013269435966052637</x:v>
      </x:c>
      <x:c r="Y745" s="22" t="str">
        <x:f>IF(OR(M745="",U745=""),"未交叉",IF(M745*U745&gt;0,"同向",IF(M745*U745&lt;0,"背离","一侧持平")))</x:f>
        <x:v>未交叉</x:v>
      </x:c>
    </x:row>
    <x:row r="746">
      <x:c r="A746" s="18" t="str">
        <x:v>gumroad.com</x:v>
      </x:c>
      <x:c r="B746" s="19" t="str">
        <x:v>支付商主域（混合流量）</x:v>
      </x:c>
      <x:c r="C746" s="19" t="str">
        <x:v>中</x:v>
      </x:c>
      <x:c r="D746" s="19" t="str">
        <x:v>Jul 2026</x:v>
      </x:c>
      <x:c r="E746" s="19" t="n">
        <x:v>21</x:v>
      </x:c>
      <x:c r="F746" s="19" t="str">
        <x:v>maxforlive.com</x:v>
      </x:c>
      <x:c r="G746" s="19" t="str">
        <x:v>Music</x:v>
      </x:c>
      <x:c r="H746" s="19" t="str">
        <x:v>创作、设计与多媒体工具</x:v>
      </x:c>
      <x:c r="I746" s="19" t="str">
        <x:v>Similarweb 行业映射</x:v>
      </x:c>
      <x:c r="J746" s="19" t="n">
        <x:v>118674</x:v>
      </x:c>
      <x:c r="K746" s="20" t="n">
        <x:v>0.006500000000000001</x:v>
      </x:c>
      <x:c r="L746" s="19" t="str">
        <x:v>下降</x:v>
      </x:c>
      <x:c r="M746" s="20" t="n">
        <x:v>-0.3557</x:v>
      </x:c>
      <x:c r="N746" s="21" t="n">
        <x:v>2103000</x:v>
      </x:c>
      <x:c r="O746" s="21" t="n">
        <x:v>13670</x:v>
      </x:c>
      <x:c r="P746" s="21" t="n">
        <x:f>ROUND(N746*K746,0)</x:f>
        <x:v>13670</x:v>
      </x:c>
      <x:c r="Q746" s="19" t="str">
        <x:v>否</x:v>
      </x:c>
      <x:c r="R746" s="19" t="str"/>
      <x:c r="S746" s="19" t="n">
        <x:f>IF(Q746="是",0,MIN(10,2+IF(C746="高",2,1)+IF(K746&gt;=3%,3,IF(K746&gt;=1%,2,1))+IF(L746="新出现",2,IF(M746&gt;=100%,3,IF(M746&gt;0,2,0)))))</x:f>
        <x:v>4</x:v>
      </x:c>
      <x:c r="T746" s="21"/>
      <x:c r="U746" s="20"/>
      <x:c r="V746" s="19" t="str">
        <x:v>http://maxforlive.com/</x:v>
      </x:c>
      <x:c r="W746" s="19" t="str">
        <x:v>https://pro.similarweb.com/#/digitalsuite/websiteanalysis/referrals/*/999/1m?webSource=Total&amp;selectedTab=incomingTraffic&amp;key=gumroad.com</x:v>
      </x:c>
      <x:c r="X746" s="20" t="n">
        <x:f>IF(Q746="是",0,IFERROR(P746/SUMIFS($P$2:$P$964,$A$2:$A$964,A746,$Q$2:$Q$964,"否"),0))</x:f>
        <x:v>0.01105853744168381</x:v>
      </x:c>
      <x:c r="Y746" s="22" t="str">
        <x:f>IF(OR(M746="",U746=""),"未交叉",IF(M746*U746&gt;0,"同向",IF(M746*U746&lt;0,"背离","一侧持平")))</x:f>
        <x:v>未交叉</x:v>
      </x:c>
    </x:row>
    <x:row r="747">
      <x:c r="A747" s="18" t="str">
        <x:v>gumroad.com</x:v>
      </x:c>
      <x:c r="B747" s="19" t="str">
        <x:v>支付商主域（混合流量）</x:v>
      </x:c>
      <x:c r="C747" s="19" t="str">
        <x:v>中</x:v>
      </x:c>
      <x:c r="D747" s="19" t="str">
        <x:v>Jul 2026</x:v>
      </x:c>
      <x:c r="E747" s="19" t="n">
        <x:v>22</x:v>
      </x:c>
      <x:c r="F747" s="19" t="str">
        <x:v>folio.procreate.com</x:v>
      </x:c>
      <x:c r="G747" s="19" t="str">
        <x:v>Photography</x:v>
      </x:c>
      <x:c r="H747" s="19" t="str">
        <x:v>其他/待核查</x:v>
      </x:c>
      <x:c r="I747" s="19" t="str">
        <x:v>保守归类</x:v>
      </x:c>
      <x:c r="J747" s="19"/>
      <x:c r="K747" s="20" t="n">
        <x:v>0.006500000000000001</x:v>
      </x:c>
      <x:c r="L747" s="19" t="str">
        <x:v>上升</x:v>
      </x:c>
      <x:c r="M747" s="20" t="n">
        <x:v>0.0461</x:v>
      </x:c>
      <x:c r="N747" s="21" t="n">
        <x:v>2103000</x:v>
      </x:c>
      <x:c r="O747" s="21" t="n">
        <x:v>13670</x:v>
      </x:c>
      <x:c r="P747" s="21" t="n">
        <x:f>ROUND(N747*K747,0)</x:f>
        <x:v>13670</x:v>
      </x:c>
      <x:c r="Q747" s="19" t="str">
        <x:v>否</x:v>
      </x:c>
      <x:c r="R747" s="19" t="str"/>
      <x:c r="S747" s="19" t="n">
        <x:f>IF(Q747="是",0,MIN(10,2+IF(C747="高",2,1)+IF(K747&gt;=3%,3,IF(K747&gt;=1%,2,1))+IF(L747="新出现",2,IF(M747&gt;=100%,3,IF(M747&gt;0,2,0)))))</x:f>
        <x:v>6</x:v>
      </x:c>
      <x:c r="T747" s="21"/>
      <x:c r="U747" s="20"/>
      <x:c r="V747" s="19" t="str">
        <x:v>http://folio.procreate.com/</x:v>
      </x:c>
      <x:c r="W747" s="19" t="str">
        <x:v>https://pro.similarweb.com/#/digitalsuite/websiteanalysis/referrals/*/999/1m?webSource=Total&amp;selectedTab=incomingTraffic&amp;key=gumroad.com</x:v>
      </x:c>
      <x:c r="X747" s="20" t="n">
        <x:f>IF(Q747="是",0,IFERROR(P747/SUMIFS($P$2:$P$964,$A$2:$A$964,A747,$Q$2:$Q$964,"否"),0))</x:f>
        <x:v>0.01105853744168381</x:v>
      </x:c>
      <x:c r="Y747" s="22" t="str">
        <x:f>IF(OR(M747="",U747=""),"未交叉",IF(M747*U747&gt;0,"同向",IF(M747*U747&lt;0,"背离","一侧持平")))</x:f>
        <x:v>未交叉</x:v>
      </x:c>
    </x:row>
    <x:row r="748">
      <x:c r="A748" s="18" t="str">
        <x:v>gumroad.com</x:v>
      </x:c>
      <x:c r="B748" s="19" t="str">
        <x:v>支付商主域（混合流量）</x:v>
      </x:c>
      <x:c r="C748" s="19" t="str">
        <x:v>中</x:v>
      </x:c>
      <x:c r="D748" s="19" t="str">
        <x:v>Jul 2026</x:v>
      </x:c>
      <x:c r="E748" s="19" t="n">
        <x:v>23</x:v>
      </x:c>
      <x:c r="F748" s="19" t="str">
        <x:v>amuletmc.com</x:v>
      </x:c>
      <x:c r="G748" s="19" t="str">
        <x:v>Games</x:v>
      </x:c>
      <x:c r="H748" s="19" t="str">
        <x:v>游戏、数字商品与虚拟内容</x:v>
      </x:c>
      <x:c r="I748" s="19" t="str">
        <x:v>Similarweb 行业映射</x:v>
      </x:c>
      <x:c r="J748" s="19" t="n">
        <x:v>401558</x:v>
      </x:c>
      <x:c r="K748" s="20" t="n">
        <x:v>0.0064</x:v>
      </x:c>
      <x:c r="L748" s="19" t="str">
        <x:v>上升</x:v>
      </x:c>
      <x:c r="M748" s="20" t="n">
        <x:v>0.1632</x:v>
      </x:c>
      <x:c r="N748" s="21" t="n">
        <x:v>2103000</x:v>
      </x:c>
      <x:c r="O748" s="21" t="n">
        <x:v>13459</x:v>
      </x:c>
      <x:c r="P748" s="21" t="n">
        <x:f>ROUND(N748*K748,0)</x:f>
        <x:v>13459</x:v>
      </x:c>
      <x:c r="Q748" s="19" t="str">
        <x:v>否</x:v>
      </x:c>
      <x:c r="R748" s="19" t="str"/>
      <x:c r="S748" s="19" t="n">
        <x:f>IF(Q748="是",0,MIN(10,2+IF(C748="高",2,1)+IF(K748&gt;=3%,3,IF(K748&gt;=1%,2,1))+IF(L748="新出现",2,IF(M748&gt;=100%,3,IF(M748&gt;0,2,0)))))</x:f>
        <x:v>6</x:v>
      </x:c>
      <x:c r="T748" s="21"/>
      <x:c r="U748" s="20"/>
      <x:c r="V748" s="19" t="str">
        <x:v>http://amuletmc.com/</x:v>
      </x:c>
      <x:c r="W748" s="19" t="str">
        <x:v>https://pro.similarweb.com/#/digitalsuite/websiteanalysis/referrals/*/999/1m?webSource=Total&amp;selectedTab=incomingTraffic&amp;key=gumroad.com</x:v>
      </x:c>
      <x:c r="X748" s="20" t="n">
        <x:f>IF(Q748="是",0,IFERROR(P748/SUMIFS($P$2:$P$964,$A$2:$A$964,A748,$Q$2:$Q$964,"否"),0))</x:f>
        <x:v>0.010887846044449334</x:v>
      </x:c>
      <x:c r="Y748" s="22" t="str">
        <x:f>IF(OR(M748="",U748=""),"未交叉",IF(M748*U748&gt;0,"同向",IF(M748*U748&lt;0,"背离","一侧持平")))</x:f>
        <x:v>未交叉</x:v>
      </x:c>
    </x:row>
    <x:row r="749">
      <x:c r="A749" s="18" t="str">
        <x:v>gumroad.com</x:v>
      </x:c>
      <x:c r="B749" s="19" t="str">
        <x:v>支付商主域（混合流量）</x:v>
      </x:c>
      <x:c r="C749" s="19" t="str">
        <x:v>中</x:v>
      </x:c>
      <x:c r="D749" s="19" t="str">
        <x:v>Jul 2026</x:v>
      </x:c>
      <x:c r="E749" s="19" t="n">
        <x:v>24</x:v>
      </x:c>
      <x:c r="F749" s="19" t="str">
        <x:v>remodevicocomposer.eu</x:v>
      </x:c>
      <x:c r="G749" s="19" t="str">
        <x:v>Unknown</x:v>
      </x:c>
      <x:c r="H749" s="19" t="str">
        <x:v>其他/待核查</x:v>
      </x:c>
      <x:c r="I749" s="19" t="str">
        <x:v>Similarweb 未分类</x:v>
      </x:c>
      <x:c r="J749" s="19" t="n">
        <x:v>2566602</x:v>
      </x:c>
      <x:c r="K749" s="20" t="n">
        <x:v>0.0064</x:v>
      </x:c>
      <x:c r="L749" s="19" t="str">
        <x:v>上升</x:v>
      </x:c>
      <x:c r="M749" s="20" t="n">
        <x:v>10.7025</x:v>
      </x:c>
      <x:c r="N749" s="21" t="n">
        <x:v>2103000</x:v>
      </x:c>
      <x:c r="O749" s="21" t="n">
        <x:v>13459</x:v>
      </x:c>
      <x:c r="P749" s="21" t="n">
        <x:f>ROUND(N749*K749,0)</x:f>
        <x:v>13459</x:v>
      </x:c>
      <x:c r="Q749" s="19" t="str">
        <x:v>否</x:v>
      </x:c>
      <x:c r="R749" s="19" t="str"/>
      <x:c r="S749" s="19" t="n">
        <x:f>IF(Q749="是",0,MIN(10,2+IF(C749="高",2,1)+IF(K749&gt;=3%,3,IF(K749&gt;=1%,2,1))+IF(L749="新出现",2,IF(M749&gt;=100%,3,IF(M749&gt;0,2,0)))))</x:f>
        <x:v>7</x:v>
      </x:c>
      <x:c r="T749" s="21"/>
      <x:c r="U749" s="20"/>
      <x:c r="V749" s="19" t="str">
        <x:v>http://remodevicocomposer.eu/</x:v>
      </x:c>
      <x:c r="W749" s="19" t="str">
        <x:v>https://pro.similarweb.com/#/digitalsuite/websiteanalysis/referrals/*/999/1m?webSource=Total&amp;selectedTab=incomingTraffic&amp;key=gumroad.com</x:v>
      </x:c>
      <x:c r="X749" s="20" t="n">
        <x:f>IF(Q749="是",0,IFERROR(P749/SUMIFS($P$2:$P$964,$A$2:$A$964,A749,$Q$2:$Q$964,"否"),0))</x:f>
        <x:v>0.010887846044449334</x:v>
      </x:c>
      <x:c r="Y749" s="22" t="str">
        <x:f>IF(OR(M749="",U749=""),"未交叉",IF(M749*U749&gt;0,"同向",IF(M749*U749&lt;0,"背离","一侧持平")))</x:f>
        <x:v>未交叉</x:v>
      </x:c>
    </x:row>
    <x:row r="750">
      <x:c r="A750" s="18" t="str">
        <x:v>gumroad.com</x:v>
      </x:c>
      <x:c r="B750" s="19" t="str">
        <x:v>支付商主域（混合流量）</x:v>
      </x:c>
      <x:c r="C750" s="19" t="str">
        <x:v>中</x:v>
      </x:c>
      <x:c r="D750" s="19" t="str">
        <x:v>Jul 2026</x:v>
      </x:c>
      <x:c r="E750" s="19" t="n">
        <x:v>25</x:v>
      </x:c>
      <x:c r="F750" s="19" t="str">
        <x:v>bestblackhatforum.com</x:v>
      </x:c>
      <x:c r="G750" s="19" t="str">
        <x:v>Computers Electronics and Technology</x:v>
      </x:c>
      <x:c r="H750" s="19" t="str">
        <x:v>通用数字产品与技术服务</x:v>
      </x:c>
      <x:c r="I750" s="19" t="str">
        <x:v>Similarweb 行业映射</x:v>
      </x:c>
      <x:c r="J750" s="19" t="n">
        <x:v>66482</x:v>
      </x:c>
      <x:c r="K750" s="20" t="n">
        <x:v>0.0063</x:v>
      </x:c>
      <x:c r="L750" s="19" t="str">
        <x:v>下降</x:v>
      </x:c>
      <x:c r="M750" s="20" t="n">
        <x:v>-0.1335</x:v>
      </x:c>
      <x:c r="N750" s="21" t="n">
        <x:v>2103000</x:v>
      </x:c>
      <x:c r="O750" s="21" t="n">
        <x:v>13249</x:v>
      </x:c>
      <x:c r="P750" s="21" t="n">
        <x:f>ROUND(N750*K750,0)</x:f>
        <x:v>13249</x:v>
      </x:c>
      <x:c r="Q750" s="19" t="str">
        <x:v>否</x:v>
      </x:c>
      <x:c r="R750" s="19" t="str"/>
      <x:c r="S750" s="19" t="n">
        <x:f>IF(Q750="是",0,MIN(10,2+IF(C750="高",2,1)+IF(K750&gt;=3%,3,IF(K750&gt;=1%,2,1))+IF(L750="新出现",2,IF(M750&gt;=100%,3,IF(M750&gt;0,2,0)))))</x:f>
        <x:v>4</x:v>
      </x:c>
      <x:c r="T750" s="21"/>
      <x:c r="U750" s="20"/>
      <x:c r="V750" s="19" t="str">
        <x:v>http://bestblackhatforum.com/</x:v>
      </x:c>
      <x:c r="W750" s="19" t="str">
        <x:v>https://pro.similarweb.com/#/digitalsuite/websiteanalysis/referrals/*/999/1m?webSource=Total&amp;selectedTab=incomingTraffic&amp;key=gumroad.com</x:v>
      </x:c>
      <x:c r="X750" s="20" t="n">
        <x:f>IF(Q750="是",0,IFERROR(P750/SUMIFS($P$2:$P$964,$A$2:$A$964,A750,$Q$2:$Q$964,"否"),0))</x:f>
        <x:v>0.010717963611182794</x:v>
      </x:c>
      <x:c r="Y750" s="22" t="str">
        <x:f>IF(OR(M750="",U750=""),"未交叉",IF(M750*U750&gt;0,"同向",IF(M750*U750&lt;0,"背离","一侧持平")))</x:f>
        <x:v>未交叉</x:v>
      </x:c>
    </x:row>
    <x:row r="751">
      <x:c r="A751" s="18" t="str">
        <x:v>gumroad.com</x:v>
      </x:c>
      <x:c r="B751" s="19" t="str">
        <x:v>支付商主域（混合流量）</x:v>
      </x:c>
      <x:c r="C751" s="19" t="str">
        <x:v>中</x:v>
      </x:c>
      <x:c r="D751" s="19" t="str">
        <x:v>Jul 2026</x:v>
      </x:c>
      <x:c r="E751" s="19" t="n">
        <x:v>26</x:v>
      </x:c>
      <x:c r="F751" s="19" t="str">
        <x:v>mockupworld.co</x:v>
      </x:c>
      <x:c r="G751" s="19" t="str">
        <x:v>Graphics Multimedia and Web Design</x:v>
      </x:c>
      <x:c r="H751" s="19" t="str">
        <x:v>创作、设计与多媒体工具</x:v>
      </x:c>
      <x:c r="I751" s="19" t="str">
        <x:v>Similarweb 行业映射</x:v>
      </x:c>
      <x:c r="J751" s="19" t="n">
        <x:v>62171</x:v>
      </x:c>
      <x:c r="K751" s="20" t="n">
        <x:v>0.0060999999999999995</x:v>
      </x:c>
      <x:c r="L751" s="19" t="str">
        <x:v>下降</x:v>
      </x:c>
      <x:c r="M751" s="20" t="n">
        <x:v>-0.46909999999999996</x:v>
      </x:c>
      <x:c r="N751" s="21" t="n">
        <x:v>2103000</x:v>
      </x:c>
      <x:c r="O751" s="21" t="n">
        <x:v>12828</x:v>
      </x:c>
      <x:c r="P751" s="21" t="n">
        <x:f>ROUND(N751*K751,0)</x:f>
        <x:v>12828</x:v>
      </x:c>
      <x:c r="Q751" s="19" t="str">
        <x:v>否</x:v>
      </x:c>
      <x:c r="R751" s="19" t="str"/>
      <x:c r="S751" s="19" t="n">
        <x:f>IF(Q751="是",0,MIN(10,2+IF(C751="高",2,1)+IF(K751&gt;=3%,3,IF(K751&gt;=1%,2,1))+IF(L751="新出现",2,IF(M751&gt;=100%,3,IF(M751&gt;0,2,0)))))</x:f>
        <x:v>4</x:v>
      </x:c>
      <x:c r="T751" s="21"/>
      <x:c r="U751" s="20"/>
      <x:c r="V751" s="19" t="str">
        <x:v>http://mockupworld.co/</x:v>
      </x:c>
      <x:c r="W751" s="19" t="str">
        <x:v>https://pro.similarweb.com/#/digitalsuite/websiteanalysis/referrals/*/999/1m?webSource=Total&amp;selectedTab=incomingTraffic&amp;key=gumroad.com</x:v>
      </x:c>
      <x:c r="X751" s="20" t="n">
        <x:f>IF(Q751="是",0,IFERROR(P751/SUMIFS($P$2:$P$964,$A$2:$A$964,A751,$Q$2:$Q$964,"否"),0))</x:f>
        <x:v>0.010377389780681779</x:v>
      </x:c>
      <x:c r="Y751" s="22" t="str">
        <x:f>IF(OR(M751="",U751=""),"未交叉",IF(M751*U751&gt;0,"同向",IF(M751*U751&lt;0,"背离","一侧持平")))</x:f>
        <x:v>未交叉</x:v>
      </x:c>
    </x:row>
    <x:row r="752">
      <x:c r="A752" s="18" t="str">
        <x:v>gumroad.com</x:v>
      </x:c>
      <x:c r="B752" s="19" t="str">
        <x:v>支付商主域（混合流量）</x:v>
      </x:c>
      <x:c r="C752" s="19" t="str">
        <x:v>中</x:v>
      </x:c>
      <x:c r="D752" s="19" t="str">
        <x:v>Jul 2026</x:v>
      </x:c>
      <x:c r="E752" s="19" t="n">
        <x:v>27</x:v>
      </x:c>
      <x:c r="F752" s="19" t="str">
        <x:v>planetminecraft.com</x:v>
      </x:c>
      <x:c r="G752" s="19" t="str">
        <x:v>Video Games Consoles and Accessories</x:v>
      </x:c>
      <x:c r="H752" s="19" t="str">
        <x:v>游戏、数字商品与虚拟内容</x:v>
      </x:c>
      <x:c r="I752" s="19" t="str">
        <x:v>Similarweb 行业映射</x:v>
      </x:c>
      <x:c r="J752" s="19" t="n">
        <x:v>4567</x:v>
      </x:c>
      <x:c r="K752" s="20" t="n">
        <x:v>0.006</x:v>
      </x:c>
      <x:c r="L752" s="19" t="str">
        <x:v>下降</x:v>
      </x:c>
      <x:c r="M752" s="20" t="n">
        <x:v>-0.2904</x:v>
      </x:c>
      <x:c r="N752" s="21" t="n">
        <x:v>2103000</x:v>
      </x:c>
      <x:c r="O752" s="21" t="n">
        <x:v>12618</x:v>
      </x:c>
      <x:c r="P752" s="21" t="n">
        <x:f>ROUND(N752*K752,0)</x:f>
        <x:v>12618</x:v>
      </x:c>
      <x:c r="Q752" s="19" t="str">
        <x:v>否</x:v>
      </x:c>
      <x:c r="R752" s="19" t="str"/>
      <x:c r="S752" s="19" t="n">
        <x:f>IF(Q752="是",0,MIN(10,2+IF(C752="高",2,1)+IF(K752&gt;=3%,3,IF(K752&gt;=1%,2,1))+IF(L752="新出现",2,IF(M752&gt;=100%,3,IF(M752&gt;0,2,0)))))</x:f>
        <x:v>4</x:v>
      </x:c>
      <x:c r="T752" s="21"/>
      <x:c r="U752" s="20"/>
      <x:c r="V752" s="19" t="str">
        <x:v>http://planetminecraft.com/</x:v>
      </x:c>
      <x:c r="W752" s="19" t="str">
        <x:v>https://pro.similarweb.com/#/digitalsuite/websiteanalysis/referrals/*/999/1m?webSource=Total&amp;selectedTab=incomingTraffic&amp;key=gumroad.com</x:v>
      </x:c>
      <x:c r="X752" s="20" t="n">
        <x:f>IF(Q752="是",0,IFERROR(P752/SUMIFS($P$2:$P$964,$A$2:$A$964,A752,$Q$2:$Q$964,"否"),0))</x:f>
        <x:v>0.010207507347415238</x:v>
      </x:c>
      <x:c r="Y752" s="22" t="str">
        <x:f>IF(OR(M752="",U752=""),"未交叉",IF(M752*U752&gt;0,"同向",IF(M752*U752&lt;0,"背离","一侧持平")))</x:f>
        <x:v>未交叉</x:v>
      </x:c>
    </x:row>
    <x:row r="753">
      <x:c r="A753" s="18" t="str">
        <x:v>gumroad.com</x:v>
      </x:c>
      <x:c r="B753" s="19" t="str">
        <x:v>支付商主域（混合流量）</x:v>
      </x:c>
      <x:c r="C753" s="19" t="str">
        <x:v>中</x:v>
      </x:c>
      <x:c r="D753" s="19" t="str">
        <x:v>Jul 2026</x:v>
      </x:c>
      <x:c r="E753" s="19" t="n">
        <x:v>28</x:v>
      </x:c>
      <x:c r="F753" s="19" t="str">
        <x:v>electroniksoundlab.com</x:v>
      </x:c>
      <x:c r="G753" s="19" t="str">
        <x:v>Music</x:v>
      </x:c>
      <x:c r="H753" s="19" t="str">
        <x:v>创作、设计与多媒体工具</x:v>
      </x:c>
      <x:c r="I753" s="19" t="str">
        <x:v>Similarweb 行业映射</x:v>
      </x:c>
      <x:c r="J753" s="19" t="n">
        <x:v>939520</x:v>
      </x:c>
      <x:c r="K753" s="20" t="n">
        <x:v>0.0058</x:v>
      </x:c>
      <x:c r="L753" s="19" t="str">
        <x:v>上升</x:v>
      </x:c>
      <x:c r="M753" s="20" t="n">
        <x:v>0.6033</x:v>
      </x:c>
      <x:c r="N753" s="21" t="n">
        <x:v>2103000</x:v>
      </x:c>
      <x:c r="O753" s="21" t="n">
        <x:v>12197</x:v>
      </x:c>
      <x:c r="P753" s="21" t="n">
        <x:f>ROUND(N753*K753,0)</x:f>
        <x:v>12197</x:v>
      </x:c>
      <x:c r="Q753" s="19" t="str">
        <x:v>否</x:v>
      </x:c>
      <x:c r="R753" s="19" t="str"/>
      <x:c r="S753" s="19" t="n">
        <x:f>IF(Q753="是",0,MIN(10,2+IF(C753="高",2,1)+IF(K753&gt;=3%,3,IF(K753&gt;=1%,2,1))+IF(L753="新出现",2,IF(M753&gt;=100%,3,IF(M753&gt;0,2,0)))))</x:f>
        <x:v>6</x:v>
      </x:c>
      <x:c r="T753" s="21"/>
      <x:c r="U753" s="20"/>
      <x:c r="V753" s="19" t="str">
        <x:v>http://electroniksoundlab.com/</x:v>
      </x:c>
      <x:c r="W753" s="19" t="str">
        <x:v>https://pro.similarweb.com/#/digitalsuite/websiteanalysis/referrals/*/999/1m?webSource=Total&amp;selectedTab=incomingTraffic&amp;key=gumroad.com</x:v>
      </x:c>
      <x:c r="X753" s="20" t="n">
        <x:f>IF(Q753="是",0,IFERROR(P753/SUMIFS($P$2:$P$964,$A$2:$A$964,A753,$Q$2:$Q$964,"否"),0))</x:f>
        <x:v>0.009866933516914223</x:v>
      </x:c>
      <x:c r="Y753" s="22" t="str">
        <x:f>IF(OR(M753="",U753=""),"未交叉",IF(M753*U753&gt;0,"同向",IF(M753*U753&lt;0,"背离","一侧持平")))</x:f>
        <x:v>未交叉</x:v>
      </x:c>
    </x:row>
    <x:row r="754">
      <x:c r="A754" s="18" t="str">
        <x:v>gumroad.com</x:v>
      </x:c>
      <x:c r="B754" s="19" t="str">
        <x:v>支付商主域（混合流量）</x:v>
      </x:c>
      <x:c r="C754" s="19" t="str">
        <x:v>中</x:v>
      </x:c>
      <x:c r="D754" s="19" t="str">
        <x:v>Jul 2026</x:v>
      </x:c>
      <x:c r="E754" s="19" t="n">
        <x:v>29</x:v>
      </x:c>
      <x:c r="F754" s="19" t="str">
        <x:v>kvraudio.com</x:v>
      </x:c>
      <x:c r="G754" s="19" t="str">
        <x:v>Graphics Multimedia and Web Design</x:v>
      </x:c>
      <x:c r="H754" s="19" t="str">
        <x:v>创作、设计与多媒体工具</x:v>
      </x:c>
      <x:c r="I754" s="19" t="str">
        <x:v>Similarweb 行业映射</x:v>
      </x:c>
      <x:c r="J754" s="19" t="n">
        <x:v>42047</x:v>
      </x:c>
      <x:c r="K754" s="20" t="n">
        <x:v>0.0054</x:v>
      </x:c>
      <x:c r="L754" s="19" t="str">
        <x:v>上升</x:v>
      </x:c>
      <x:c r="M754" s="20" t="n">
        <x:v>0.2163</x:v>
      </x:c>
      <x:c r="N754" s="21" t="n">
        <x:v>2103000</x:v>
      </x:c>
      <x:c r="O754" s="21" t="n">
        <x:v>11356</x:v>
      </x:c>
      <x:c r="P754" s="21" t="n">
        <x:f>ROUND(N754*K754,0)</x:f>
        <x:v>11356</x:v>
      </x:c>
      <x:c r="Q754" s="19" t="str">
        <x:v>否</x:v>
      </x:c>
      <x:c r="R754" s="19" t="str"/>
      <x:c r="S754" s="19" t="n">
        <x:f>IF(Q754="是",0,MIN(10,2+IF(C754="高",2,1)+IF(K754&gt;=3%,3,IF(K754&gt;=1%,2,1))+IF(L754="新出现",2,IF(M754&gt;=100%,3,IF(M754&gt;0,2,0)))))</x:f>
        <x:v>6</x:v>
      </x:c>
      <x:c r="T754" s="21"/>
      <x:c r="U754" s="20"/>
      <x:c r="V754" s="19" t="str">
        <x:v>http://kvraudio.com/</x:v>
      </x:c>
      <x:c r="W754" s="19" t="str">
        <x:v>https://pro.similarweb.com/#/digitalsuite/websiteanalysis/referrals/*/999/1m?webSource=Total&amp;selectedTab=incomingTraffic&amp;key=gumroad.com</x:v>
      </x:c>
      <x:c r="X754" s="20" t="n">
        <x:f>IF(Q754="是",0,IFERROR(P754/SUMIFS($P$2:$P$964,$A$2:$A$964,A754,$Q$2:$Q$964,"否"),0))</x:f>
        <x:v>0.009186594819880128</x:v>
      </x:c>
      <x:c r="Y754" s="22" t="str">
        <x:f>IF(OR(M754="",U754=""),"未交叉",IF(M754*U754&gt;0,"同向",IF(M754*U754&lt;0,"背离","一侧持平")))</x:f>
        <x:v>未交叉</x:v>
      </x:c>
    </x:row>
    <x:row r="755">
      <x:c r="A755" s="18" t="str">
        <x:v>gumroad.com</x:v>
      </x:c>
      <x:c r="B755" s="19" t="str">
        <x:v>支付商主域（混合流量）</x:v>
      </x:c>
      <x:c r="C755" s="19" t="str">
        <x:v>中</x:v>
      </x:c>
      <x:c r="D755" s="19" t="str">
        <x:v>Jul 2026</x:v>
      </x:c>
      <x:c r="E755" s="19" t="n">
        <x:v>30</x:v>
      </x:c>
      <x:c r="F755" s="19" t="str">
        <x:v>simpcity.cr</x:v>
      </x:c>
      <x:c r="G755" s="19" t="str">
        <x:v>Adult</x:v>
      </x:c>
      <x:c r="H755" s="19" t="str">
        <x:v>其他/待核查</x:v>
      </x:c>
      <x:c r="I755" s="19" t="str">
        <x:v>保守归类</x:v>
      </x:c>
      <x:c r="J755" s="19" t="n">
        <x:v>134</x:v>
      </x:c>
      <x:c r="K755" s="20" t="n">
        <x:v>0.0054</x:v>
      </x:c>
      <x:c r="L755" s="19" t="str">
        <x:v>下降</x:v>
      </x:c>
      <x:c r="M755" s="20" t="n">
        <x:v>-0.1973</x:v>
      </x:c>
      <x:c r="N755" s="21" t="n">
        <x:v>2103000</x:v>
      </x:c>
      <x:c r="O755" s="21" t="n">
        <x:v>11356</x:v>
      </x:c>
      <x:c r="P755" s="21" t="n">
        <x:f>ROUND(N755*K755,0)</x:f>
        <x:v>11356</x:v>
      </x:c>
      <x:c r="Q755" s="19" t="str">
        <x:v>否</x:v>
      </x:c>
      <x:c r="R755" s="19" t="str"/>
      <x:c r="S755" s="19" t="n">
        <x:f>IF(Q755="是",0,MIN(10,2+IF(C755="高",2,1)+IF(K755&gt;=3%,3,IF(K755&gt;=1%,2,1))+IF(L755="新出现",2,IF(M755&gt;=100%,3,IF(M755&gt;0,2,0)))))</x:f>
        <x:v>4</x:v>
      </x:c>
      <x:c r="T755" s="21"/>
      <x:c r="U755" s="20"/>
      <x:c r="V755" s="19" t="str">
        <x:v>http://simpcity.cr/</x:v>
      </x:c>
      <x:c r="W755" s="19" t="str">
        <x:v>https://pro.similarweb.com/#/digitalsuite/websiteanalysis/referrals/*/999/1m?webSource=Total&amp;selectedTab=incomingTraffic&amp;key=gumroad.com</x:v>
      </x:c>
      <x:c r="X755" s="20" t="n">
        <x:f>IF(Q755="是",0,IFERROR(P755/SUMIFS($P$2:$P$964,$A$2:$A$964,A755,$Q$2:$Q$964,"否"),0))</x:f>
        <x:v>0.009186594819880128</x:v>
      </x:c>
      <x:c r="Y755" s="22" t="str">
        <x:f>IF(OR(M755="",U755=""),"未交叉",IF(M755*U755&gt;0,"同向",IF(M755*U755&lt;0,"背离","一侧持平")))</x:f>
        <x:v>未交叉</x:v>
      </x:c>
    </x:row>
    <x:row r="756">
      <x:c r="A756" s="18" t="str">
        <x:v>gumroad.com</x:v>
      </x:c>
      <x:c r="B756" s="19" t="str">
        <x:v>支付商主域（混合流量）</x:v>
      </x:c>
      <x:c r="C756" s="19" t="str">
        <x:v>中</x:v>
      </x:c>
      <x:c r="D756" s="19" t="str">
        <x:v>Jul 2026</x:v>
      </x:c>
      <x:c r="E756" s="19" t="n">
        <x:v>31</x:v>
      </x:c>
      <x:c r="F756" s="19" t="str">
        <x:v>linktr.ee</x:v>
      </x:c>
      <x:c r="G756" s="19" t="str">
        <x:v>Online Marketing</x:v>
      </x:c>
      <x:c r="H756" s="19" t="str">
        <x:v>营销、生产力与商业服务</x:v>
      </x:c>
      <x:c r="I756" s="19" t="str">
        <x:v>Similarweb 行业映射</x:v>
      </x:c>
      <x:c r="J756" s="19" t="n">
        <x:v>257</x:v>
      </x:c>
      <x:c r="K756" s="20" t="n">
        <x:v>0.005</x:v>
      </x:c>
      <x:c r="L756" s="19" t="str">
        <x:v>上升</x:v>
      </x:c>
      <x:c r="M756" s="20" t="n">
        <x:v>0.4117</x:v>
      </x:c>
      <x:c r="N756" s="21" t="n">
        <x:v>2103000</x:v>
      </x:c>
      <x:c r="O756" s="21" t="n">
        <x:v>10515</x:v>
      </x:c>
      <x:c r="P756" s="21" t="n">
        <x:f>ROUND(N756*K756,0)</x:f>
        <x:v>10515</x:v>
      </x:c>
      <x:c r="Q756" s="19" t="str">
        <x:v>否</x:v>
      </x:c>
      <x:c r="R756" s="19" t="str"/>
      <x:c r="S756" s="19" t="n">
        <x:f>IF(Q756="是",0,MIN(10,2+IF(C756="高",2,1)+IF(K756&gt;=3%,3,IF(K756&gt;=1%,2,1))+IF(L756="新出现",2,IF(M756&gt;=100%,3,IF(M756&gt;0,2,0)))))</x:f>
        <x:v>6</x:v>
      </x:c>
      <x:c r="T756" s="21"/>
      <x:c r="U756" s="20"/>
      <x:c r="V756" s="19" t="str">
        <x:v>http://linktr.ee/</x:v>
      </x:c>
      <x:c r="W756" s="19" t="str">
        <x:v>https://pro.similarweb.com/#/digitalsuite/websiteanalysis/referrals/*/999/1m?webSource=Total&amp;selectedTab=incomingTraffic&amp;key=gumroad.com</x:v>
      </x:c>
      <x:c r="X756" s="20" t="n">
        <x:f>IF(Q756="是",0,IFERROR(P756/SUMIFS($P$2:$P$964,$A$2:$A$964,A756,$Q$2:$Q$964,"否"),0))</x:f>
        <x:v>0.008506256122846032</x:v>
      </x:c>
      <x:c r="Y756" s="22" t="str">
        <x:f>IF(OR(M756="",U756=""),"未交叉",IF(M756*U756&gt;0,"同向",IF(M756*U756&lt;0,"背离","一侧持平")))</x:f>
        <x:v>未交叉</x:v>
      </x:c>
    </x:row>
    <x:row r="757">
      <x:c r="A757" s="18" t="str">
        <x:v>gumroad.com</x:v>
      </x:c>
      <x:c r="B757" s="19" t="str">
        <x:v>支付商主域（混合流量）</x:v>
      </x:c>
      <x:c r="C757" s="19" t="str">
        <x:v>中</x:v>
      </x:c>
      <x:c r="D757" s="19" t="str">
        <x:v>Jul 2026</x:v>
      </x:c>
      <x:c r="E757" s="19" t="n">
        <x:v>32</x:v>
      </x:c>
      <x:c r="F757" s="19" t="str">
        <x:v>rekonise.com</x:v>
      </x:c>
      <x:c r="G757" s="19" t="str">
        <x:v>Video Games Consoles and Accessories</x:v>
      </x:c>
      <x:c r="H757" s="19" t="str">
        <x:v>游戏、数字商品与虚拟内容</x:v>
      </x:c>
      <x:c r="I757" s="19" t="str">
        <x:v>Similarweb 行业映射</x:v>
      </x:c>
      <x:c r="J757" s="19" t="n">
        <x:v>19870</x:v>
      </x:c>
      <x:c r="K757" s="20" t="n">
        <x:v>0.0049</x:v>
      </x:c>
      <x:c r="L757" s="19" t="str">
        <x:v>上升</x:v>
      </x:c>
      <x:c r="M757" s="20" t="n">
        <x:v>0.1333</x:v>
      </x:c>
      <x:c r="N757" s="21" t="n">
        <x:v>2103000</x:v>
      </x:c>
      <x:c r="O757" s="21" t="n">
        <x:v>10305</x:v>
      </x:c>
      <x:c r="P757" s="21" t="n">
        <x:f>ROUND(N757*K757,0)</x:f>
        <x:v>10305</x:v>
      </x:c>
      <x:c r="Q757" s="19" t="str">
        <x:v>否</x:v>
      </x:c>
      <x:c r="R757" s="19" t="str"/>
      <x:c r="S757" s="19" t="n">
        <x:f>IF(Q757="是",0,MIN(10,2+IF(C757="高",2,1)+IF(K757&gt;=3%,3,IF(K757&gt;=1%,2,1))+IF(L757="新出现",2,IF(M757&gt;=100%,3,IF(M757&gt;0,2,0)))))</x:f>
        <x:v>6</x:v>
      </x:c>
      <x:c r="T757" s="21"/>
      <x:c r="U757" s="20"/>
      <x:c r="V757" s="19" t="str">
        <x:v>http://rekonise.com/</x:v>
      </x:c>
      <x:c r="W757" s="19" t="str">
        <x:v>https://pro.similarweb.com/#/digitalsuite/websiteanalysis/referrals/*/999/1m?webSource=Total&amp;selectedTab=incomingTraffic&amp;key=gumroad.com</x:v>
      </x:c>
      <x:c r="X757" s="20" t="n">
        <x:f>IF(Q757="是",0,IFERROR(P757/SUMIFS($P$2:$P$964,$A$2:$A$964,A757,$Q$2:$Q$964,"否"),0))</x:f>
        <x:v>0.008336373689579492</x:v>
      </x:c>
      <x:c r="Y757" s="22" t="str">
        <x:f>IF(OR(M757="",U757=""),"未交叉",IF(M757*U757&gt;0,"同向",IF(M757*U757&lt;0,"背离","一侧持平")))</x:f>
        <x:v>未交叉</x:v>
      </x:c>
    </x:row>
    <x:row r="758">
      <x:c r="A758" s="18" t="str">
        <x:v>gumroad.com</x:v>
      </x:c>
      <x:c r="B758" s="19" t="str">
        <x:v>支付商主域（混合流量）</x:v>
      </x:c>
      <x:c r="C758" s="19" t="str">
        <x:v>中</x:v>
      </x:c>
      <x:c r="D758" s="19" t="str">
        <x:v>Jul 2026</x:v>
      </x:c>
      <x:c r="E758" s="19" t="n">
        <x:v>33</x:v>
      </x:c>
      <x:c r="F758" s="19" t="str">
        <x:v>allmylinks.com</x:v>
      </x:c>
      <x:c r="G758" s="19" t="str">
        <x:v>Adult</x:v>
      </x:c>
      <x:c r="H758" s="19" t="str">
        <x:v>其他/待核查</x:v>
      </x:c>
      <x:c r="I758" s="19" t="str">
        <x:v>保守归类</x:v>
      </x:c>
      <x:c r="J758" s="19" t="n">
        <x:v>3205</x:v>
      </x:c>
      <x:c r="K758" s="20" t="n">
        <x:v>0.0046</x:v>
      </x:c>
      <x:c r="L758" s="19" t="str">
        <x:v>下降</x:v>
      </x:c>
      <x:c r="M758" s="20" t="n">
        <x:v>-0.0969</x:v>
      </x:c>
      <x:c r="N758" s="21" t="n">
        <x:v>2103000</x:v>
      </x:c>
      <x:c r="O758" s="21" t="n">
        <x:v>9674</x:v>
      </x:c>
      <x:c r="P758" s="21" t="n">
        <x:f>ROUND(N758*K758,0)</x:f>
        <x:v>9674</x:v>
      </x:c>
      <x:c r="Q758" s="19" t="str">
        <x:v>否</x:v>
      </x:c>
      <x:c r="R758" s="19" t="str"/>
      <x:c r="S758" s="19" t="n">
        <x:f>IF(Q758="是",0,MIN(10,2+IF(C758="高",2,1)+IF(K758&gt;=3%,3,IF(K758&gt;=1%,2,1))+IF(L758="新出现",2,IF(M758&gt;=100%,3,IF(M758&gt;0,2,0)))))</x:f>
        <x:v>4</x:v>
      </x:c>
      <x:c r="T758" s="21"/>
      <x:c r="U758" s="20"/>
      <x:c r="V758" s="19" t="str">
        <x:v>http://allmylinks.com/</x:v>
      </x:c>
      <x:c r="W758" s="19" t="str">
        <x:v>https://pro.similarweb.com/#/digitalsuite/websiteanalysis/referrals/*/999/1m?webSource=Total&amp;selectedTab=incomingTraffic&amp;key=gumroad.com</x:v>
      </x:c>
      <x:c r="X758" s="20" t="n">
        <x:f>IF(Q758="是",0,IFERROR(P758/SUMIFS($P$2:$P$964,$A$2:$A$964,A758,$Q$2:$Q$964,"否"),0))</x:f>
        <x:v>0.007825917425811938</x:v>
      </x:c>
      <x:c r="Y758" s="22" t="str">
        <x:f>IF(OR(M758="",U758=""),"未交叉",IF(M758*U758&gt;0,"同向",IF(M758*U758&lt;0,"背离","一侧持平")))</x:f>
        <x:v>未交叉</x:v>
      </x:c>
    </x:row>
    <x:row r="759">
      <x:c r="A759" s="18" t="str">
        <x:v>gumroad.com</x:v>
      </x:c>
      <x:c r="B759" s="19" t="str">
        <x:v>支付商主域（混合流量）</x:v>
      </x:c>
      <x:c r="C759" s="19" t="str">
        <x:v>中</x:v>
      </x:c>
      <x:c r="D759" s="19" t="str">
        <x:v>Jul 2026</x:v>
      </x:c>
      <x:c r="E759" s="19" t="n">
        <x:v>34</x:v>
      </x:c>
      <x:c r="F759" s="19" t="str">
        <x:v>shop.umoupen.app</x:v>
      </x:c>
      <x:c r="G759" s="19" t="str">
        <x:v>Unknown</x:v>
      </x:c>
      <x:c r="H759" s="19" t="str">
        <x:v>其他/待核查</x:v>
      </x:c>
      <x:c r="I759" s="19" t="str">
        <x:v>Similarweb 未分类</x:v>
      </x:c>
      <x:c r="J759" s="19" t="n">
        <x:v>1055653</x:v>
      </x:c>
      <x:c r="K759" s="20" t="n">
        <x:v>0.0045000000000000005</x:v>
      </x:c>
      <x:c r="L759" s="19" t="str">
        <x:v>上升</x:v>
      </x:c>
      <x:c r="M759" s="20" t="n">
        <x:v>50</x:v>
      </x:c>
      <x:c r="N759" s="21" t="n">
        <x:v>2103000</x:v>
      </x:c>
      <x:c r="O759" s="21" t="n">
        <x:v>9464</x:v>
      </x:c>
      <x:c r="P759" s="21" t="n">
        <x:f>ROUND(N759*K759,0)</x:f>
        <x:v>9464</x:v>
      </x:c>
      <x:c r="Q759" s="19" t="str">
        <x:v>否</x:v>
      </x:c>
      <x:c r="R759" s="19" t="str"/>
      <x:c r="S759" s="19" t="n">
        <x:f>IF(Q759="是",0,MIN(10,2+IF(C759="高",2,1)+IF(K759&gt;=3%,3,IF(K759&gt;=1%,2,1))+IF(L759="新出现",2,IF(M759&gt;=100%,3,IF(M759&gt;0,2,0)))))</x:f>
        <x:v>7</x:v>
      </x:c>
      <x:c r="T759" s="21"/>
      <x:c r="U759" s="20"/>
      <x:c r="V759" s="19" t="str">
        <x:v>http://shop.umoupen.app/</x:v>
      </x:c>
      <x:c r="W759" s="19" t="str">
        <x:v>https://pro.similarweb.com/#/digitalsuite/websiteanalysis/referrals/*/999/1m?webSource=Total&amp;selectedTab=incomingTraffic&amp;key=gumroad.com</x:v>
      </x:c>
      <x:c r="X759" s="20" t="n">
        <x:f>IF(Q759="是",0,IFERROR(P759/SUMIFS($P$2:$P$964,$A$2:$A$964,A759,$Q$2:$Q$964,"否"),0))</x:f>
        <x:v>0.007656034992545397</x:v>
      </x:c>
      <x:c r="Y759" s="22" t="str">
        <x:f>IF(OR(M759="",U759=""),"未交叉",IF(M759*U759&gt;0,"同向",IF(M759*U759&lt;0,"背离","一侧持平")))</x:f>
        <x:v>未交叉</x:v>
      </x:c>
    </x:row>
    <x:row r="760">
      <x:c r="A760" s="18" t="str">
        <x:v>gumroad.com</x:v>
      </x:c>
      <x:c r="B760" s="19" t="str">
        <x:v>支付商主域（混合流量）</x:v>
      </x:c>
      <x:c r="C760" s="19" t="str">
        <x:v>中</x:v>
      </x:c>
      <x:c r="D760" s="19" t="str">
        <x:v>Jul 2026</x:v>
      </x:c>
      <x:c r="E760" s="19" t="n">
        <x:v>35</x:v>
      </x:c>
      <x:c r="F760" s="19" t="str">
        <x:v>xivmodarchive.com</x:v>
      </x:c>
      <x:c r="G760" s="19" t="str">
        <x:v>Video Games Consoles and Accessories</x:v>
      </x:c>
      <x:c r="H760" s="19" t="str">
        <x:v>游戏、数字商品与虚拟内容</x:v>
      </x:c>
      <x:c r="I760" s="19" t="str">
        <x:v>Similarweb 行业映射</x:v>
      </x:c>
      <x:c r="J760" s="19" t="n">
        <x:v>16914</x:v>
      </x:c>
      <x:c r="K760" s="20" t="n">
        <x:v>0.0044</x:v>
      </x:c>
      <x:c r="L760" s="19" t="str">
        <x:v>下降</x:v>
      </x:c>
      <x:c r="M760" s="20" t="n">
        <x:v>-0.2706</x:v>
      </x:c>
      <x:c r="N760" s="21" t="n">
        <x:v>2103000</x:v>
      </x:c>
      <x:c r="O760" s="21" t="n">
        <x:v>9253</x:v>
      </x:c>
      <x:c r="P760" s="21" t="n">
        <x:f>ROUND(N760*K760,0)</x:f>
        <x:v>9253</x:v>
      </x:c>
      <x:c r="Q760" s="19" t="str">
        <x:v>否</x:v>
      </x:c>
      <x:c r="R760" s="19" t="str"/>
      <x:c r="S760" s="19" t="n">
        <x:f>IF(Q760="是",0,MIN(10,2+IF(C760="高",2,1)+IF(K760&gt;=3%,3,IF(K760&gt;=1%,2,1))+IF(L760="新出现",2,IF(M760&gt;=100%,3,IF(M760&gt;0,2,0)))))</x:f>
        <x:v>4</x:v>
      </x:c>
      <x:c r="T760" s="21"/>
      <x:c r="U760" s="20"/>
      <x:c r="V760" s="19" t="str">
        <x:v>http://xivmodarchive.com/</x:v>
      </x:c>
      <x:c r="W760" s="19" t="str">
        <x:v>https://pro.similarweb.com/#/digitalsuite/websiteanalysis/referrals/*/999/1m?webSource=Total&amp;selectedTab=incomingTraffic&amp;key=gumroad.com</x:v>
      </x:c>
      <x:c r="X760" s="20" t="n">
        <x:f>IF(Q760="是",0,IFERROR(P760/SUMIFS($P$2:$P$964,$A$2:$A$964,A760,$Q$2:$Q$964,"否"),0))</x:f>
        <x:v>0.007485343595310921</x:v>
      </x:c>
      <x:c r="Y760" s="22" t="str">
        <x:f>IF(OR(M760="",U760=""),"未交叉",IF(M760*U760&gt;0,"同向",IF(M760*U760&lt;0,"背离","一侧持平")))</x:f>
        <x:v>未交叉</x:v>
      </x:c>
    </x:row>
    <x:row r="761">
      <x:c r="A761" s="18" t="str">
        <x:v>gumroad.com</x:v>
      </x:c>
      <x:c r="B761" s="19" t="str">
        <x:v>支付商主域（混合流量）</x:v>
      </x:c>
      <x:c r="C761" s="19" t="str">
        <x:v>中</x:v>
      </x:c>
      <x:c r="D761" s="19" t="str">
        <x:v>Jul 2026</x:v>
      </x:c>
      <x:c r="E761" s="19" t="n">
        <x:v>36</x:v>
      </x:c>
      <x:c r="F761" s="19" t="str">
        <x:v>beamng.com</x:v>
      </x:c>
      <x:c r="G761" s="19" t="str">
        <x:v>Video Games Consoles and Accessories</x:v>
      </x:c>
      <x:c r="H761" s="19" t="str">
        <x:v>游戏、数字商品与虚拟内容</x:v>
      </x:c>
      <x:c r="I761" s="19" t="str">
        <x:v>Similarweb 行业映射</x:v>
      </x:c>
      <x:c r="J761" s="19" t="n">
        <x:v>13012</x:v>
      </x:c>
      <x:c r="K761" s="20" t="n">
        <x:v>0.0043</x:v>
      </x:c>
      <x:c r="L761" s="19" t="str">
        <x:v>下降</x:v>
      </x:c>
      <x:c r="M761" s="20" t="n">
        <x:v>-0.2541</x:v>
      </x:c>
      <x:c r="N761" s="21" t="n">
        <x:v>2103000</x:v>
      </x:c>
      <x:c r="O761" s="21" t="n">
        <x:v>9043</x:v>
      </x:c>
      <x:c r="P761" s="21" t="n">
        <x:f>ROUND(N761*K761,0)</x:f>
        <x:v>9043</x:v>
      </x:c>
      <x:c r="Q761" s="19" t="str">
        <x:v>否</x:v>
      </x:c>
      <x:c r="R761" s="19" t="str"/>
      <x:c r="S761" s="19" t="n">
        <x:f>IF(Q761="是",0,MIN(10,2+IF(C761="高",2,1)+IF(K761&gt;=3%,3,IF(K761&gt;=1%,2,1))+IF(L761="新出现",2,IF(M761&gt;=100%,3,IF(M761&gt;0,2,0)))))</x:f>
        <x:v>4</x:v>
      </x:c>
      <x:c r="T761" s="21"/>
      <x:c r="U761" s="20"/>
      <x:c r="V761" s="19" t="str">
        <x:v>http://beamng.com/</x:v>
      </x:c>
      <x:c r="W761" s="19" t="str">
        <x:v>https://pro.similarweb.com/#/digitalsuite/websiteanalysis/referrals/*/999/1m?webSource=Total&amp;selectedTab=incomingTraffic&amp;key=gumroad.com</x:v>
      </x:c>
      <x:c r="X761" s="20" t="n">
        <x:f>IF(Q761="是",0,IFERROR(P761/SUMIFS($P$2:$P$964,$A$2:$A$964,A761,$Q$2:$Q$964,"否"),0))</x:f>
        <x:v>0.007315461162044381</x:v>
      </x:c>
      <x:c r="Y761" s="22" t="str">
        <x:f>IF(OR(M761="",U761=""),"未交叉",IF(M761*U761&gt;0,"同向",IF(M761*U761&lt;0,"背离","一侧持平")))</x:f>
        <x:v>未交叉</x:v>
      </x:c>
    </x:row>
    <x:row r="762">
      <x:c r="A762" s="18" t="str">
        <x:v>gumroad.com</x:v>
      </x:c>
      <x:c r="B762" s="19" t="str">
        <x:v>支付商主域（混合流量）</x:v>
      </x:c>
      <x:c r="C762" s="19" t="str">
        <x:v>中</x:v>
      </x:c>
      <x:c r="D762" s="19" t="str">
        <x:v>Jul 2026</x:v>
      </x:c>
      <x:c r="E762" s="19" t="n">
        <x:v>37</x:v>
      </x:c>
      <x:c r="F762" s="19" t="str">
        <x:v>modland.net</x:v>
      </x:c>
      <x:c r="G762" s="19" t="str">
        <x:v>Video Games Consoles and Accessories</x:v>
      </x:c>
      <x:c r="H762" s="19" t="str">
        <x:v>游戏、数字商品与虚拟内容</x:v>
      </x:c>
      <x:c r="I762" s="19" t="str">
        <x:v>Similarweb 行业映射</x:v>
      </x:c>
      <x:c r="J762" s="19" t="n">
        <x:v>6860</x:v>
      </x:c>
      <x:c r="K762" s="20" t="n">
        <x:v>0.0040999999999999995</x:v>
      </x:c>
      <x:c r="L762" s="19" t="str">
        <x:v>上升</x:v>
      </x:c>
      <x:c r="M762" s="20" t="n">
        <x:v>3.1179</x:v>
      </x:c>
      <x:c r="N762" s="21" t="n">
        <x:v>2103000</x:v>
      </x:c>
      <x:c r="O762" s="21" t="n">
        <x:v>8622</x:v>
      </x:c>
      <x:c r="P762" s="21" t="n">
        <x:f>ROUND(N762*K762,0)</x:f>
        <x:v>8622</x:v>
      </x:c>
      <x:c r="Q762" s="19" t="str">
        <x:v>否</x:v>
      </x:c>
      <x:c r="R762" s="19" t="str"/>
      <x:c r="S762" s="19" t="n">
        <x:f>IF(Q762="是",0,MIN(10,2+IF(C762="高",2,1)+IF(K762&gt;=3%,3,IF(K762&gt;=1%,2,1))+IF(L762="新出现",2,IF(M762&gt;=100%,3,IF(M762&gt;0,2,0)))))</x:f>
        <x:v>7</x:v>
      </x:c>
      <x:c r="T762" s="21"/>
      <x:c r="U762" s="20"/>
      <x:c r="V762" s="19" t="str">
        <x:v>http://modland.net/</x:v>
      </x:c>
      <x:c r="W762" s="19" t="str">
        <x:v>https://pro.similarweb.com/#/digitalsuite/websiteanalysis/referrals/*/999/1m?webSource=Total&amp;selectedTab=incomingTraffic&amp;key=gumroad.com</x:v>
      </x:c>
      <x:c r="X762" s="20" t="n">
        <x:f>IF(Q762="是",0,IFERROR(P762/SUMIFS($P$2:$P$964,$A$2:$A$964,A762,$Q$2:$Q$964,"否"),0))</x:f>
        <x:v>0.006974887331543366</x:v>
      </x:c>
      <x:c r="Y762" s="22" t="str">
        <x:f>IF(OR(M762="",U762=""),"未交叉",IF(M762*U762&gt;0,"同向",IF(M762*U762&lt;0,"背离","一侧持平")))</x:f>
        <x:v>未交叉</x:v>
      </x:c>
    </x:row>
    <x:row r="763">
      <x:c r="A763" s="18" t="str">
        <x:v>gumroad.com</x:v>
      </x:c>
      <x:c r="B763" s="19" t="str">
        <x:v>支付商主域（混合流量）</x:v>
      </x:c>
      <x:c r="C763" s="19" t="str">
        <x:v>中</x:v>
      </x:c>
      <x:c r="D763" s="19" t="str">
        <x:v>Jul 2026</x:v>
      </x:c>
      <x:c r="E763" s="19" t="n">
        <x:v>38</x:v>
      </x:c>
      <x:c r="F763" s="19" t="str">
        <x:v>99sounds.org</x:v>
      </x:c>
      <x:c r="G763" s="19" t="str">
        <x:v>Music</x:v>
      </x:c>
      <x:c r="H763" s="19" t="str">
        <x:v>创作、设计与多媒体工具</x:v>
      </x:c>
      <x:c r="I763" s="19" t="str">
        <x:v>Similarweb 行业映射</x:v>
      </x:c>
      <x:c r="J763" s="19" t="n">
        <x:v>396281</x:v>
      </x:c>
      <x:c r="K763" s="20" t="n">
        <x:v>0.004</x:v>
      </x:c>
      <x:c r="L763" s="19" t="str">
        <x:v>下降</x:v>
      </x:c>
      <x:c r="M763" s="20" t="n">
        <x:v>-0.4338</x:v>
      </x:c>
      <x:c r="N763" s="21" t="n">
        <x:v>2103000</x:v>
      </x:c>
      <x:c r="O763" s="21" t="n">
        <x:v>8412</x:v>
      </x:c>
      <x:c r="P763" s="21" t="n">
        <x:f>ROUND(N763*K763,0)</x:f>
        <x:v>8412</x:v>
      </x:c>
      <x:c r="Q763" s="19" t="str">
        <x:v>否</x:v>
      </x:c>
      <x:c r="R763" s="19" t="str"/>
      <x:c r="S763" s="19" t="n">
        <x:f>IF(Q763="是",0,MIN(10,2+IF(C763="高",2,1)+IF(K763&gt;=3%,3,IF(K763&gt;=1%,2,1))+IF(L763="新出现",2,IF(M763&gt;=100%,3,IF(M763&gt;0,2,0)))))</x:f>
        <x:v>4</x:v>
      </x:c>
      <x:c r="T763" s="21"/>
      <x:c r="U763" s="20"/>
      <x:c r="V763" s="19" t="str">
        <x:v>http://99sounds.org/</x:v>
      </x:c>
      <x:c r="W763" s="19" t="str">
        <x:v>https://pro.similarweb.com/#/digitalsuite/websiteanalysis/referrals/*/999/1m?webSource=Total&amp;selectedTab=incomingTraffic&amp;key=gumroad.com</x:v>
      </x:c>
      <x:c r="X763" s="20" t="n">
        <x:f>IF(Q763="是",0,IFERROR(P763/SUMIFS($P$2:$P$964,$A$2:$A$964,A763,$Q$2:$Q$964,"否"),0))</x:f>
        <x:v>0.006805004898276826</x:v>
      </x:c>
      <x:c r="Y763" s="22" t="str">
        <x:f>IF(OR(M763="",U763=""),"未交叉",IF(M763*U763&gt;0,"同向",IF(M763*U763&lt;0,"背离","一侧持平")))</x:f>
        <x:v>未交叉</x:v>
      </x:c>
    </x:row>
    <x:row r="764">
      <x:c r="A764" s="18" t="str">
        <x:v>gumroad.com</x:v>
      </x:c>
      <x:c r="B764" s="19" t="str">
        <x:v>支付商主域（混合流量）</x:v>
      </x:c>
      <x:c r="C764" s="19" t="str">
        <x:v>中</x:v>
      </x:c>
      <x:c r="D764" s="19" t="str">
        <x:v>Jul 2026</x:v>
      </x:c>
      <x:c r="E764" s="19" t="n">
        <x:v>39</x:v>
      </x:c>
      <x:c r="F764" s="19" t="str">
        <x:v>millionleadsforfree.com</x:v>
      </x:c>
      <x:c r="G764" s="19" t="str">
        <x:v>Online Marketing</x:v>
      </x:c>
      <x:c r="H764" s="19" t="str">
        <x:v>营销、生产力与商业服务</x:v>
      </x:c>
      <x:c r="I764" s="19" t="str">
        <x:v>Similarweb 行业映射</x:v>
      </x:c>
      <x:c r="J764" s="19" t="n">
        <x:v>419186</x:v>
      </x:c>
      <x:c r="K764" s="20" t="n">
        <x:v>0.0038</x:v>
      </x:c>
      <x:c r="L764" s="19" t="str">
        <x:v>下降</x:v>
      </x:c>
      <x:c r="M764" s="20" t="n">
        <x:v>-0.29710000000000003</x:v>
      </x:c>
      <x:c r="N764" s="21" t="n">
        <x:v>2103000</x:v>
      </x:c>
      <x:c r="O764" s="21" t="n">
        <x:v>7991</x:v>
      </x:c>
      <x:c r="P764" s="21" t="n">
        <x:f>ROUND(N764*K764,0)</x:f>
        <x:v>7991</x:v>
      </x:c>
      <x:c r="Q764" s="19" t="str">
        <x:v>否</x:v>
      </x:c>
      <x:c r="R764" s="19" t="str"/>
      <x:c r="S764" s="19" t="n">
        <x:f>IF(Q764="是",0,MIN(10,2+IF(C764="高",2,1)+IF(K764&gt;=3%,3,IF(K764&gt;=1%,2,1))+IF(L764="新出现",2,IF(M764&gt;=100%,3,IF(M764&gt;0,2,0)))))</x:f>
        <x:v>4</x:v>
      </x:c>
      <x:c r="T764" s="21"/>
      <x:c r="U764" s="20"/>
      <x:c r="V764" s="19" t="str">
        <x:v>http://millionleadsforfree.com/</x:v>
      </x:c>
      <x:c r="W764" s="19" t="str">
        <x:v>https://pro.similarweb.com/#/digitalsuite/websiteanalysis/referrals/*/999/1m?webSource=Total&amp;selectedTab=incomingTraffic&amp;key=gumroad.com</x:v>
      </x:c>
      <x:c r="X764" s="20" t="n">
        <x:f>IF(Q764="是",0,IFERROR(P764/SUMIFS($P$2:$P$964,$A$2:$A$964,A764,$Q$2:$Q$964,"否"),0))</x:f>
        <x:v>0.00646443106777581</x:v>
      </x:c>
      <x:c r="Y764" s="22" t="str">
        <x:f>IF(OR(M764="",U764=""),"未交叉",IF(M764*U764&gt;0,"同向",IF(M764*U764&lt;0,"背离","一侧持平")))</x:f>
        <x:v>未交叉</x:v>
      </x:c>
    </x:row>
    <x:row r="765">
      <x:c r="A765" s="18" t="str">
        <x:v>gumroad.com</x:v>
      </x:c>
      <x:c r="B765" s="19" t="str">
        <x:v>支付商主域（混合流量）</x:v>
      </x:c>
      <x:c r="C765" s="19" t="str">
        <x:v>中</x:v>
      </x:c>
      <x:c r="D765" s="19" t="str">
        <x:v>Jul 2026</x:v>
      </x:c>
      <x:c r="E765" s="19" t="n">
        <x:v>40</x:v>
      </x:c>
      <x:c r="F765" s="19" t="str">
        <x:v>liinks.co</x:v>
      </x:c>
      <x:c r="G765" s="19" t="str">
        <x:v>Graphics Multimedia and Web Design</x:v>
      </x:c>
      <x:c r="H765" s="19" t="str">
        <x:v>创作、设计与多媒体工具</x:v>
      </x:c>
      <x:c r="I765" s="19" t="str">
        <x:v>Similarweb 行业映射</x:v>
      </x:c>
      <x:c r="J765" s="19" t="n">
        <x:v>107185</x:v>
      </x:c>
      <x:c r="K765" s="20" t="n">
        <x:v>0.0038</x:v>
      </x:c>
      <x:c r="L765" s="19" t="str">
        <x:v>上升</x:v>
      </x:c>
      <x:c r="M765" s="20" t="n">
        <x:v>0.5394</x:v>
      </x:c>
      <x:c r="N765" s="21" t="n">
        <x:v>2103000</x:v>
      </x:c>
      <x:c r="O765" s="21" t="n">
        <x:v>7991</x:v>
      </x:c>
      <x:c r="P765" s="21" t="n">
        <x:f>ROUND(N765*K765,0)</x:f>
        <x:v>7991</x:v>
      </x:c>
      <x:c r="Q765" s="19" t="str">
        <x:v>否</x:v>
      </x:c>
      <x:c r="R765" s="19" t="str"/>
      <x:c r="S765" s="19" t="n">
        <x:f>IF(Q765="是",0,MIN(10,2+IF(C765="高",2,1)+IF(K765&gt;=3%,3,IF(K765&gt;=1%,2,1))+IF(L765="新出现",2,IF(M765&gt;=100%,3,IF(M765&gt;0,2,0)))))</x:f>
        <x:v>6</x:v>
      </x:c>
      <x:c r="T765" s="21"/>
      <x:c r="U765" s="20"/>
      <x:c r="V765" s="19" t="str">
        <x:v>http://liinks.co/</x:v>
      </x:c>
      <x:c r="W765" s="19" t="str">
        <x:v>https://pro.similarweb.com/#/digitalsuite/websiteanalysis/referrals/*/999/1m?webSource=Total&amp;selectedTab=incomingTraffic&amp;key=gumroad.com</x:v>
      </x:c>
      <x:c r="X765" s="20" t="n">
        <x:f>IF(Q765="是",0,IFERROR(P765/SUMIFS($P$2:$P$964,$A$2:$A$964,A765,$Q$2:$Q$964,"否"),0))</x:f>
        <x:v>0.00646443106777581</x:v>
      </x:c>
      <x:c r="Y765" s="22" t="str">
        <x:f>IF(OR(M765="",U765=""),"未交叉",IF(M765*U765&gt;0,"同向",IF(M765*U765&lt;0,"背离","一侧持平")))</x:f>
        <x:v>未交叉</x:v>
      </x:c>
    </x:row>
    <x:row r="766">
      <x:c r="A766" s="18" t="str">
        <x:v>gumroad.com</x:v>
      </x:c>
      <x:c r="B766" s="19" t="str">
        <x:v>支付商主域（混合流量）</x:v>
      </x:c>
      <x:c r="C766" s="19" t="str">
        <x:v>中</x:v>
      </x:c>
      <x:c r="D766" s="19" t="str">
        <x:v>Jul 2026</x:v>
      </x:c>
      <x:c r="E766" s="19" t="n">
        <x:v>41</x:v>
      </x:c>
      <x:c r="F766" s="19" t="str">
        <x:v>trustmrr.com</x:v>
      </x:c>
      <x:c r="G766" s="19" t="str">
        <x:v>Computers Electronics and Technology</x:v>
      </x:c>
      <x:c r="H766" s="19" t="str">
        <x:v>通用数字产品与技术服务</x:v>
      </x:c>
      <x:c r="I766" s="19" t="str">
        <x:v>Similarweb 行业映射</x:v>
      </x:c>
      <x:c r="J766" s="19" t="n">
        <x:v>51316</x:v>
      </x:c>
      <x:c r="K766" s="20" t="n">
        <x:v>0.0033</x:v>
      </x:c>
      <x:c r="L766" s="19" t="str">
        <x:v>上升</x:v>
      </x:c>
      <x:c r="M766" s="20" t="n">
        <x:v>0.3926</x:v>
      </x:c>
      <x:c r="N766" s="21" t="n">
        <x:v>2103000</x:v>
      </x:c>
      <x:c r="O766" s="21" t="n">
        <x:v>6940</x:v>
      </x:c>
      <x:c r="P766" s="21" t="n">
        <x:f>ROUND(N766*K766,0)</x:f>
        <x:v>6940</x:v>
      </x:c>
      <x:c r="Q766" s="19" t="str">
        <x:v>否</x:v>
      </x:c>
      <x:c r="R766" s="19" t="str"/>
      <x:c r="S766" s="19" t="n">
        <x:f>IF(Q766="是",0,MIN(10,2+IF(C766="高",2,1)+IF(K766&gt;=3%,3,IF(K766&gt;=1%,2,1))+IF(L766="新出现",2,IF(M766&gt;=100%,3,IF(M766&gt;0,2,0)))))</x:f>
        <x:v>6</x:v>
      </x:c>
      <x:c r="T766" s="21"/>
      <x:c r="U766" s="20"/>
      <x:c r="V766" s="19" t="str">
        <x:v>http://trustmrr.com/</x:v>
      </x:c>
      <x:c r="W766" s="19" t="str">
        <x:v>https://pro.similarweb.com/#/digitalsuite/websiteanalysis/referrals/*/999/1m?webSource=Total&amp;selectedTab=incomingTraffic&amp;key=gumroad.com</x:v>
      </x:c>
      <x:c r="X766" s="20" t="n">
        <x:f>IF(Q766="是",0,IFERROR(P766/SUMIFS($P$2:$P$964,$A$2:$A$964,A766,$Q$2:$Q$964,"否"),0))</x:f>
        <x:v>0.005614209937475175</x:v>
      </x:c>
      <x:c r="Y766" s="22" t="str">
        <x:f>IF(OR(M766="",U766=""),"未交叉",IF(M766*U766&gt;0,"同向",IF(M766*U766&lt;0,"背离","一侧持平")))</x:f>
        <x:v>未交叉</x:v>
      </x:c>
    </x:row>
    <x:row r="767">
      <x:c r="A767" s="18" t="str">
        <x:v>gumroad.com</x:v>
      </x:c>
      <x:c r="B767" s="19" t="str">
        <x:v>支付商主域（混合流量）</x:v>
      </x:c>
      <x:c r="C767" s="19" t="str">
        <x:v>中</x:v>
      </x:c>
      <x:c r="D767" s="19" t="str">
        <x:v>Jul 2026</x:v>
      </x:c>
      <x:c r="E767" s="19" t="n">
        <x:v>42</x:v>
      </x:c>
      <x:c r="F767" s="19" t="str">
        <x:v>mcpedl.com</x:v>
      </x:c>
      <x:c r="G767" s="19" t="str">
        <x:v>Video Games Consoles and Accessories</x:v>
      </x:c>
      <x:c r="H767" s="19" t="str">
        <x:v>游戏、数字商品与虚拟内容</x:v>
      </x:c>
      <x:c r="I767" s="19" t="str">
        <x:v>Similarweb 行业映射</x:v>
      </x:c>
      <x:c r="J767" s="19" t="n">
        <x:v>4485</x:v>
      </x:c>
      <x:c r="K767" s="20" t="n">
        <x:v>0.0032</x:v>
      </x:c>
      <x:c r="L767" s="19" t="str">
        <x:v>上升</x:v>
      </x:c>
      <x:c r="M767" s="20" t="n">
        <x:v>18.2227</x:v>
      </x:c>
      <x:c r="N767" s="21" t="n">
        <x:v>2103000</x:v>
      </x:c>
      <x:c r="O767" s="21" t="n">
        <x:v>6730</x:v>
      </x:c>
      <x:c r="P767" s="21" t="n">
        <x:f>ROUND(N767*K767,0)</x:f>
        <x:v>6730</x:v>
      </x:c>
      <x:c r="Q767" s="19" t="str">
        <x:v>否</x:v>
      </x:c>
      <x:c r="R767" s="19" t="str"/>
      <x:c r="S767" s="19" t="n">
        <x:f>IF(Q767="是",0,MIN(10,2+IF(C767="高",2,1)+IF(K767&gt;=3%,3,IF(K767&gt;=1%,2,1))+IF(L767="新出现",2,IF(M767&gt;=100%,3,IF(M767&gt;0,2,0)))))</x:f>
        <x:v>7</x:v>
      </x:c>
      <x:c r="T767" s="21"/>
      <x:c r="U767" s="20"/>
      <x:c r="V767" s="19" t="str">
        <x:v>http://mcpedl.com/</x:v>
      </x:c>
      <x:c r="W767" s="19" t="str">
        <x:v>https://pro.similarweb.com/#/digitalsuite/websiteanalysis/referrals/*/999/1m?webSource=Total&amp;selectedTab=incomingTraffic&amp;key=gumroad.com</x:v>
      </x:c>
      <x:c r="X767" s="20" t="n">
        <x:f>IF(Q767="是",0,IFERROR(P767/SUMIFS($P$2:$P$964,$A$2:$A$964,A767,$Q$2:$Q$964,"否"),0))</x:f>
        <x:v>0.0054443275042086355</x:v>
      </x:c>
      <x:c r="Y767" s="22" t="str">
        <x:f>IF(OR(M767="",U767=""),"未交叉",IF(M767*U767&gt;0,"同向",IF(M767*U767&lt;0,"背离","一侧持平")))</x:f>
        <x:v>未交叉</x:v>
      </x:c>
    </x:row>
    <x:row r="768">
      <x:c r="A768" s="18" t="str">
        <x:v>gumroad.com</x:v>
      </x:c>
      <x:c r="B768" s="19" t="str">
        <x:v>支付商主域（混合流量）</x:v>
      </x:c>
      <x:c r="C768" s="19" t="str">
        <x:v>中</x:v>
      </x:c>
      <x:c r="D768" s="19" t="str">
        <x:v>Jul 2026</x:v>
      </x:c>
      <x:c r="E768" s="19" t="n">
        <x:v>43</x:v>
      </x:c>
      <x:c r="F768" s="19" t="str">
        <x:v>80.lv</x:v>
      </x:c>
      <x:c r="G768" s="19" t="str">
        <x:v>News and Media</x:v>
      </x:c>
      <x:c r="H768" s="19" t="str">
        <x:v>内容媒体、线下与实体消费</x:v>
      </x:c>
      <x:c r="I768" s="19" t="str">
        <x:v>Similarweb 行业映射</x:v>
      </x:c>
      <x:c r="J768" s="19" t="n">
        <x:v>54592</x:v>
      </x:c>
      <x:c r="K768" s="20" t="n">
        <x:v>0.0032</x:v>
      </x:c>
      <x:c r="L768" s="19" t="str">
        <x:v>上升</x:v>
      </x:c>
      <x:c r="M768" s="20" t="n">
        <x:v>0.1364</x:v>
      </x:c>
      <x:c r="N768" s="21" t="n">
        <x:v>2103000</x:v>
      </x:c>
      <x:c r="O768" s="21" t="n">
        <x:v>6730</x:v>
      </x:c>
      <x:c r="P768" s="21" t="n">
        <x:f>ROUND(N768*K768,0)</x:f>
        <x:v>6730</x:v>
      </x:c>
      <x:c r="Q768" s="19" t="str">
        <x:v>否</x:v>
      </x:c>
      <x:c r="R768" s="19" t="str"/>
      <x:c r="S768" s="19" t="n">
        <x:f>IF(Q768="是",0,MIN(10,2+IF(C768="高",2,1)+IF(K768&gt;=3%,3,IF(K768&gt;=1%,2,1))+IF(L768="新出现",2,IF(M768&gt;=100%,3,IF(M768&gt;0,2,0)))))</x:f>
        <x:v>6</x:v>
      </x:c>
      <x:c r="T768" s="21"/>
      <x:c r="U768" s="20"/>
      <x:c r="V768" s="19" t="str">
        <x:v>http://80.lv/</x:v>
      </x:c>
      <x:c r="W768" s="19" t="str">
        <x:v>https://pro.similarweb.com/#/digitalsuite/websiteanalysis/referrals/*/999/1m?webSource=Total&amp;selectedTab=incomingTraffic&amp;key=gumroad.com</x:v>
      </x:c>
      <x:c r="X768" s="20" t="n">
        <x:f>IF(Q768="是",0,IFERROR(P768/SUMIFS($P$2:$P$964,$A$2:$A$964,A768,$Q$2:$Q$964,"否"),0))</x:f>
        <x:v>0.0054443275042086355</x:v>
      </x:c>
      <x:c r="Y768" s="22" t="str">
        <x:f>IF(OR(M768="",U768=""),"未交叉",IF(M768*U768&gt;0,"同向",IF(M768*U768&lt;0,"背离","一侧持平")))</x:f>
        <x:v>未交叉</x:v>
      </x:c>
    </x:row>
    <x:row r="769">
      <x:c r="A769" s="18" t="str">
        <x:v>gumroad.com</x:v>
      </x:c>
      <x:c r="B769" s="19" t="str">
        <x:v>支付商主域（混合流量）</x:v>
      </x:c>
      <x:c r="C769" s="19" t="str">
        <x:v>中</x:v>
      </x:c>
      <x:c r="D769" s="19" t="str">
        <x:v>Jul 2026</x:v>
      </x:c>
      <x:c r="E769" s="19" t="n">
        <x:v>44</x:v>
      </x:c>
      <x:c r="F769" s="19" t="str">
        <x:v>t.me</x:v>
      </x:c>
      <x:c r="G769" s="19" t="str">
        <x:v>Computers Electronics and Technology</x:v>
      </x:c>
      <x:c r="H769" s="19" t="str">
        <x:v>通用数字产品与技术服务</x:v>
      </x:c>
      <x:c r="I769" s="19" t="str">
        <x:v>Similarweb 行业映射</x:v>
      </x:c>
      <x:c r="J769" s="19" t="n">
        <x:v>72</x:v>
      </x:c>
      <x:c r="K769" s="20" t="n">
        <x:v>0.0032</x:v>
      </x:c>
      <x:c r="L769" s="19" t="str">
        <x:v>上升</x:v>
      </x:c>
      <x:c r="M769" s="20" t="n">
        <x:v>2.2004</x:v>
      </x:c>
      <x:c r="N769" s="21" t="n">
        <x:v>2103000</x:v>
      </x:c>
      <x:c r="O769" s="21" t="n">
        <x:v>6730</x:v>
      </x:c>
      <x:c r="P769" s="21" t="n">
        <x:f>ROUND(N769*K769,0)</x:f>
        <x:v>6730</x:v>
      </x:c>
      <x:c r="Q769" s="19" t="str">
        <x:v>否</x:v>
      </x:c>
      <x:c r="R769" s="19" t="str"/>
      <x:c r="S769" s="19" t="n">
        <x:f>IF(Q769="是",0,MIN(10,2+IF(C769="高",2,1)+IF(K769&gt;=3%,3,IF(K769&gt;=1%,2,1))+IF(L769="新出现",2,IF(M769&gt;=100%,3,IF(M769&gt;0,2,0)))))</x:f>
        <x:v>7</x:v>
      </x:c>
      <x:c r="T769" s="21"/>
      <x:c r="U769" s="20"/>
      <x:c r="V769" s="19" t="str">
        <x:v>http://t.me/</x:v>
      </x:c>
      <x:c r="W769" s="19" t="str">
        <x:v>https://pro.similarweb.com/#/digitalsuite/websiteanalysis/referrals/*/999/1m?webSource=Total&amp;selectedTab=incomingTraffic&amp;key=gumroad.com</x:v>
      </x:c>
      <x:c r="X769" s="20" t="n">
        <x:f>IF(Q769="是",0,IFERROR(P769/SUMIFS($P$2:$P$964,$A$2:$A$964,A769,$Q$2:$Q$964,"否"),0))</x:f>
        <x:v>0.0054443275042086355</x:v>
      </x:c>
      <x:c r="Y769" s="22" t="str">
        <x:f>IF(OR(M769="",U769=""),"未交叉",IF(M769*U769&gt;0,"同向",IF(M769*U769&lt;0,"背离","一侧持平")))</x:f>
        <x:v>未交叉</x:v>
      </x:c>
    </x:row>
    <x:row r="770">
      <x:c r="A770" s="18" t="str">
        <x:v>gumroad.com</x:v>
      </x:c>
      <x:c r="B770" s="19" t="str">
        <x:v>支付商主域（混合流量）</x:v>
      </x:c>
      <x:c r="C770" s="19" t="str">
        <x:v>中</x:v>
      </x:c>
      <x:c r="D770" s="19" t="str">
        <x:v>Jul 2026</x:v>
      </x:c>
      <x:c r="E770" s="19" t="n">
        <x:v>45</x:v>
      </x:c>
      <x:c r="F770" s="19" t="str">
        <x:v>amazon.com</x:v>
      </x:c>
      <x:c r="G770" s="19" t="str">
        <x:v>Marketplace</x:v>
      </x:c>
      <x:c r="H770" s="19" t="str">
        <x:v>金融、支付与交易服务</x:v>
      </x:c>
      <x:c r="I770" s="19" t="str">
        <x:v>Similarweb 行业映射</x:v>
      </x:c>
      <x:c r="J770" s="19" t="n">
        <x:v>9</x:v>
      </x:c>
      <x:c r="K770" s="20" t="n">
        <x:v>0.003</x:v>
      </x:c>
      <x:c r="L770" s="19" t="str">
        <x:v>上升</x:v>
      </x:c>
      <x:c r="M770" s="20" t="n">
        <x:v>0.0894</x:v>
      </x:c>
      <x:c r="N770" s="21" t="n">
        <x:v>2103000</x:v>
      </x:c>
      <x:c r="O770" s="21" t="n">
        <x:v>6309</x:v>
      </x:c>
      <x:c r="P770" s="21" t="n">
        <x:f>ROUND(N770*K770,0)</x:f>
        <x:v>6309</x:v>
      </x:c>
      <x:c r="Q770" s="19" t="str">
        <x:v>否</x:v>
      </x:c>
      <x:c r="R770" s="19" t="str"/>
      <x:c r="S770" s="19" t="n">
        <x:f>IF(Q770="是",0,MIN(10,2+IF(C770="高",2,1)+IF(K770&gt;=3%,3,IF(K770&gt;=1%,2,1))+IF(L770="新出现",2,IF(M770&gt;=100%,3,IF(M770&gt;0,2,0)))))</x:f>
        <x:v>6</x:v>
      </x:c>
      <x:c r="T770" s="21"/>
      <x:c r="U770" s="20"/>
      <x:c r="V770" s="19" t="str">
        <x:v>http://amazon.com/</x:v>
      </x:c>
      <x:c r="W770" s="19" t="str">
        <x:v>https://pro.similarweb.com/#/digitalsuite/websiteanalysis/referrals/*/999/1m?webSource=Total&amp;selectedTab=incomingTraffic&amp;key=gumroad.com</x:v>
      </x:c>
      <x:c r="X770" s="20" t="n">
        <x:f>IF(Q770="是",0,IFERROR(P770/SUMIFS($P$2:$P$964,$A$2:$A$964,A770,$Q$2:$Q$964,"否"),0))</x:f>
        <x:v>0.005103753673707619</x:v>
      </x:c>
      <x:c r="Y770" s="22" t="str">
        <x:f>IF(OR(M770="",U770=""),"未交叉",IF(M770*U770&gt;0,"同向",IF(M770*U770&lt;0,"背离","一侧持平")))</x:f>
        <x:v>未交叉</x:v>
      </x:c>
    </x:row>
    <x:row r="771">
      <x:c r="A771" s="18" t="str">
        <x:v>gumroad.com</x:v>
      </x:c>
      <x:c r="B771" s="19" t="str">
        <x:v>支付商主域（混合流量）</x:v>
      </x:c>
      <x:c r="C771" s="19" t="str">
        <x:v>中</x:v>
      </x:c>
      <x:c r="D771" s="19" t="str">
        <x:v>Jul 2026</x:v>
      </x:c>
      <x:c r="E771" s="19" t="n">
        <x:v>46</x:v>
      </x:c>
      <x:c r="F771" s="19" t="str">
        <x:v>carrd.co</x:v>
      </x:c>
      <x:c r="G771" s="19" t="str">
        <x:v>Computers Electronics and Technology</x:v>
      </x:c>
      <x:c r="H771" s="19" t="str">
        <x:v>通用数字产品与技术服务</x:v>
      </x:c>
      <x:c r="I771" s="19" t="str">
        <x:v>Similarweb 行业映射</x:v>
      </x:c>
      <x:c r="J771" s="19" t="n">
        <x:v>3419</x:v>
      </x:c>
      <x:c r="K771" s="20" t="n">
        <x:v>0.003</x:v>
      </x:c>
      <x:c r="L771" s="19" t="str">
        <x:v>上升</x:v>
      </x:c>
      <x:c r="M771" s="20" t="n">
        <x:v>4.3006</x:v>
      </x:c>
      <x:c r="N771" s="21" t="n">
        <x:v>2103000</x:v>
      </x:c>
      <x:c r="O771" s="21" t="n">
        <x:v>6309</x:v>
      </x:c>
      <x:c r="P771" s="21" t="n">
        <x:f>ROUND(N771*K771,0)</x:f>
        <x:v>6309</x:v>
      </x:c>
      <x:c r="Q771" s="19" t="str">
        <x:v>否</x:v>
      </x:c>
      <x:c r="R771" s="19" t="str"/>
      <x:c r="S771" s="19" t="n">
        <x:f>IF(Q771="是",0,MIN(10,2+IF(C771="高",2,1)+IF(K771&gt;=3%,3,IF(K771&gt;=1%,2,1))+IF(L771="新出现",2,IF(M771&gt;=100%,3,IF(M771&gt;0,2,0)))))</x:f>
        <x:v>7</x:v>
      </x:c>
      <x:c r="T771" s="21"/>
      <x:c r="U771" s="20"/>
      <x:c r="V771" s="19" t="str">
        <x:v>http://carrd.co/</x:v>
      </x:c>
      <x:c r="W771" s="19" t="str">
        <x:v>https://pro.similarweb.com/#/digitalsuite/websiteanalysis/referrals/*/999/1m?webSource=Total&amp;selectedTab=incomingTraffic&amp;key=gumroad.com</x:v>
      </x:c>
      <x:c r="X771" s="20" t="n">
        <x:f>IF(Q771="是",0,IFERROR(P771/SUMIFS($P$2:$P$964,$A$2:$A$964,A771,$Q$2:$Q$964,"否"),0))</x:f>
        <x:v>0.005103753673707619</x:v>
      </x:c>
      <x:c r="Y771" s="22" t="str">
        <x:f>IF(OR(M771="",U771=""),"未交叉",IF(M771*U771&gt;0,"同向",IF(M771*U771&lt;0,"背离","一侧持平")))</x:f>
        <x:v>未交叉</x:v>
      </x:c>
    </x:row>
    <x:row r="772">
      <x:c r="A772" s="18" t="str">
        <x:v>gumroad.com</x:v>
      </x:c>
      <x:c r="B772" s="19" t="str">
        <x:v>支付商主域（混合流量）</x:v>
      </x:c>
      <x:c r="C772" s="19" t="str">
        <x:v>中</x:v>
      </x:c>
      <x:c r="D772" s="19" t="str">
        <x:v>Jul 2026</x:v>
      </x:c>
      <x:c r="E772" s="19" t="n">
        <x:v>47</x:v>
      </x:c>
      <x:c r="F772" s="19" t="str">
        <x:v>samplescience.info</x:v>
      </x:c>
      <x:c r="G772" s="19" t="str">
        <x:v>Graphics Multimedia and Web Design</x:v>
      </x:c>
      <x:c r="H772" s="19" t="str">
        <x:v>创作、设计与多媒体工具</x:v>
      </x:c>
      <x:c r="I772" s="19" t="str">
        <x:v>Similarweb 行业映射</x:v>
      </x:c>
      <x:c r="J772" s="19" t="n">
        <x:v>612126</x:v>
      </x:c>
      <x:c r="K772" s="20" t="n">
        <x:v>0.003</x:v>
      </x:c>
      <x:c r="L772" s="19" t="str">
        <x:v>上升</x:v>
      </x:c>
      <x:c r="M772" s="20" t="n">
        <x:v>0.8225</x:v>
      </x:c>
      <x:c r="N772" s="21" t="n">
        <x:v>2103000</x:v>
      </x:c>
      <x:c r="O772" s="21" t="n">
        <x:v>6309</x:v>
      </x:c>
      <x:c r="P772" s="21" t="n">
        <x:f>ROUND(N772*K772,0)</x:f>
        <x:v>6309</x:v>
      </x:c>
      <x:c r="Q772" s="19" t="str">
        <x:v>否</x:v>
      </x:c>
      <x:c r="R772" s="19" t="str"/>
      <x:c r="S772" s="19" t="n">
        <x:f>IF(Q772="是",0,MIN(10,2+IF(C772="高",2,1)+IF(K772&gt;=3%,3,IF(K772&gt;=1%,2,1))+IF(L772="新出现",2,IF(M772&gt;=100%,3,IF(M772&gt;0,2,0)))))</x:f>
        <x:v>6</x:v>
      </x:c>
      <x:c r="T772" s="21"/>
      <x:c r="U772" s="20"/>
      <x:c r="V772" s="19" t="str">
        <x:v>http://samplescience.info/</x:v>
      </x:c>
      <x:c r="W772" s="19" t="str">
        <x:v>https://pro.similarweb.com/#/digitalsuite/websiteanalysis/referrals/*/999/1m?webSource=Total&amp;selectedTab=incomingTraffic&amp;key=gumroad.com</x:v>
      </x:c>
      <x:c r="X772" s="20" t="n">
        <x:f>IF(Q772="是",0,IFERROR(P772/SUMIFS($P$2:$P$964,$A$2:$A$964,A772,$Q$2:$Q$964,"否"),0))</x:f>
        <x:v>0.005103753673707619</x:v>
      </x:c>
      <x:c r="Y772" s="22" t="str">
        <x:f>IF(OR(M772="",U772=""),"未交叉",IF(M772*U772&gt;0,"同向",IF(M772*U772&lt;0,"背离","一侧持平")))</x:f>
        <x:v>未交叉</x:v>
      </x:c>
    </x:row>
    <x:row r="773">
      <x:c r="A773" s="18" t="str">
        <x:v>gumroad.com</x:v>
      </x:c>
      <x:c r="B773" s="19" t="str">
        <x:v>支付商主域（混合流量）</x:v>
      </x:c>
      <x:c r="C773" s="19" t="str">
        <x:v>中</x:v>
      </x:c>
      <x:c r="D773" s="19" t="str">
        <x:v>Jul 2026</x:v>
      </x:c>
      <x:c r="E773" s="19" t="n">
        <x:v>48</x:v>
      </x:c>
      <x:c r="F773" s="19" t="str">
        <x:v>zorcha.com</x:v>
      </x:c>
      <x:c r="G773" s="19" t="str">
        <x:v>Graphics Multimedia and Web Design</x:v>
      </x:c>
      <x:c r="H773" s="19" t="str">
        <x:v>创作、设计与多媒体工具</x:v>
      </x:c>
      <x:c r="I773" s="19" t="str">
        <x:v>Similarweb 行业映射</x:v>
      </x:c>
      <x:c r="J773" s="19" t="n">
        <x:v>153657</x:v>
      </x:c>
      <x:c r="K773" s="20" t="n">
        <x:v>0.0029</x:v>
      </x:c>
      <x:c r="L773" s="19" t="str">
        <x:v>新出现</x:v>
      </x:c>
      <x:c r="M773" s="20"/>
      <x:c r="N773" s="21" t="n">
        <x:v>2103000</x:v>
      </x:c>
      <x:c r="O773" s="21" t="n">
        <x:v>6099</x:v>
      </x:c>
      <x:c r="P773" s="21" t="n">
        <x:f>ROUND(N773*K773,0)</x:f>
        <x:v>6099</x:v>
      </x:c>
      <x:c r="Q773" s="19" t="str">
        <x:v>否</x:v>
      </x:c>
      <x:c r="R773" s="19" t="str"/>
      <x:c r="S773" s="19" t="n">
        <x:f>IF(Q773="是",0,MIN(10,2+IF(C773="高",2,1)+IF(K773&gt;=3%,3,IF(K773&gt;=1%,2,1))+IF(L773="新出现",2,IF(M773&gt;=100%,3,IF(M773&gt;0,2,0)))))</x:f>
        <x:v>6</x:v>
      </x:c>
      <x:c r="T773" s="21"/>
      <x:c r="U773" s="20"/>
      <x:c r="V773" s="19" t="str">
        <x:v>http://zorcha.com/</x:v>
      </x:c>
      <x:c r="W773" s="19" t="str">
        <x:v>https://pro.similarweb.com/#/digitalsuite/websiteanalysis/referrals/*/999/1m?webSource=Total&amp;selectedTab=incomingTraffic&amp;key=gumroad.com</x:v>
      </x:c>
      <x:c r="X773" s="20" t="n">
        <x:f>IF(Q773="是",0,IFERROR(P773/SUMIFS($P$2:$P$964,$A$2:$A$964,A773,$Q$2:$Q$964,"否"),0))</x:f>
        <x:v>0.00493387124044108</x:v>
      </x:c>
      <x:c r="Y773" s="22" t="str">
        <x:f>IF(OR(M773="",U773=""),"未交叉",IF(M773*U773&gt;0,"同向",IF(M773*U773&lt;0,"背离","一侧持平")))</x:f>
        <x:v>未交叉</x:v>
      </x:c>
    </x:row>
    <x:row r="774">
      <x:c r="A774" s="18" t="str">
        <x:v>gumroad.com</x:v>
      </x:c>
      <x:c r="B774" s="19" t="str">
        <x:v>支付商主域（混合流量）</x:v>
      </x:c>
      <x:c r="C774" s="19" t="str">
        <x:v>中</x:v>
      </x:c>
      <x:c r="D774" s="19" t="str">
        <x:v>Jul 2026</x:v>
      </x:c>
      <x:c r="E774" s="19" t="n">
        <x:v>49</x:v>
      </x:c>
      <x:c r="F774" s="19" t="str">
        <x:v>producthunt.com</x:v>
      </x:c>
      <x:c r="G774" s="19" t="str">
        <x:v>Computers Electronics and Technology</x:v>
      </x:c>
      <x:c r="H774" s="19" t="str">
        <x:v>通用数字产品与技术服务</x:v>
      </x:c>
      <x:c r="I774" s="19" t="str">
        <x:v>Similarweb 行业映射</x:v>
      </x:c>
      <x:c r="J774" s="19" t="n">
        <x:v>15386</x:v>
      </x:c>
      <x:c r="K774" s="20" t="n">
        <x:v>0.0029</x:v>
      </x:c>
      <x:c r="L774" s="19" t="str">
        <x:v>上升</x:v>
      </x:c>
      <x:c r="M774" s="20" t="n">
        <x:v>5.473400000000001</x:v>
      </x:c>
      <x:c r="N774" s="21" t="n">
        <x:v>2103000</x:v>
      </x:c>
      <x:c r="O774" s="21" t="n">
        <x:v>6099</x:v>
      </x:c>
      <x:c r="P774" s="21" t="n">
        <x:f>ROUND(N774*K774,0)</x:f>
        <x:v>6099</x:v>
      </x:c>
      <x:c r="Q774" s="19" t="str">
        <x:v>否</x:v>
      </x:c>
      <x:c r="R774" s="19" t="str"/>
      <x:c r="S774" s="19" t="n">
        <x:f>IF(Q774="是",0,MIN(10,2+IF(C774="高",2,1)+IF(K774&gt;=3%,3,IF(K774&gt;=1%,2,1))+IF(L774="新出现",2,IF(M774&gt;=100%,3,IF(M774&gt;0,2,0)))))</x:f>
        <x:v>7</x:v>
      </x:c>
      <x:c r="T774" s="21"/>
      <x:c r="U774" s="20"/>
      <x:c r="V774" s="19" t="str">
        <x:v>http://producthunt.com/</x:v>
      </x:c>
      <x:c r="W774" s="19" t="str">
        <x:v>https://pro.similarweb.com/#/digitalsuite/websiteanalysis/referrals/*/999/1m?webSource=Total&amp;selectedTab=incomingTraffic&amp;key=gumroad.com</x:v>
      </x:c>
      <x:c r="X774" s="20" t="n">
        <x:f>IF(Q774="是",0,IFERROR(P774/SUMIFS($P$2:$P$964,$A$2:$A$964,A774,$Q$2:$Q$964,"否"),0))</x:f>
        <x:v>0.00493387124044108</x:v>
      </x:c>
      <x:c r="Y774" s="22" t="str">
        <x:f>IF(OR(M774="",U774=""),"未交叉",IF(M774*U774&gt;0,"同向",IF(M774*U774&lt;0,"背离","一侧持平")))</x:f>
        <x:v>未交叉</x:v>
      </x:c>
    </x:row>
    <x:row r="775">
      <x:c r="A775" s="18" t="str">
        <x:v>gumroad.com</x:v>
      </x:c>
      <x:c r="B775" s="19" t="str">
        <x:v>支付商主域（混合流量）</x:v>
      </x:c>
      <x:c r="C775" s="19" t="str">
        <x:v>中</x:v>
      </x:c>
      <x:c r="D775" s="19" t="str">
        <x:v>Jul 2026</x:v>
      </x:c>
      <x:c r="E775" s="19" t="n">
        <x:v>50</x:v>
      </x:c>
      <x:c r="F775" s="19" t="str">
        <x:v>blender-addons.org</x:v>
      </x:c>
      <x:c r="G775" s="19" t="str">
        <x:v>Programming and Developer Software</x:v>
      </x:c>
      <x:c r="H775" s="19" t="str">
        <x:v>开发者工具与互联网基础设施</x:v>
      </x:c>
      <x:c r="I775" s="19" t="str">
        <x:v>Similarweb 行业映射</x:v>
      </x:c>
      <x:c r="J775" s="19" t="n">
        <x:v>195355</x:v>
      </x:c>
      <x:c r="K775" s="20" t="n">
        <x:v>0.0029</x:v>
      </x:c>
      <x:c r="L775" s="19" t="str">
        <x:v>上升</x:v>
      </x:c>
      <x:c r="M775" s="20" t="n">
        <x:v>0.0553</x:v>
      </x:c>
      <x:c r="N775" s="21" t="n">
        <x:v>2103000</x:v>
      </x:c>
      <x:c r="O775" s="21" t="n">
        <x:v>6099</x:v>
      </x:c>
      <x:c r="P775" s="21" t="n">
        <x:f>ROUND(N775*K775,0)</x:f>
        <x:v>6099</x:v>
      </x:c>
      <x:c r="Q775" s="19" t="str">
        <x:v>否</x:v>
      </x:c>
      <x:c r="R775" s="19" t="str"/>
      <x:c r="S775" s="19" t="n">
        <x:f>IF(Q775="是",0,MIN(10,2+IF(C775="高",2,1)+IF(K775&gt;=3%,3,IF(K775&gt;=1%,2,1))+IF(L775="新出现",2,IF(M775&gt;=100%,3,IF(M775&gt;0,2,0)))))</x:f>
        <x:v>6</x:v>
      </x:c>
      <x:c r="T775" s="21"/>
      <x:c r="U775" s="20"/>
      <x:c r="V775" s="19" t="str">
        <x:v>http://blender-addons.org/</x:v>
      </x:c>
      <x:c r="W775" s="19" t="str">
        <x:v>https://pro.similarweb.com/#/digitalsuite/websiteanalysis/referrals/*/999/1m?webSource=Total&amp;selectedTab=incomingTraffic&amp;key=gumroad.com</x:v>
      </x:c>
      <x:c r="X775" s="20" t="n">
        <x:f>IF(Q775="是",0,IFERROR(P775/SUMIFS($P$2:$P$964,$A$2:$A$964,A775,$Q$2:$Q$964,"否"),0))</x:f>
        <x:v>0.00493387124044108</x:v>
      </x:c>
      <x:c r="Y775" s="22" t="str">
        <x:f>IF(OR(M775="",U775=""),"未交叉",IF(M775*U775&gt;0,"同向",IF(M775*U775&lt;0,"背离","一侧持平")))</x:f>
        <x:v>未交叉</x:v>
      </x:c>
    </x:row>
    <x:row r="776">
      <x:c r="A776" s="18" t="str">
        <x:v>gumroad.com</x:v>
      </x:c>
      <x:c r="B776" s="19" t="str">
        <x:v>支付商主域（混合流量）</x:v>
      </x:c>
      <x:c r="C776" s="19" t="str">
        <x:v>中</x:v>
      </x:c>
      <x:c r="D776" s="19" t="str">
        <x:v>Jul 2026</x:v>
      </x:c>
      <x:c r="E776" s="19" t="n">
        <x:v>51</x:v>
      </x:c>
      <x:c r="F776" s="19" t="str">
        <x:v>audiolatry.com</x:v>
      </x:c>
      <x:c r="G776" s="19" t="str">
        <x:v>Music</x:v>
      </x:c>
      <x:c r="H776" s="19" t="str">
        <x:v>创作、设计与多媒体工具</x:v>
      </x:c>
      <x:c r="I776" s="19" t="str">
        <x:v>Similarweb 行业映射</x:v>
      </x:c>
      <x:c r="J776" s="19" t="n">
        <x:v>691638</x:v>
      </x:c>
      <x:c r="K776" s="20" t="n">
        <x:v>0.0028000000000000004</x:v>
      </x:c>
      <x:c r="L776" s="19" t="str">
        <x:v>下降</x:v>
      </x:c>
      <x:c r="M776" s="20" t="n">
        <x:v>-0.436</x:v>
      </x:c>
      <x:c r="N776" s="21" t="n">
        <x:v>2103000</x:v>
      </x:c>
      <x:c r="O776" s="21" t="n">
        <x:v>5888</x:v>
      </x:c>
      <x:c r="P776" s="21" t="n">
        <x:f>ROUND(N776*K776,0)</x:f>
        <x:v>5888</x:v>
      </x:c>
      <x:c r="Q776" s="19" t="str">
        <x:v>否</x:v>
      </x:c>
      <x:c r="R776" s="19" t="str"/>
      <x:c r="S776" s="19" t="n">
        <x:f>IF(Q776="是",0,MIN(10,2+IF(C776="高",2,1)+IF(K776&gt;=3%,3,IF(K776&gt;=1%,2,1))+IF(L776="新出现",2,IF(M776&gt;=100%,3,IF(M776&gt;0,2,0)))))</x:f>
        <x:v>4</x:v>
      </x:c>
      <x:c r="T776" s="21"/>
      <x:c r="U776" s="20"/>
      <x:c r="V776" s="19" t="str">
        <x:v>http://audiolatry.com/</x:v>
      </x:c>
      <x:c r="W776" s="19" t="str">
        <x:v>https://pro.similarweb.com/#/digitalsuite/websiteanalysis/referrals/*/999/1m?webSource=Total&amp;selectedTab=incomingTraffic&amp;key=gumroad.com</x:v>
      </x:c>
      <x:c r="X776" s="20" t="n">
        <x:f>IF(Q776="是",0,IFERROR(P776/SUMIFS($P$2:$P$964,$A$2:$A$964,A776,$Q$2:$Q$964,"否"),0))</x:f>
        <x:v>0.004763179843206604</x:v>
      </x:c>
      <x:c r="Y776" s="22" t="str">
        <x:f>IF(OR(M776="",U776=""),"未交叉",IF(M776*U776&gt;0,"同向",IF(M776*U776&lt;0,"背离","一侧持平")))</x:f>
        <x:v>未交叉</x:v>
      </x:c>
    </x:row>
    <x:row r="777">
      <x:c r="A777" s="18" t="str">
        <x:v>gumroad.com</x:v>
      </x:c>
      <x:c r="B777" s="19" t="str">
        <x:v>支付商主域（混合流量）</x:v>
      </x:c>
      <x:c r="C777" s="19" t="str">
        <x:v>中</x:v>
      </x:c>
      <x:c r="D777" s="19" t="str">
        <x:v>Jul 2026</x:v>
      </x:c>
      <x:c r="E777" s="19" t="n">
        <x:v>52</x:v>
      </x:c>
      <x:c r="F777" s="19" t="str">
        <x:v>free-mockup.com</x:v>
      </x:c>
      <x:c r="G777" s="19" t="str">
        <x:v>Graphics Multimedia and Web Design</x:v>
      </x:c>
      <x:c r="H777" s="19" t="str">
        <x:v>创作、设计与多媒体工具</x:v>
      </x:c>
      <x:c r="I777" s="19" t="str">
        <x:v>Similarweb 行业映射</x:v>
      </x:c>
      <x:c r="J777" s="19" t="n">
        <x:v>178874</x:v>
      </x:c>
      <x:c r="K777" s="20" t="n">
        <x:v>0.0027</x:v>
      </x:c>
      <x:c r="L777" s="19" t="str">
        <x:v>上升</x:v>
      </x:c>
      <x:c r="M777" s="20" t="n">
        <x:v>0.3361</x:v>
      </x:c>
      <x:c r="N777" s="21" t="n">
        <x:v>2103000</x:v>
      </x:c>
      <x:c r="O777" s="21" t="n">
        <x:v>5678</x:v>
      </x:c>
      <x:c r="P777" s="21" t="n">
        <x:f>ROUND(N777*K777,0)</x:f>
        <x:v>5678</x:v>
      </x:c>
      <x:c r="Q777" s="19" t="str">
        <x:v>否</x:v>
      </x:c>
      <x:c r="R777" s="19" t="str"/>
      <x:c r="S777" s="19" t="n">
        <x:f>IF(Q777="是",0,MIN(10,2+IF(C777="高",2,1)+IF(K777&gt;=3%,3,IF(K777&gt;=1%,2,1))+IF(L777="新出现",2,IF(M777&gt;=100%,3,IF(M777&gt;0,2,0)))))</x:f>
        <x:v>6</x:v>
      </x:c>
      <x:c r="T777" s="21"/>
      <x:c r="U777" s="20"/>
      <x:c r="V777" s="19" t="str">
        <x:v>http://free-mockup.com/</x:v>
      </x:c>
      <x:c r="W777" s="19" t="str">
        <x:v>https://pro.similarweb.com/#/digitalsuite/websiteanalysis/referrals/*/999/1m?webSource=Total&amp;selectedTab=incomingTraffic&amp;key=gumroad.com</x:v>
      </x:c>
      <x:c r="X777" s="20" t="n">
        <x:f>IF(Q777="是",0,IFERROR(P777/SUMIFS($P$2:$P$964,$A$2:$A$964,A777,$Q$2:$Q$964,"否"),0))</x:f>
        <x:v>0.004593297409940064</x:v>
      </x:c>
      <x:c r="Y777" s="22" t="str">
        <x:f>IF(OR(M777="",U777=""),"未交叉",IF(M777*U777&gt;0,"同向",IF(M777*U777&lt;0,"背离","一侧持平")))</x:f>
        <x:v>未交叉</x:v>
      </x:c>
    </x:row>
    <x:row r="778">
      <x:c r="A778" s="18" t="str">
        <x:v>gumroad.com</x:v>
      </x:c>
      <x:c r="B778" s="19" t="str">
        <x:v>支付商主域（混合流量）</x:v>
      </x:c>
      <x:c r="C778" s="19" t="str">
        <x:v>中</x:v>
      </x:c>
      <x:c r="D778" s="19" t="str">
        <x:v>Jul 2026</x:v>
      </x:c>
      <x:c r="E778" s="19" t="n">
        <x:v>53</x:v>
      </x:c>
      <x:c r="F778" s="19" t="str">
        <x:v>furaffinity.net</x:v>
      </x:c>
      <x:c r="G778" s="19" t="str">
        <x:v>Photography</x:v>
      </x:c>
      <x:c r="H778" s="19" t="str">
        <x:v>其他/待核查</x:v>
      </x:c>
      <x:c r="I778" s="19" t="str">
        <x:v>保守归类</x:v>
      </x:c>
      <x:c r="J778" s="19" t="n">
        <x:v>2212</x:v>
      </x:c>
      <x:c r="K778" s="20" t="n">
        <x:v>0.0026</x:v>
      </x:c>
      <x:c r="L778" s="19" t="str">
        <x:v>上升</x:v>
      </x:c>
      <x:c r="M778" s="20" t="n">
        <x:v>0.2616</x:v>
      </x:c>
      <x:c r="N778" s="21" t="n">
        <x:v>2103000</x:v>
      </x:c>
      <x:c r="O778" s="21" t="n">
        <x:v>5468</x:v>
      </x:c>
      <x:c r="P778" s="21" t="n">
        <x:f>ROUND(N778*K778,0)</x:f>
        <x:v>5468</x:v>
      </x:c>
      <x:c r="Q778" s="19" t="str">
        <x:v>否</x:v>
      </x:c>
      <x:c r="R778" s="19" t="str"/>
      <x:c r="S778" s="19" t="n">
        <x:f>IF(Q778="是",0,MIN(10,2+IF(C778="高",2,1)+IF(K778&gt;=3%,3,IF(K778&gt;=1%,2,1))+IF(L778="新出现",2,IF(M778&gt;=100%,3,IF(M778&gt;0,2,0)))))</x:f>
        <x:v>6</x:v>
      </x:c>
      <x:c r="T778" s="21"/>
      <x:c r="U778" s="20"/>
      <x:c r="V778" s="19" t="str">
        <x:v>http://furaffinity.net/</x:v>
      </x:c>
      <x:c r="W778" s="19" t="str">
        <x:v>https://pro.similarweb.com/#/digitalsuite/websiteanalysis/referrals/*/999/1m?webSource=Total&amp;selectedTab=incomingTraffic&amp;key=gumroad.com</x:v>
      </x:c>
      <x:c r="X778" s="20" t="n">
        <x:f>IF(Q778="是",0,IFERROR(P778/SUMIFS($P$2:$P$964,$A$2:$A$964,A778,$Q$2:$Q$964,"否"),0))</x:f>
        <x:v>0.004423414976673524</x:v>
      </x:c>
      <x:c r="Y778" s="22" t="str">
        <x:f>IF(OR(M778="",U778=""),"未交叉",IF(M778*U778&gt;0,"同向",IF(M778*U778&lt;0,"背离","一侧持平")))</x:f>
        <x:v>未交叉</x:v>
      </x:c>
    </x:row>
    <x:row r="779">
      <x:c r="A779" s="18" t="str">
        <x:v>gumroad.com</x:v>
      </x:c>
      <x:c r="B779" s="19" t="str">
        <x:v>支付商主域（混合流量）</x:v>
      </x:c>
      <x:c r="C779" s="19" t="str">
        <x:v>中</x:v>
      </x:c>
      <x:c r="D779" s="19" t="str">
        <x:v>Jul 2026</x:v>
      </x:c>
      <x:c r="E779" s="19" t="n">
        <x:v>54</x:v>
      </x:c>
      <x:c r="F779" s="19" t="str">
        <x:v>enchanted.media</x:v>
      </x:c>
      <x:c r="G779" s="19" t="str">
        <x:v>Graphics Multimedia and Web Design</x:v>
      </x:c>
      <x:c r="H779" s="19" t="str">
        <x:v>创作、设计与多媒体工具</x:v>
      </x:c>
      <x:c r="I779" s="19" t="str">
        <x:v>Similarweb 行业映射</x:v>
      </x:c>
      <x:c r="J779" s="19" t="n">
        <x:v>346350</x:v>
      </x:c>
      <x:c r="K779" s="20" t="n">
        <x:v>0.0026</x:v>
      </x:c>
      <x:c r="L779" s="19" t="str">
        <x:v>下降</x:v>
      </x:c>
      <x:c r="M779" s="20" t="n">
        <x:v>-0.2096</x:v>
      </x:c>
      <x:c r="N779" s="21" t="n">
        <x:v>2103000</x:v>
      </x:c>
      <x:c r="O779" s="21" t="n">
        <x:v>5468</x:v>
      </x:c>
      <x:c r="P779" s="21" t="n">
        <x:f>ROUND(N779*K779,0)</x:f>
        <x:v>5468</x:v>
      </x:c>
      <x:c r="Q779" s="19" t="str">
        <x:v>否</x:v>
      </x:c>
      <x:c r="R779" s="19" t="str"/>
      <x:c r="S779" s="19" t="n">
        <x:f>IF(Q779="是",0,MIN(10,2+IF(C779="高",2,1)+IF(K779&gt;=3%,3,IF(K779&gt;=1%,2,1))+IF(L779="新出现",2,IF(M779&gt;=100%,3,IF(M779&gt;0,2,0)))))</x:f>
        <x:v>4</x:v>
      </x:c>
      <x:c r="T779" s="21"/>
      <x:c r="U779" s="20"/>
      <x:c r="V779" s="19" t="str">
        <x:v>http://enchanted.media/</x:v>
      </x:c>
      <x:c r="W779" s="19" t="str">
        <x:v>https://pro.similarweb.com/#/digitalsuite/websiteanalysis/referrals/*/999/1m?webSource=Total&amp;selectedTab=incomingTraffic&amp;key=gumroad.com</x:v>
      </x:c>
      <x:c r="X779" s="20" t="n">
        <x:f>IF(Q779="是",0,IFERROR(P779/SUMIFS($P$2:$P$964,$A$2:$A$964,A779,$Q$2:$Q$964,"否"),0))</x:f>
        <x:v>0.004423414976673524</x:v>
      </x:c>
      <x:c r="Y779" s="22" t="str">
        <x:f>IF(OR(M779="",U779=""),"未交叉",IF(M779*U779&gt;0,"同向",IF(M779*U779&lt;0,"背离","一侧持平")))</x:f>
        <x:v>未交叉</x:v>
      </x:c>
    </x:row>
    <x:row r="780">
      <x:c r="A780" s="18" t="str">
        <x:v>gumroad.com</x:v>
      </x:c>
      <x:c r="B780" s="19" t="str">
        <x:v>支付商主域（混合流量）</x:v>
      </x:c>
      <x:c r="C780" s="19" t="str">
        <x:v>中</x:v>
      </x:c>
      <x:c r="D780" s="19" t="str">
        <x:v>Jul 2026</x:v>
      </x:c>
      <x:c r="E780" s="19" t="n">
        <x:v>55</x:v>
      </x:c>
      <x:c r="F780" s="19" t="str">
        <x:v>namu.wiki</x:v>
      </x:c>
      <x:c r="G780" s="19" t="str">
        <x:v>Social Networks and Online Communities</x:v>
      </x:c>
      <x:c r="H780" s="19" t="str">
        <x:v>其他/待核查</x:v>
      </x:c>
      <x:c r="I780" s="19" t="str">
        <x:v>保守归类</x:v>
      </x:c>
      <x:c r="J780" s="19" t="n">
        <x:v>108</x:v>
      </x:c>
      <x:c r="K780" s="20" t="n">
        <x:v>0.0026</x:v>
      </x:c>
      <x:c r="L780" s="19" t="str">
        <x:v>上升</x:v>
      </x:c>
      <x:c r="M780" s="20" t="n">
        <x:v>0.1991</x:v>
      </x:c>
      <x:c r="N780" s="21" t="n">
        <x:v>2103000</x:v>
      </x:c>
      <x:c r="O780" s="21" t="n">
        <x:v>5468</x:v>
      </x:c>
      <x:c r="P780" s="21" t="n">
        <x:f>ROUND(N780*K780,0)</x:f>
        <x:v>5468</x:v>
      </x:c>
      <x:c r="Q780" s="19" t="str">
        <x:v>否</x:v>
      </x:c>
      <x:c r="R780" s="19" t="str"/>
      <x:c r="S780" s="19" t="n">
        <x:f>IF(Q780="是",0,MIN(10,2+IF(C780="高",2,1)+IF(K780&gt;=3%,3,IF(K780&gt;=1%,2,1))+IF(L780="新出现",2,IF(M780&gt;=100%,3,IF(M780&gt;0,2,0)))))</x:f>
        <x:v>6</x:v>
      </x:c>
      <x:c r="T780" s="21"/>
      <x:c r="U780" s="20"/>
      <x:c r="V780" s="19" t="str">
        <x:v>http://namu.wiki/</x:v>
      </x:c>
      <x:c r="W780" s="19" t="str">
        <x:v>https://pro.similarweb.com/#/digitalsuite/websiteanalysis/referrals/*/999/1m?webSource=Total&amp;selectedTab=incomingTraffic&amp;key=gumroad.com</x:v>
      </x:c>
      <x:c r="X780" s="20" t="n">
        <x:f>IF(Q780="是",0,IFERROR(P780/SUMIFS($P$2:$P$964,$A$2:$A$964,A780,$Q$2:$Q$964,"否"),0))</x:f>
        <x:v>0.004423414976673524</x:v>
      </x:c>
      <x:c r="Y780" s="22" t="str">
        <x:f>IF(OR(M780="",U780=""),"未交叉",IF(M780*U780&gt;0,"同向",IF(M780*U780&lt;0,"背离","一侧持平")))</x:f>
        <x:v>未交叉</x:v>
      </x:c>
    </x:row>
    <x:row r="781">
      <x:c r="A781" s="18" t="str">
        <x:v>gumroad.com</x:v>
      </x:c>
      <x:c r="B781" s="19" t="str">
        <x:v>支付商主域（混合流量）</x:v>
      </x:c>
      <x:c r="C781" s="19" t="str">
        <x:v>中</x:v>
      </x:c>
      <x:c r="D781" s="19" t="str">
        <x:v>Jul 2026</x:v>
      </x:c>
      <x:c r="E781" s="19" t="n">
        <x:v>56</x:v>
      </x:c>
      <x:c r="F781" s="19" t="str">
        <x:v>bio.link</x:v>
      </x:c>
      <x:c r="G781" s="19" t="str">
        <x:v>Graphics Multimedia and Web Design</x:v>
      </x:c>
      <x:c r="H781" s="19" t="str">
        <x:v>创作、设计与多媒体工具</x:v>
      </x:c>
      <x:c r="I781" s="19" t="str">
        <x:v>Similarweb 行业映射</x:v>
      </x:c>
      <x:c r="J781" s="19" t="n">
        <x:v>19438</x:v>
      </x:c>
      <x:c r="K781" s="20" t="n">
        <x:v>0.0026</x:v>
      </x:c>
      <x:c r="L781" s="19" t="str">
        <x:v>上升</x:v>
      </x:c>
      <x:c r="M781" s="20" t="n">
        <x:v>3.0638</x:v>
      </x:c>
      <x:c r="N781" s="21" t="n">
        <x:v>2103000</x:v>
      </x:c>
      <x:c r="O781" s="21" t="n">
        <x:v>5468</x:v>
      </x:c>
      <x:c r="P781" s="21" t="n">
        <x:f>ROUND(N781*K781,0)</x:f>
        <x:v>5468</x:v>
      </x:c>
      <x:c r="Q781" s="19" t="str">
        <x:v>否</x:v>
      </x:c>
      <x:c r="R781" s="19" t="str"/>
      <x:c r="S781" s="19" t="n">
        <x:f>IF(Q781="是",0,MIN(10,2+IF(C781="高",2,1)+IF(K781&gt;=3%,3,IF(K781&gt;=1%,2,1))+IF(L781="新出现",2,IF(M781&gt;=100%,3,IF(M781&gt;0,2,0)))))</x:f>
        <x:v>7</x:v>
      </x:c>
      <x:c r="T781" s="21"/>
      <x:c r="U781" s="20"/>
      <x:c r="V781" s="19" t="str">
        <x:v>http://bio.link/</x:v>
      </x:c>
      <x:c r="W781" s="19" t="str">
        <x:v>https://pro.similarweb.com/#/digitalsuite/websiteanalysis/referrals/*/999/1m?webSource=Total&amp;selectedTab=incomingTraffic&amp;key=gumroad.com</x:v>
      </x:c>
      <x:c r="X781" s="20" t="n">
        <x:f>IF(Q781="是",0,IFERROR(P781/SUMIFS($P$2:$P$964,$A$2:$A$964,A781,$Q$2:$Q$964,"否"),0))</x:f>
        <x:v>0.004423414976673524</x:v>
      </x:c>
      <x:c r="Y781" s="22" t="str">
        <x:f>IF(OR(M781="",U781=""),"未交叉",IF(M781*U781&gt;0,"同向",IF(M781*U781&lt;0,"背离","一侧持平")))</x:f>
        <x:v>未交叉</x:v>
      </x:c>
    </x:row>
    <x:row r="782">
      <x:c r="A782" s="18" t="str">
        <x:v>gumroad.com</x:v>
      </x:c>
      <x:c r="B782" s="19" t="str">
        <x:v>支付商主域（混合流量）</x:v>
      </x:c>
      <x:c r="C782" s="19" t="str">
        <x:v>中</x:v>
      </x:c>
      <x:c r="D782" s="19" t="str">
        <x:v>Jul 2026</x:v>
      </x:c>
      <x:c r="E782" s="19" t="n">
        <x:v>57</x:v>
      </x:c>
      <x:c r="F782" s="19" t="str">
        <x:v>sindresorhus.com</x:v>
      </x:c>
      <x:c r="G782" s="19" t="str">
        <x:v>Programming and Developer Software</x:v>
      </x:c>
      <x:c r="H782" s="19" t="str">
        <x:v>开发者工具与互联网基础设施</x:v>
      </x:c>
      <x:c r="I782" s="19" t="str">
        <x:v>Similarweb 行业映射</x:v>
      </x:c>
      <x:c r="J782" s="19" t="n">
        <x:v>306509</x:v>
      </x:c>
      <x:c r="K782" s="20" t="n">
        <x:v>0.0026</x:v>
      </x:c>
      <x:c r="L782" s="19" t="str">
        <x:v>上升</x:v>
      </x:c>
      <x:c r="M782" s="20" t="n">
        <x:v>0.8</x:v>
      </x:c>
      <x:c r="N782" s="21" t="n">
        <x:v>2103000</x:v>
      </x:c>
      <x:c r="O782" s="21" t="n">
        <x:v>5468</x:v>
      </x:c>
      <x:c r="P782" s="21" t="n">
        <x:f>ROUND(N782*K782,0)</x:f>
        <x:v>5468</x:v>
      </x:c>
      <x:c r="Q782" s="19" t="str">
        <x:v>否</x:v>
      </x:c>
      <x:c r="R782" s="19" t="str"/>
      <x:c r="S782" s="19" t="n">
        <x:f>IF(Q782="是",0,MIN(10,2+IF(C782="高",2,1)+IF(K782&gt;=3%,3,IF(K782&gt;=1%,2,1))+IF(L782="新出现",2,IF(M782&gt;=100%,3,IF(M782&gt;0,2,0)))))</x:f>
        <x:v>6</x:v>
      </x:c>
      <x:c r="T782" s="21"/>
      <x:c r="U782" s="20"/>
      <x:c r="V782" s="19" t="str">
        <x:v>http://sindresorhus.com/</x:v>
      </x:c>
      <x:c r="W782" s="19" t="str">
        <x:v>https://pro.similarweb.com/#/digitalsuite/websiteanalysis/referrals/*/999/1m?webSource=Total&amp;selectedTab=incomingTraffic&amp;key=gumroad.com</x:v>
      </x:c>
      <x:c r="X782" s="20" t="n">
        <x:f>IF(Q782="是",0,IFERROR(P782/SUMIFS($P$2:$P$964,$A$2:$A$964,A782,$Q$2:$Q$964,"否"),0))</x:f>
        <x:v>0.004423414976673524</x:v>
      </x:c>
      <x:c r="Y782" s="22" t="str">
        <x:f>IF(OR(M782="",U782=""),"未交叉",IF(M782*U782&gt;0,"同向",IF(M782*U782&lt;0,"背离","一侧持平")))</x:f>
        <x:v>未交叉</x:v>
      </x:c>
    </x:row>
    <x:row r="783">
      <x:c r="A783" s="18" t="str">
        <x:v>gumroad.com</x:v>
      </x:c>
      <x:c r="B783" s="19" t="str">
        <x:v>支付商主域（混合流量）</x:v>
      </x:c>
      <x:c r="C783" s="19" t="str">
        <x:v>中</x:v>
      </x:c>
      <x:c r="D783" s="19" t="str">
        <x:v>Jul 2026</x:v>
      </x:c>
      <x:c r="E783" s="19" t="n">
        <x:v>58</x:v>
      </x:c>
      <x:c r="F783" s="19" t="str">
        <x:v>blenderartists.org</x:v>
      </x:c>
      <x:c r="G783" s="19" t="str">
        <x:v>Social Networks and Online Communities</x:v>
      </x:c>
      <x:c r="H783" s="19" t="str">
        <x:v>其他/待核查</x:v>
      </x:c>
      <x:c r="I783" s="19" t="str">
        <x:v>保守归类</x:v>
      </x:c>
      <x:c r="J783" s="19" t="n">
        <x:v>44775</x:v>
      </x:c>
      <x:c r="K783" s="20" t="n">
        <x:v>0.0026</x:v>
      </x:c>
      <x:c r="L783" s="19" t="str">
        <x:v>下降</x:v>
      </x:c>
      <x:c r="M783" s="20" t="n">
        <x:v>-0.309</x:v>
      </x:c>
      <x:c r="N783" s="21" t="n">
        <x:v>2103000</x:v>
      </x:c>
      <x:c r="O783" s="21" t="n">
        <x:v>5468</x:v>
      </x:c>
      <x:c r="P783" s="21" t="n">
        <x:f>ROUND(N783*K783,0)</x:f>
        <x:v>5468</x:v>
      </x:c>
      <x:c r="Q783" s="19" t="str">
        <x:v>否</x:v>
      </x:c>
      <x:c r="R783" s="19" t="str"/>
      <x:c r="S783" s="19" t="n">
        <x:f>IF(Q783="是",0,MIN(10,2+IF(C783="高",2,1)+IF(K783&gt;=3%,3,IF(K783&gt;=1%,2,1))+IF(L783="新出现",2,IF(M783&gt;=100%,3,IF(M783&gt;0,2,0)))))</x:f>
        <x:v>4</x:v>
      </x:c>
      <x:c r="T783" s="21"/>
      <x:c r="U783" s="20"/>
      <x:c r="V783" s="19" t="str">
        <x:v>http://blenderartists.org/</x:v>
      </x:c>
      <x:c r="W783" s="19" t="str">
        <x:v>https://pro.similarweb.com/#/digitalsuite/websiteanalysis/referrals/*/999/1m?webSource=Total&amp;selectedTab=incomingTraffic&amp;key=gumroad.com</x:v>
      </x:c>
      <x:c r="X783" s="20" t="n">
        <x:f>IF(Q783="是",0,IFERROR(P783/SUMIFS($P$2:$P$964,$A$2:$A$964,A783,$Q$2:$Q$964,"否"),0))</x:f>
        <x:v>0.004423414976673524</x:v>
      </x:c>
      <x:c r="Y783" s="22" t="str">
        <x:f>IF(OR(M783="",U783=""),"未交叉",IF(M783*U783&gt;0,"同向",IF(M783*U783&lt;0,"背离","一侧持平")))</x:f>
        <x:v>未交叉</x:v>
      </x:c>
    </x:row>
    <x:row r="784">
      <x:c r="A784" s="18" t="str">
        <x:v>gumroad.com</x:v>
      </x:c>
      <x:c r="B784" s="19" t="str">
        <x:v>支付商主域（混合流量）</x:v>
      </x:c>
      <x:c r="C784" s="19" t="str">
        <x:v>中</x:v>
      </x:c>
      <x:c r="D784" s="19" t="str">
        <x:v>Jul 2026</x:v>
      </x:c>
      <x:c r="E784" s="19" t="n">
        <x:v>59</x:v>
      </x:c>
      <x:c r="F784" s="19" t="str">
        <x:v>edollarearn.to</x:v>
      </x:c>
      <x:c r="G784" s="19" t="str">
        <x:v>File Sharing and Hosting</x:v>
      </x:c>
      <x:c r="H784" s="19" t="str">
        <x:v>开发者工具与互联网基础设施</x:v>
      </x:c>
      <x:c r="I784" s="19" t="str">
        <x:v>Similarweb 行业映射</x:v>
      </x:c>
      <x:c r="J784" s="19" t="n">
        <x:v>187640</x:v>
      </x:c>
      <x:c r="K784" s="20" t="n">
        <x:v>0.0025</x:v>
      </x:c>
      <x:c r="L784" s="19" t="str">
        <x:v>上升</x:v>
      </x:c>
      <x:c r="M784" s="20" t="n">
        <x:v>1.6081999999999999</x:v>
      </x:c>
      <x:c r="N784" s="21" t="n">
        <x:v>2103000</x:v>
      </x:c>
      <x:c r="O784" s="21" t="n">
        <x:v>5258</x:v>
      </x:c>
      <x:c r="P784" s="21" t="n">
        <x:f>ROUND(N784*K784,0)</x:f>
        <x:v>5258</x:v>
      </x:c>
      <x:c r="Q784" s="19" t="str">
        <x:v>否</x:v>
      </x:c>
      <x:c r="R784" s="19" t="str"/>
      <x:c r="S784" s="19" t="n">
        <x:f>IF(Q784="是",0,MIN(10,2+IF(C784="高",2,1)+IF(K784&gt;=3%,3,IF(K784&gt;=1%,2,1))+IF(L784="新出现",2,IF(M784&gt;=100%,3,IF(M784&gt;0,2,0)))))</x:f>
        <x:v>7</x:v>
      </x:c>
      <x:c r="T784" s="21"/>
      <x:c r="U784" s="20"/>
      <x:c r="V784" s="19" t="str">
        <x:v>http://edollarearn.to/</x:v>
      </x:c>
      <x:c r="W784" s="19" t="str">
        <x:v>https://pro.similarweb.com/#/digitalsuite/websiteanalysis/referrals/*/999/1m?webSource=Total&amp;selectedTab=incomingTraffic&amp;key=gumroad.com</x:v>
      </x:c>
      <x:c r="X784" s="20" t="n">
        <x:f>IF(Q784="是",0,IFERROR(P784/SUMIFS($P$2:$P$964,$A$2:$A$964,A784,$Q$2:$Q$964,"否"),0))</x:f>
        <x:v>0.004253532543406984</x:v>
      </x:c>
      <x:c r="Y784" s="22" t="str">
        <x:f>IF(OR(M784="",U784=""),"未交叉",IF(M784*U784&gt;0,"同向",IF(M784*U784&lt;0,"背离","一侧持平")))</x:f>
        <x:v>未交叉</x:v>
      </x:c>
    </x:row>
    <x:row r="785">
      <x:c r="A785" s="18" t="str">
        <x:v>gumroad.com</x:v>
      </x:c>
      <x:c r="B785" s="19" t="str">
        <x:v>支付商主域（混合流量）</x:v>
      </x:c>
      <x:c r="C785" s="19" t="str">
        <x:v>中</x:v>
      </x:c>
      <x:c r="D785" s="19" t="str">
        <x:v>Jul 2026</x:v>
      </x:c>
      <x:c r="E785" s="19" t="n">
        <x:v>60</x:v>
      </x:c>
      <x:c r="F785" s="19" t="str">
        <x:v>lnk.bio</x:v>
      </x:c>
      <x:c r="G785" s="19" t="str">
        <x:v>Lifestyle</x:v>
      </x:c>
      <x:c r="H785" s="19" t="str">
        <x:v>健康、生活方式与消费服务</x:v>
      </x:c>
      <x:c r="I785" s="19" t="str">
        <x:v>Similarweb 行业映射</x:v>
      </x:c>
      <x:c r="J785" s="19" t="n">
        <x:v>20481</x:v>
      </x:c>
      <x:c r="K785" s="20" t="n">
        <x:v>0.0024</x:v>
      </x:c>
      <x:c r="L785" s="19" t="str">
        <x:v>下降</x:v>
      </x:c>
      <x:c r="M785" s="20" t="n">
        <x:v>-0.1883</x:v>
      </x:c>
      <x:c r="N785" s="21" t="n">
        <x:v>2103000</x:v>
      </x:c>
      <x:c r="O785" s="21" t="n">
        <x:v>5047</x:v>
      </x:c>
      <x:c r="P785" s="21" t="n">
        <x:f>ROUND(N785*K785,0)</x:f>
        <x:v>5047</x:v>
      </x:c>
      <x:c r="Q785" s="19" t="str">
        <x:v>否</x:v>
      </x:c>
      <x:c r="R785" s="19" t="str"/>
      <x:c r="S785" s="19" t="n">
        <x:f>IF(Q785="是",0,MIN(10,2+IF(C785="高",2,1)+IF(K785&gt;=3%,3,IF(K785&gt;=1%,2,1))+IF(L785="新出现",2,IF(M785&gt;=100%,3,IF(M785&gt;0,2,0)))))</x:f>
        <x:v>4</x:v>
      </x:c>
      <x:c r="T785" s="21"/>
      <x:c r="U785" s="20"/>
      <x:c r="V785" s="19" t="str">
        <x:v>http://lnk.bio/</x:v>
      </x:c>
      <x:c r="W785" s="19" t="str">
        <x:v>https://pro.similarweb.com/#/digitalsuite/websiteanalysis/referrals/*/999/1m?webSource=Total&amp;selectedTab=incomingTraffic&amp;key=gumroad.com</x:v>
      </x:c>
      <x:c r="X785" s="20" t="n">
        <x:f>IF(Q785="是",0,IFERROR(P785/SUMIFS($P$2:$P$964,$A$2:$A$964,A785,$Q$2:$Q$964,"否"),0))</x:f>
        <x:v>0.004082841146172508</x:v>
      </x:c>
      <x:c r="Y785" s="22" t="str">
        <x:f>IF(OR(M785="",U785=""),"未交叉",IF(M785*U785&gt;0,"同向",IF(M785*U785&lt;0,"背离","一侧持平")))</x:f>
        <x:v>未交叉</x:v>
      </x:c>
    </x:row>
    <x:row r="786">
      <x:c r="A786" s="18" t="str">
        <x:v>gumroad.com</x:v>
      </x:c>
      <x:c r="B786" s="19" t="str">
        <x:v>支付商主域（混合流量）</x:v>
      </x:c>
      <x:c r="C786" s="19" t="str">
        <x:v>中</x:v>
      </x:c>
      <x:c r="D786" s="19" t="str">
        <x:v>Jul 2026</x:v>
      </x:c>
      <x:c r="E786" s="19" t="n">
        <x:v>61</x:v>
      </x:c>
      <x:c r="F786" s="19" t="str">
        <x:v>quietmusic.eu</x:v>
      </x:c>
      <x:c r="G786" s="19" t="str">
        <x:v>Music</x:v>
      </x:c>
      <x:c r="H786" s="19" t="str">
        <x:v>创作、设计与多媒体工具</x:v>
      </x:c>
      <x:c r="I786" s="19" t="str">
        <x:v>Similarweb 行业映射</x:v>
      </x:c>
      <x:c r="J786" s="19" t="n">
        <x:v>1551711</x:v>
      </x:c>
      <x:c r="K786" s="20" t="n">
        <x:v>0.0024</x:v>
      </x:c>
      <x:c r="L786" s="19" t="str">
        <x:v>上升</x:v>
      </x:c>
      <x:c r="M786" s="20" t="n">
        <x:v>0.5078</x:v>
      </x:c>
      <x:c r="N786" s="21" t="n">
        <x:v>2103000</x:v>
      </x:c>
      <x:c r="O786" s="21" t="n">
        <x:v>5047</x:v>
      </x:c>
      <x:c r="P786" s="21" t="n">
        <x:f>ROUND(N786*K786,0)</x:f>
        <x:v>5047</x:v>
      </x:c>
      <x:c r="Q786" s="19" t="str">
        <x:v>否</x:v>
      </x:c>
      <x:c r="R786" s="19" t="str"/>
      <x:c r="S786" s="19" t="n">
        <x:f>IF(Q786="是",0,MIN(10,2+IF(C786="高",2,1)+IF(K786&gt;=3%,3,IF(K786&gt;=1%,2,1))+IF(L786="新出现",2,IF(M786&gt;=100%,3,IF(M786&gt;0,2,0)))))</x:f>
        <x:v>6</x:v>
      </x:c>
      <x:c r="T786" s="21"/>
      <x:c r="U786" s="20"/>
      <x:c r="V786" s="19" t="str">
        <x:v>http://quietmusic.eu/</x:v>
      </x:c>
      <x:c r="W786" s="19" t="str">
        <x:v>https://pro.similarweb.com/#/digitalsuite/websiteanalysis/referrals/*/999/1m?webSource=Total&amp;selectedTab=incomingTraffic&amp;key=gumroad.com</x:v>
      </x:c>
      <x:c r="X786" s="20" t="n">
        <x:f>IF(Q786="是",0,IFERROR(P786/SUMIFS($P$2:$P$964,$A$2:$A$964,A786,$Q$2:$Q$964,"否"),0))</x:f>
        <x:v>0.004082841146172508</x:v>
      </x:c>
      <x:c r="Y786" s="22" t="str">
        <x:f>IF(OR(M786="",U786=""),"未交叉",IF(M786*U786&gt;0,"同向",IF(M786*U786&lt;0,"背离","一侧持平")))</x:f>
        <x:v>未交叉</x:v>
      </x:c>
    </x:row>
    <x:row r="787">
      <x:c r="A787" s="18" t="str">
        <x:v>gumroad.com</x:v>
      </x:c>
      <x:c r="B787" s="19" t="str">
        <x:v>支付商主域（混合流量）</x:v>
      </x:c>
      <x:c r="C787" s="19" t="str">
        <x:v>中</x:v>
      </x:c>
      <x:c r="D787" s="19" t="str">
        <x:v>Jul 2026</x:v>
      </x:c>
      <x:c r="E787" s="19" t="n">
        <x:v>62</x:v>
      </x:c>
      <x:c r="F787" s="19" t="str">
        <x:v>capysynth.com</x:v>
      </x:c>
      <x:c r="G787" s="19" t="str">
        <x:v>Unknown</x:v>
      </x:c>
      <x:c r="H787" s="19" t="str">
        <x:v>其他/待核查</x:v>
      </x:c>
      <x:c r="I787" s="19" t="str">
        <x:v>Similarweb 未分类</x:v>
      </x:c>
      <x:c r="J787" s="19" t="n">
        <x:v>1936714</x:v>
      </x:c>
      <x:c r="K787" s="20" t="n">
        <x:v>0.0023</x:v>
      </x:c>
      <x:c r="L787" s="19" t="str">
        <x:v>下降</x:v>
      </x:c>
      <x:c r="M787" s="20" t="n">
        <x:v>-0.183</x:v>
      </x:c>
      <x:c r="N787" s="21" t="n">
        <x:v>2103000</x:v>
      </x:c>
      <x:c r="O787" s="21" t="n">
        <x:v>4837</x:v>
      </x:c>
      <x:c r="P787" s="21" t="n">
        <x:f>ROUND(N787*K787,0)</x:f>
        <x:v>4837</x:v>
      </x:c>
      <x:c r="Q787" s="19" t="str">
        <x:v>否</x:v>
      </x:c>
      <x:c r="R787" s="19" t="str"/>
      <x:c r="S787" s="19" t="n">
        <x:f>IF(Q787="是",0,MIN(10,2+IF(C787="高",2,1)+IF(K787&gt;=3%,3,IF(K787&gt;=1%,2,1))+IF(L787="新出现",2,IF(M787&gt;=100%,3,IF(M787&gt;0,2,0)))))</x:f>
        <x:v>4</x:v>
      </x:c>
      <x:c r="T787" s="21"/>
      <x:c r="U787" s="20"/>
      <x:c r="V787" s="19" t="str">
        <x:v>http://capysynth.com/</x:v>
      </x:c>
      <x:c r="W787" s="19" t="str">
        <x:v>https://pro.similarweb.com/#/digitalsuite/websiteanalysis/referrals/*/999/1m?webSource=Total&amp;selectedTab=incomingTraffic&amp;key=gumroad.com</x:v>
      </x:c>
      <x:c r="X787" s="20" t="n">
        <x:f>IF(Q787="是",0,IFERROR(P787/SUMIFS($P$2:$P$964,$A$2:$A$964,A787,$Q$2:$Q$964,"否"),0))</x:f>
        <x:v>0.003912958712905969</x:v>
      </x:c>
      <x:c r="Y787" s="22" t="str">
        <x:f>IF(OR(M787="",U787=""),"未交叉",IF(M787*U787&gt;0,"同向",IF(M787*U787&lt;0,"背离","一侧持平")))</x:f>
        <x:v>未交叉</x:v>
      </x:c>
    </x:row>
    <x:row r="788">
      <x:c r="A788" s="18" t="str">
        <x:v>gumroad.com</x:v>
      </x:c>
      <x:c r="B788" s="19" t="str">
        <x:v>支付商主域（混合流量）</x:v>
      </x:c>
      <x:c r="C788" s="19" t="str">
        <x:v>中</x:v>
      </x:c>
      <x:c r="D788" s="19" t="str">
        <x:v>Jul 2026</x:v>
      </x:c>
      <x:c r="E788" s="19" t="n">
        <x:v>63</x:v>
      </x:c>
      <x:c r="F788" s="19" t="str">
        <x:v>goodmockups.com</x:v>
      </x:c>
      <x:c r="G788" s="19" t="str">
        <x:v>Graphics Multimedia and Web Design</x:v>
      </x:c>
      <x:c r="H788" s="19" t="str">
        <x:v>创作、设计与多媒体工具</x:v>
      </x:c>
      <x:c r="I788" s="19" t="str">
        <x:v>Similarweb 行业映射</x:v>
      </x:c>
      <x:c r="J788" s="19" t="n">
        <x:v>89566</x:v>
      </x:c>
      <x:c r="K788" s="20" t="n">
        <x:v>0.0022</x:v>
      </x:c>
      <x:c r="L788" s="19" t="str">
        <x:v>下降</x:v>
      </x:c>
      <x:c r="M788" s="20" t="n">
        <x:v>-0.39890000000000003</x:v>
      </x:c>
      <x:c r="N788" s="21" t="n">
        <x:v>2103000</x:v>
      </x:c>
      <x:c r="O788" s="21" t="n">
        <x:v>4627</x:v>
      </x:c>
      <x:c r="P788" s="21" t="n">
        <x:f>ROUND(N788*K788,0)</x:f>
        <x:v>4627</x:v>
      </x:c>
      <x:c r="Q788" s="19" t="str">
        <x:v>否</x:v>
      </x:c>
      <x:c r="R788" s="19" t="str"/>
      <x:c r="S788" s="19" t="n">
        <x:f>IF(Q788="是",0,MIN(10,2+IF(C788="高",2,1)+IF(K788&gt;=3%,3,IF(K788&gt;=1%,2,1))+IF(L788="新出现",2,IF(M788&gt;=100%,3,IF(M788&gt;0,2,0)))))</x:f>
        <x:v>4</x:v>
      </x:c>
      <x:c r="T788" s="21"/>
      <x:c r="U788" s="20"/>
      <x:c r="V788" s="19" t="str">
        <x:v>http://goodmockups.com/</x:v>
      </x:c>
      <x:c r="W788" s="19" t="str">
        <x:v>https://pro.similarweb.com/#/digitalsuite/websiteanalysis/referrals/*/999/1m?webSource=Total&amp;selectedTab=incomingTraffic&amp;key=gumroad.com</x:v>
      </x:c>
      <x:c r="X788" s="20" t="n">
        <x:f>IF(Q788="是",0,IFERROR(P788/SUMIFS($P$2:$P$964,$A$2:$A$964,A788,$Q$2:$Q$964,"否"),0))</x:f>
        <x:v>0.0037430762796394285</x:v>
      </x:c>
      <x:c r="Y788" s="22" t="str">
        <x:f>IF(OR(M788="",U788=""),"未交叉",IF(M788*U788&gt;0,"同向",IF(M788*U788&lt;0,"背离","一侧持平")))</x:f>
        <x:v>未交叉</x:v>
      </x:c>
    </x:row>
    <x:row r="789">
      <x:c r="A789" s="18" t="str">
        <x:v>gumroad.com</x:v>
      </x:c>
      <x:c r="B789" s="19" t="str">
        <x:v>支付商主域（混合流量）</x:v>
      </x:c>
      <x:c r="C789" s="19" t="str">
        <x:v>中</x:v>
      </x:c>
      <x:c r="D789" s="19" t="str">
        <x:v>Jul 2026</x:v>
      </x:c>
      <x:c r="E789" s="19" t="n">
        <x:v>64</x:v>
      </x:c>
      <x:c r="F789" s="19" t="str">
        <x:v>msn.com</x:v>
      </x:c>
      <x:c r="G789" s="19" t="str">
        <x:v>News and Media</x:v>
      </x:c>
      <x:c r="H789" s="19" t="str">
        <x:v>内容媒体、线下与实体消费</x:v>
      </x:c>
      <x:c r="I789" s="19" t="str">
        <x:v>Similarweb 行业映射</x:v>
      </x:c>
      <x:c r="J789" s="19" t="n">
        <x:v>80</x:v>
      </x:c>
      <x:c r="K789" s="20" t="n">
        <x:v>0.0022</x:v>
      </x:c>
      <x:c r="L789" s="19" t="str">
        <x:v>下降</x:v>
      </x:c>
      <x:c r="M789" s="20" t="n">
        <x:v>-0.08810000000000001</x:v>
      </x:c>
      <x:c r="N789" s="21" t="n">
        <x:v>2103000</x:v>
      </x:c>
      <x:c r="O789" s="21" t="n">
        <x:v>4627</x:v>
      </x:c>
      <x:c r="P789" s="21" t="n">
        <x:f>ROUND(N789*K789,0)</x:f>
        <x:v>4627</x:v>
      </x:c>
      <x:c r="Q789" s="19" t="str">
        <x:v>否</x:v>
      </x:c>
      <x:c r="R789" s="19" t="str"/>
      <x:c r="S789" s="19" t="n">
        <x:f>IF(Q789="是",0,MIN(10,2+IF(C789="高",2,1)+IF(K789&gt;=3%,3,IF(K789&gt;=1%,2,1))+IF(L789="新出现",2,IF(M789&gt;=100%,3,IF(M789&gt;0,2,0)))))</x:f>
        <x:v>4</x:v>
      </x:c>
      <x:c r="T789" s="21"/>
      <x:c r="U789" s="20"/>
      <x:c r="V789" s="19" t="str">
        <x:v>http://msn.com/</x:v>
      </x:c>
      <x:c r="W789" s="19" t="str">
        <x:v>https://pro.similarweb.com/#/digitalsuite/websiteanalysis/referrals/*/999/1m?webSource=Total&amp;selectedTab=incomingTraffic&amp;key=gumroad.com</x:v>
      </x:c>
      <x:c r="X789" s="20" t="n">
        <x:f>IF(Q789="是",0,IFERROR(P789/SUMIFS($P$2:$P$964,$A$2:$A$964,A789,$Q$2:$Q$964,"否"),0))</x:f>
        <x:v>0.0037430762796394285</x:v>
      </x:c>
      <x:c r="Y789" s="22" t="str">
        <x:f>IF(OR(M789="",U789=""),"未交叉",IF(M789*U789&gt;0,"同向",IF(M789*U789&lt;0,"背离","一侧持平")))</x:f>
        <x:v>未交叉</x:v>
      </x:c>
    </x:row>
    <x:row r="790">
      <x:c r="A790" s="18" t="str">
        <x:v>gumroad.com</x:v>
      </x:c>
      <x:c r="B790" s="19" t="str">
        <x:v>支付商主域（混合流量）</x:v>
      </x:c>
      <x:c r="C790" s="19" t="str">
        <x:v>中</x:v>
      </x:c>
      <x:c r="D790" s="19" t="str">
        <x:v>Jul 2026</x:v>
      </x:c>
      <x:c r="E790" s="19" t="n">
        <x:v>65</x:v>
      </x:c>
      <x:c r="F790" s="19" t="str">
        <x:v>gogoloco.net</x:v>
      </x:c>
      <x:c r="G790" s="19" t="str">
        <x:v>Video Games Consoles and Accessories</x:v>
      </x:c>
      <x:c r="H790" s="19" t="str">
        <x:v>游戏、数字商品与虚拟内容</x:v>
      </x:c>
      <x:c r="I790" s="19" t="str">
        <x:v>Similarweb 行业映射</x:v>
      </x:c>
      <x:c r="J790" s="19" t="n">
        <x:v>826721</x:v>
      </x:c>
      <x:c r="K790" s="20" t="n">
        <x:v>0.0022</x:v>
      </x:c>
      <x:c r="L790" s="19" t="str">
        <x:v>下降</x:v>
      </x:c>
      <x:c r="M790" s="20" t="n">
        <x:v>-0.044199999999999996</x:v>
      </x:c>
      <x:c r="N790" s="21" t="n">
        <x:v>2103000</x:v>
      </x:c>
      <x:c r="O790" s="21" t="n">
        <x:v>4627</x:v>
      </x:c>
      <x:c r="P790" s="21" t="n">
        <x:f>ROUND(N790*K790,0)</x:f>
        <x:v>4627</x:v>
      </x:c>
      <x:c r="Q790" s="19" t="str">
        <x:v>否</x:v>
      </x:c>
      <x:c r="R790" s="19" t="str"/>
      <x:c r="S790" s="19" t="n">
        <x:f>IF(Q790="是",0,MIN(10,2+IF(C790="高",2,1)+IF(K790&gt;=3%,3,IF(K790&gt;=1%,2,1))+IF(L790="新出现",2,IF(M790&gt;=100%,3,IF(M790&gt;0,2,0)))))</x:f>
        <x:v>4</x:v>
      </x:c>
      <x:c r="T790" s="21"/>
      <x:c r="U790" s="20"/>
      <x:c r="V790" s="19" t="str">
        <x:v>http://gogoloco.net/</x:v>
      </x:c>
      <x:c r="W790" s="19" t="str">
        <x:v>https://pro.similarweb.com/#/digitalsuite/websiteanalysis/referrals/*/999/1m?webSource=Total&amp;selectedTab=incomingTraffic&amp;key=gumroad.com</x:v>
      </x:c>
      <x:c r="X790" s="20" t="n">
        <x:f>IF(Q790="是",0,IFERROR(P790/SUMIFS($P$2:$P$964,$A$2:$A$964,A790,$Q$2:$Q$964,"否"),0))</x:f>
        <x:v>0.0037430762796394285</x:v>
      </x:c>
      <x:c r="Y790" s="22" t="str">
        <x:f>IF(OR(M790="",U790=""),"未交叉",IF(M790*U790&gt;0,"同向",IF(M790*U790&lt;0,"背离","一侧持平")))</x:f>
        <x:v>未交叉</x:v>
      </x:c>
    </x:row>
    <x:row r="791">
      <x:c r="A791" s="18" t="str">
        <x:v>gumroad.com</x:v>
      </x:c>
      <x:c r="B791" s="19" t="str">
        <x:v>支付商主域（混合流量）</x:v>
      </x:c>
      <x:c r="C791" s="19" t="str">
        <x:v>中</x:v>
      </x:c>
      <x:c r="D791" s="19" t="str">
        <x:v>Jul 2026</x:v>
      </x:c>
      <x:c r="E791" s="19" t="n">
        <x:v>66</x:v>
      </x:c>
      <x:c r="F791" s="19" t="str">
        <x:v>giantitp.com</x:v>
      </x:c>
      <x:c r="G791" s="19" t="str">
        <x:v>Roleplaying Games</x:v>
      </x:c>
      <x:c r="H791" s="19" t="str">
        <x:v>游戏、数字商品与虚拟内容</x:v>
      </x:c>
      <x:c r="I791" s="19" t="str">
        <x:v>Similarweb 行业映射</x:v>
      </x:c>
      <x:c r="J791" s="19" t="n">
        <x:v>33632</x:v>
      </x:c>
      <x:c r="K791" s="20" t="n">
        <x:v>0.0022</x:v>
      </x:c>
      <x:c r="L791" s="19" t="str">
        <x:v>下降</x:v>
      </x:c>
      <x:c r="M791" s="20" t="n">
        <x:v>-0.3011</x:v>
      </x:c>
      <x:c r="N791" s="21" t="n">
        <x:v>2103000</x:v>
      </x:c>
      <x:c r="O791" s="21" t="n">
        <x:v>4627</x:v>
      </x:c>
      <x:c r="P791" s="21" t="n">
        <x:f>ROUND(N791*K791,0)</x:f>
        <x:v>4627</x:v>
      </x:c>
      <x:c r="Q791" s="19" t="str">
        <x:v>否</x:v>
      </x:c>
      <x:c r="R791" s="19" t="str"/>
      <x:c r="S791" s="19" t="n">
        <x:f>IF(Q791="是",0,MIN(10,2+IF(C791="高",2,1)+IF(K791&gt;=3%,3,IF(K791&gt;=1%,2,1))+IF(L791="新出现",2,IF(M791&gt;=100%,3,IF(M791&gt;0,2,0)))))</x:f>
        <x:v>4</x:v>
      </x:c>
      <x:c r="T791" s="21"/>
      <x:c r="U791" s="20"/>
      <x:c r="V791" s="19" t="str">
        <x:v>http://giantitp.com/</x:v>
      </x:c>
      <x:c r="W791" s="19" t="str">
        <x:v>https://pro.similarweb.com/#/digitalsuite/websiteanalysis/referrals/*/999/1m?webSource=Total&amp;selectedTab=incomingTraffic&amp;key=gumroad.com</x:v>
      </x:c>
      <x:c r="X791" s="20" t="n">
        <x:f>IF(Q791="是",0,IFERROR(P791/SUMIFS($P$2:$P$964,$A$2:$A$964,A791,$Q$2:$Q$964,"否"),0))</x:f>
        <x:v>0.0037430762796394285</x:v>
      </x:c>
      <x:c r="Y791" s="22" t="str">
        <x:f>IF(OR(M791="",U791=""),"未交叉",IF(M791*U791&gt;0,"同向",IF(M791*U791&lt;0,"背离","一侧持平")))</x:f>
        <x:v>未交叉</x:v>
      </x:c>
    </x:row>
    <x:row r="792">
      <x:c r="A792" s="18" t="str">
        <x:v>gumroad.com</x:v>
      </x:c>
      <x:c r="B792" s="19" t="str">
        <x:v>支付商主域（混合流量）</x:v>
      </x:c>
      <x:c r="C792" s="19" t="str">
        <x:v>中</x:v>
      </x:c>
      <x:c r="D792" s="19" t="str">
        <x:v>Jul 2026</x:v>
      </x:c>
      <x:c r="E792" s="19" t="n">
        <x:v>67</x:v>
      </x:c>
      <x:c r="F792" s="19" t="str">
        <x:v>djawaphoto.com</x:v>
      </x:c>
      <x:c r="G792" s="19" t="str">
        <x:v>Adult</x:v>
      </x:c>
      <x:c r="H792" s="19" t="str">
        <x:v>其他/待核查</x:v>
      </x:c>
      <x:c r="I792" s="19" t="str">
        <x:v>保守归类</x:v>
      </x:c>
      <x:c r="J792" s="19" t="n">
        <x:v>619624</x:v>
      </x:c>
      <x:c r="K792" s="20" t="n">
        <x:v>0.0021</x:v>
      </x:c>
      <x:c r="L792" s="19" t="str">
        <x:v>上升</x:v>
      </x:c>
      <x:c r="M792" s="20" t="n">
        <x:v>0.5605</x:v>
      </x:c>
      <x:c r="N792" s="21" t="n">
        <x:v>2103000</x:v>
      </x:c>
      <x:c r="O792" s="21" t="n">
        <x:v>4416</x:v>
      </x:c>
      <x:c r="P792" s="21" t="n">
        <x:f>ROUND(N792*K792,0)</x:f>
        <x:v>4416</x:v>
      </x:c>
      <x:c r="Q792" s="19" t="str">
        <x:v>否</x:v>
      </x:c>
      <x:c r="R792" s="19" t="str"/>
      <x:c r="S792" s="19" t="n">
        <x:f>IF(Q792="是",0,MIN(10,2+IF(C792="高",2,1)+IF(K792&gt;=3%,3,IF(K792&gt;=1%,2,1))+IF(L792="新出现",2,IF(M792&gt;=100%,3,IF(M792&gt;0,2,0)))))</x:f>
        <x:v>6</x:v>
      </x:c>
      <x:c r="T792" s="21"/>
      <x:c r="U792" s="20"/>
      <x:c r="V792" s="19" t="str">
        <x:v>http://djawaphoto.com/</x:v>
      </x:c>
      <x:c r="W792" s="19" t="str">
        <x:v>https://pro.similarweb.com/#/digitalsuite/websiteanalysis/referrals/*/999/1m?webSource=Total&amp;selectedTab=incomingTraffic&amp;key=gumroad.com</x:v>
      </x:c>
      <x:c r="X792" s="20" t="n">
        <x:f>IF(Q792="是",0,IFERROR(P792/SUMIFS($P$2:$P$964,$A$2:$A$964,A792,$Q$2:$Q$964,"否"),0))</x:f>
        <x:v>0.003572384882404953</x:v>
      </x:c>
      <x:c r="Y792" s="22" t="str">
        <x:f>IF(OR(M792="",U792=""),"未交叉",IF(M792*U792&gt;0,"同向",IF(M792*U792&lt;0,"背离","一侧持平")))</x:f>
        <x:v>未交叉</x:v>
      </x:c>
    </x:row>
    <x:row r="793">
      <x:c r="A793" s="18" t="str">
        <x:v>gumroad.com</x:v>
      </x:c>
      <x:c r="B793" s="19" t="str">
        <x:v>支付商主域（混合流量）</x:v>
      </x:c>
      <x:c r="C793" s="19" t="str">
        <x:v>中</x:v>
      </x:c>
      <x:c r="D793" s="19" t="str">
        <x:v>Jul 2026</x:v>
      </x:c>
      <x:c r="E793" s="19" t="n">
        <x:v>68</x:v>
      </x:c>
      <x:c r="F793" s="19" t="str">
        <x:v>prompts.chat</x:v>
      </x:c>
      <x:c r="G793" s="19" t="str">
        <x:v>Programming and Developer Software</x:v>
      </x:c>
      <x:c r="H793" s="19" t="str">
        <x:v>开发者工具与互联网基础设施</x:v>
      </x:c>
      <x:c r="I793" s="19" t="str">
        <x:v>Similarweb 行业映射</x:v>
      </x:c>
      <x:c r="J793" s="19" t="n">
        <x:v>205124</x:v>
      </x:c>
      <x:c r="K793" s="20" t="n">
        <x:v>0.0021</x:v>
      </x:c>
      <x:c r="L793" s="19" t="str">
        <x:v>上升</x:v>
      </x:c>
      <x:c r="M793" s="20" t="n">
        <x:v>0.648</x:v>
      </x:c>
      <x:c r="N793" s="21" t="n">
        <x:v>2103000</x:v>
      </x:c>
      <x:c r="O793" s="21" t="n">
        <x:v>4416</x:v>
      </x:c>
      <x:c r="P793" s="21" t="n">
        <x:f>ROUND(N793*K793,0)</x:f>
        <x:v>4416</x:v>
      </x:c>
      <x:c r="Q793" s="19" t="str">
        <x:v>否</x:v>
      </x:c>
      <x:c r="R793" s="19" t="str"/>
      <x:c r="S793" s="19" t="n">
        <x:f>IF(Q793="是",0,MIN(10,2+IF(C793="高",2,1)+IF(K793&gt;=3%,3,IF(K793&gt;=1%,2,1))+IF(L793="新出现",2,IF(M793&gt;=100%,3,IF(M793&gt;0,2,0)))))</x:f>
        <x:v>6</x:v>
      </x:c>
      <x:c r="T793" s="21"/>
      <x:c r="U793" s="20"/>
      <x:c r="V793" s="19" t="str">
        <x:v>http://prompts.chat/</x:v>
      </x:c>
      <x:c r="W793" s="19" t="str">
        <x:v>https://pro.similarweb.com/#/digitalsuite/websiteanalysis/referrals/*/999/1m?webSource=Total&amp;selectedTab=incomingTraffic&amp;key=gumroad.com</x:v>
      </x:c>
      <x:c r="X793" s="20" t="n">
        <x:f>IF(Q793="是",0,IFERROR(P793/SUMIFS($P$2:$P$964,$A$2:$A$964,A793,$Q$2:$Q$964,"否"),0))</x:f>
        <x:v>0.003572384882404953</x:v>
      </x:c>
      <x:c r="Y793" s="22" t="str">
        <x:f>IF(OR(M793="",U793=""),"未交叉",IF(M793*U793&gt;0,"同向",IF(M793*U793&lt;0,"背离","一侧持平")))</x:f>
        <x:v>未交叉</x:v>
      </x:c>
    </x:row>
    <x:row r="794">
      <x:c r="A794" s="18" t="str">
        <x:v>gumroad.com</x:v>
      </x:c>
      <x:c r="B794" s="19" t="str">
        <x:v>支付商主域（混合流量）</x:v>
      </x:c>
      <x:c r="C794" s="19" t="str">
        <x:v>中</x:v>
      </x:c>
      <x:c r="D794" s="19" t="str">
        <x:v>Jul 2026</x:v>
      </x:c>
      <x:c r="E794" s="19" t="n">
        <x:v>69</x:v>
      </x:c>
      <x:c r="F794" s="19" t="str">
        <x:v>blossomandroot.com</x:v>
      </x:c>
      <x:c r="G794" s="19" t="str">
        <x:v>Cooking and Recipes</x:v>
      </x:c>
      <x:c r="H794" s="19" t="str">
        <x:v>内容媒体、线下与实体消费</x:v>
      </x:c>
      <x:c r="I794" s="19" t="str">
        <x:v>Similarweb 行业映射</x:v>
      </x:c>
      <x:c r="J794" s="19" t="n">
        <x:v>832770</x:v>
      </x:c>
      <x:c r="K794" s="20" t="n">
        <x:v>0.002</x:v>
      </x:c>
      <x:c r="L794" s="19" t="str">
        <x:v>下降</x:v>
      </x:c>
      <x:c r="M794" s="20" t="n">
        <x:v>-0.315</x:v>
      </x:c>
      <x:c r="N794" s="21" t="n">
        <x:v>2103000</x:v>
      </x:c>
      <x:c r="O794" s="21" t="n">
        <x:v>4206</x:v>
      </x:c>
      <x:c r="P794" s="21" t="n">
        <x:f>ROUND(N794*K794,0)</x:f>
        <x:v>4206</x:v>
      </x:c>
      <x:c r="Q794" s="19" t="str">
        <x:v>否</x:v>
      </x:c>
      <x:c r="R794" s="19" t="str"/>
      <x:c r="S794" s="19" t="n">
        <x:f>IF(Q794="是",0,MIN(10,2+IF(C794="高",2,1)+IF(K794&gt;=3%,3,IF(K794&gt;=1%,2,1))+IF(L794="新出现",2,IF(M794&gt;=100%,3,IF(M794&gt;0,2,0)))))</x:f>
        <x:v>4</x:v>
      </x:c>
      <x:c r="T794" s="21"/>
      <x:c r="U794" s="20"/>
      <x:c r="V794" s="19" t="str">
        <x:v>http://blossomandroot.com/</x:v>
      </x:c>
      <x:c r="W794" s="19" t="str">
        <x:v>https://pro.similarweb.com/#/digitalsuite/websiteanalysis/referrals/*/999/1m?webSource=Total&amp;selectedTab=incomingTraffic&amp;key=gumroad.com</x:v>
      </x:c>
      <x:c r="X794" s="20" t="n">
        <x:f>IF(Q794="是",0,IFERROR(P794/SUMIFS($P$2:$P$964,$A$2:$A$964,A794,$Q$2:$Q$964,"否"),0))</x:f>
        <x:v>0.003402502449138413</x:v>
      </x:c>
      <x:c r="Y794" s="22" t="str">
        <x:f>IF(OR(M794="",U794=""),"未交叉",IF(M794*U794&gt;0,"同向",IF(M794*U794&lt;0,"背离","一侧持平")))</x:f>
        <x:v>未交叉</x:v>
      </x:c>
    </x:row>
    <x:row r="795">
      <x:c r="A795" s="18" t="str">
        <x:v>gumroad.com</x:v>
      </x:c>
      <x:c r="B795" s="19" t="str">
        <x:v>支付商主域（混合流量）</x:v>
      </x:c>
      <x:c r="C795" s="19" t="str">
        <x:v>中</x:v>
      </x:c>
      <x:c r="D795" s="19" t="str">
        <x:v>Jul 2026</x:v>
      </x:c>
      <x:c r="E795" s="19" t="n">
        <x:v>70</x:v>
      </x:c>
      <x:c r="F795" s="19" t="str">
        <x:v>jeffsu.org</x:v>
      </x:c>
      <x:c r="G795" s="19" t="str">
        <x:v>Graphics Multimedia and Web Design</x:v>
      </x:c>
      <x:c r="H795" s="19" t="str">
        <x:v>创作、设计与多媒体工具</x:v>
      </x:c>
      <x:c r="I795" s="19" t="str">
        <x:v>Similarweb 行业映射</x:v>
      </x:c>
      <x:c r="J795" s="19" t="n">
        <x:v>204244</x:v>
      </x:c>
      <x:c r="K795" s="20" t="n">
        <x:v>0.002</x:v>
      </x:c>
      <x:c r="L795" s="19" t="str">
        <x:v>上升</x:v>
      </x:c>
      <x:c r="M795" s="20" t="n">
        <x:v>0.2754</x:v>
      </x:c>
      <x:c r="N795" s="21" t="n">
        <x:v>2103000</x:v>
      </x:c>
      <x:c r="O795" s="21" t="n">
        <x:v>4206</x:v>
      </x:c>
      <x:c r="P795" s="21" t="n">
        <x:f>ROUND(N795*K795,0)</x:f>
        <x:v>4206</x:v>
      </x:c>
      <x:c r="Q795" s="19" t="str">
        <x:v>否</x:v>
      </x:c>
      <x:c r="R795" s="19" t="str"/>
      <x:c r="S795" s="19" t="n">
        <x:f>IF(Q795="是",0,MIN(10,2+IF(C795="高",2,1)+IF(K795&gt;=3%,3,IF(K795&gt;=1%,2,1))+IF(L795="新出现",2,IF(M795&gt;=100%,3,IF(M795&gt;0,2,0)))))</x:f>
        <x:v>6</x:v>
      </x:c>
      <x:c r="T795" s="21"/>
      <x:c r="U795" s="20"/>
      <x:c r="V795" s="19" t="str">
        <x:v>http://jeffsu.org/</x:v>
      </x:c>
      <x:c r="W795" s="19" t="str">
        <x:v>https://pro.similarweb.com/#/digitalsuite/websiteanalysis/referrals/*/999/1m?webSource=Total&amp;selectedTab=incomingTraffic&amp;key=gumroad.com</x:v>
      </x:c>
      <x:c r="X795" s="20" t="n">
        <x:f>IF(Q795="是",0,IFERROR(P795/SUMIFS($P$2:$P$964,$A$2:$A$964,A795,$Q$2:$Q$964,"否"),0))</x:f>
        <x:v>0.003402502449138413</x:v>
      </x:c>
      <x:c r="Y795" s="22" t="str">
        <x:f>IF(OR(M795="",U795=""),"未交叉",IF(M795*U795&gt;0,"同向",IF(M795*U795&lt;0,"背离","一侧持平")))</x:f>
        <x:v>未交叉</x:v>
      </x:c>
    </x:row>
    <x:row r="796">
      <x:c r="A796" s="18" t="str">
        <x:v>gumroad.com</x:v>
      </x:c>
      <x:c r="B796" s="19" t="str">
        <x:v>支付商主域（混合流量）</x:v>
      </x:c>
      <x:c r="C796" s="19" t="str">
        <x:v>中</x:v>
      </x:c>
      <x:c r="D796" s="19" t="str">
        <x:v>Jul 2026</x:v>
      </x:c>
      <x:c r="E796" s="19" t="n">
        <x:v>71</x:v>
      </x:c>
      <x:c r="F796" s="19" t="str">
        <x:v>statquest.org</x:v>
      </x:c>
      <x:c r="G796" s="19" t="str">
        <x:v>Biology</x:v>
      </x:c>
      <x:c r="H796" s="19" t="str">
        <x:v>其他/待核查</x:v>
      </x:c>
      <x:c r="I796" s="19" t="str">
        <x:v>保守归类</x:v>
      </x:c>
      <x:c r="J796" s="19" t="n">
        <x:v>508427</x:v>
      </x:c>
      <x:c r="K796" s="20" t="n">
        <x:v>0.0019</x:v>
      </x:c>
      <x:c r="L796" s="19" t="str">
        <x:v>下降</x:v>
      </x:c>
      <x:c r="M796" s="20" t="n">
        <x:v>-0.23600000000000002</x:v>
      </x:c>
      <x:c r="N796" s="21" t="n">
        <x:v>2103000</x:v>
      </x:c>
      <x:c r="O796" s="21" t="n">
        <x:v>3996</x:v>
      </x:c>
      <x:c r="P796" s="21" t="n">
        <x:f>ROUND(N796*K796,0)</x:f>
        <x:v>3996</x:v>
      </x:c>
      <x:c r="Q796" s="19" t="str">
        <x:v>否</x:v>
      </x:c>
      <x:c r="R796" s="19" t="str"/>
      <x:c r="S796" s="19" t="n">
        <x:f>IF(Q796="是",0,MIN(10,2+IF(C796="高",2,1)+IF(K796&gt;=3%,3,IF(K796&gt;=1%,2,1))+IF(L796="新出现",2,IF(M796&gt;=100%,3,IF(M796&gt;0,2,0)))))</x:f>
        <x:v>4</x:v>
      </x:c>
      <x:c r="T796" s="21"/>
      <x:c r="U796" s="20"/>
      <x:c r="V796" s="19" t="str">
        <x:v>http://statquest.org/</x:v>
      </x:c>
      <x:c r="W796" s="19" t="str">
        <x:v>https://pro.similarweb.com/#/digitalsuite/websiteanalysis/referrals/*/999/1m?webSource=Total&amp;selectedTab=incomingTraffic&amp;key=gumroad.com</x:v>
      </x:c>
      <x:c r="X796" s="20" t="n">
        <x:f>IF(Q796="是",0,IFERROR(P796/SUMIFS($P$2:$P$964,$A$2:$A$964,A796,$Q$2:$Q$964,"否"),0))</x:f>
        <x:v>0.003232620015871873</x:v>
      </x:c>
      <x:c r="Y796" s="22" t="str">
        <x:f>IF(OR(M796="",U796=""),"未交叉",IF(M796*U796&gt;0,"同向",IF(M796*U796&lt;0,"背离","一侧持平")))</x:f>
        <x:v>未交叉</x:v>
      </x:c>
    </x:row>
    <x:row r="797">
      <x:c r="A797" s="18" t="str">
        <x:v>gumroad.com</x:v>
      </x:c>
      <x:c r="B797" s="19" t="str">
        <x:v>支付商主域（混合流量）</x:v>
      </x:c>
      <x:c r="C797" s="19" t="str">
        <x:v>中</x:v>
      </x:c>
      <x:c r="D797" s="19" t="str">
        <x:v>Jul 2026</x:v>
      </x:c>
      <x:c r="E797" s="19" t="n">
        <x:v>72</x:v>
      </x:c>
      <x:c r="F797" s="19" t="str">
        <x:v>bodyandstyle.com</x:v>
      </x:c>
      <x:c r="G797" s="19" t="str">
        <x:v>Beauty and Cosmetics</x:v>
      </x:c>
      <x:c r="H797" s="19" t="str">
        <x:v>内容媒体、线下与实体消费</x:v>
      </x:c>
      <x:c r="I797" s="19" t="str">
        <x:v>Similarweb 行业映射</x:v>
      </x:c>
      <x:c r="J797" s="19" t="n">
        <x:v>459685</x:v>
      </x:c>
      <x:c r="K797" s="20" t="n">
        <x:v>0.0019</x:v>
      </x:c>
      <x:c r="L797" s="19" t="str">
        <x:v>上升</x:v>
      </x:c>
      <x:c r="M797" s="20" t="n">
        <x:v>3.386</x:v>
      </x:c>
      <x:c r="N797" s="21" t="n">
        <x:v>2103000</x:v>
      </x:c>
      <x:c r="O797" s="21" t="n">
        <x:v>3996</x:v>
      </x:c>
      <x:c r="P797" s="21" t="n">
        <x:f>ROUND(N797*K797,0)</x:f>
        <x:v>3996</x:v>
      </x:c>
      <x:c r="Q797" s="19" t="str">
        <x:v>否</x:v>
      </x:c>
      <x:c r="R797" s="19" t="str"/>
      <x:c r="S797" s="19" t="n">
        <x:f>IF(Q797="是",0,MIN(10,2+IF(C797="高",2,1)+IF(K797&gt;=3%,3,IF(K797&gt;=1%,2,1))+IF(L797="新出现",2,IF(M797&gt;=100%,3,IF(M797&gt;0,2,0)))))</x:f>
        <x:v>7</x:v>
      </x:c>
      <x:c r="T797" s="21"/>
      <x:c r="U797" s="20"/>
      <x:c r="V797" s="19" t="str">
        <x:v>http://bodyandstyle.com/</x:v>
      </x:c>
      <x:c r="W797" s="19" t="str">
        <x:v>https://pro.similarweb.com/#/digitalsuite/websiteanalysis/referrals/*/999/1m?webSource=Total&amp;selectedTab=incomingTraffic&amp;key=gumroad.com</x:v>
      </x:c>
      <x:c r="X797" s="20" t="n">
        <x:f>IF(Q797="是",0,IFERROR(P797/SUMIFS($P$2:$P$964,$A$2:$A$964,A797,$Q$2:$Q$964,"否"),0))</x:f>
        <x:v>0.003232620015871873</x:v>
      </x:c>
      <x:c r="Y797" s="22" t="str">
        <x:f>IF(OR(M797="",U797=""),"未交叉",IF(M797*U797&gt;0,"同向",IF(M797*U797&lt;0,"背离","一侧持平")))</x:f>
        <x:v>未交叉</x:v>
      </x:c>
    </x:row>
    <x:row r="798">
      <x:c r="A798" s="18" t="str">
        <x:v>gumroad.com</x:v>
      </x:c>
      <x:c r="B798" s="19" t="str">
        <x:v>支付商主域（混合流量）</x:v>
      </x:c>
      <x:c r="C798" s="19" t="str">
        <x:v>中</x:v>
      </x:c>
      <x:c r="D798" s="19" t="str">
        <x:v>Jul 2026</x:v>
      </x:c>
      <x:c r="E798" s="19" t="n">
        <x:v>73</x:v>
      </x:c>
      <x:c r="F798" s="19" t="str">
        <x:v>kingmods.net</x:v>
      </x:c>
      <x:c r="G798" s="19" t="str">
        <x:v>Video Games Consoles and Accessories</x:v>
      </x:c>
      <x:c r="H798" s="19" t="str">
        <x:v>游戏、数字商品与虚拟内容</x:v>
      </x:c>
      <x:c r="I798" s="19" t="str">
        <x:v>Similarweb 行业映射</x:v>
      </x:c>
      <x:c r="J798" s="19" t="n">
        <x:v>9232</x:v>
      </x:c>
      <x:c r="K798" s="20" t="n">
        <x:v>0.0019</x:v>
      </x:c>
      <x:c r="L798" s="19" t="str">
        <x:v>下降</x:v>
      </x:c>
      <x:c r="M798" s="20" t="n">
        <x:v>-0.3933</x:v>
      </x:c>
      <x:c r="N798" s="21" t="n">
        <x:v>2103000</x:v>
      </x:c>
      <x:c r="O798" s="21" t="n">
        <x:v>3996</x:v>
      </x:c>
      <x:c r="P798" s="21" t="n">
        <x:f>ROUND(N798*K798,0)</x:f>
        <x:v>3996</x:v>
      </x:c>
      <x:c r="Q798" s="19" t="str">
        <x:v>否</x:v>
      </x:c>
      <x:c r="R798" s="19" t="str"/>
      <x:c r="S798" s="19" t="n">
        <x:f>IF(Q798="是",0,MIN(10,2+IF(C798="高",2,1)+IF(K798&gt;=3%,3,IF(K798&gt;=1%,2,1))+IF(L798="新出现",2,IF(M798&gt;=100%,3,IF(M798&gt;0,2,0)))))</x:f>
        <x:v>4</x:v>
      </x:c>
      <x:c r="T798" s="21"/>
      <x:c r="U798" s="20"/>
      <x:c r="V798" s="19" t="str">
        <x:v>http://kingmods.net/</x:v>
      </x:c>
      <x:c r="W798" s="19" t="str">
        <x:v>https://pro.similarweb.com/#/digitalsuite/websiteanalysis/referrals/*/999/1m?webSource=Total&amp;selectedTab=incomingTraffic&amp;key=gumroad.com</x:v>
      </x:c>
      <x:c r="X798" s="20" t="n">
        <x:f>IF(Q798="是",0,IFERROR(P798/SUMIFS($P$2:$P$964,$A$2:$A$964,A798,$Q$2:$Q$964,"否"),0))</x:f>
        <x:v>0.003232620015871873</x:v>
      </x:c>
      <x:c r="Y798" s="22" t="str">
        <x:f>IF(OR(M798="",U798=""),"未交叉",IF(M798*U798&gt;0,"同向",IF(M798*U798&lt;0,"背离","一侧持平")))</x:f>
        <x:v>未交叉</x:v>
      </x:c>
    </x:row>
    <x:row r="799">
      <x:c r="A799" s="18" t="str">
        <x:v>gumroad.com</x:v>
      </x:c>
      <x:c r="B799" s="19" t="str">
        <x:v>支付商主域（混合流量）</x:v>
      </x:c>
      <x:c r="C799" s="19" t="str">
        <x:v>中</x:v>
      </x:c>
      <x:c r="D799" s="19" t="str">
        <x:v>Jul 2026</x:v>
      </x:c>
      <x:c r="E799" s="19" t="n">
        <x:v>74</x:v>
      </x:c>
      <x:c r="F799" s="19" t="str">
        <x:v>zaap.bio</x:v>
      </x:c>
      <x:c r="G799" s="19" t="str">
        <x:v>Graphics Multimedia and Web Design</x:v>
      </x:c>
      <x:c r="H799" s="19" t="str">
        <x:v>创作、设计与多媒体工具</x:v>
      </x:c>
      <x:c r="I799" s="19" t="str">
        <x:v>Similarweb 行业映射</x:v>
      </x:c>
      <x:c r="J799" s="19" t="n">
        <x:v>403431</x:v>
      </x:c>
      <x:c r="K799" s="20" t="n">
        <x:v>0.0018</x:v>
      </x:c>
      <x:c r="L799" s="19" t="str">
        <x:v>上升</x:v>
      </x:c>
      <x:c r="M799" s="20" t="n">
        <x:v>0.4886</x:v>
      </x:c>
      <x:c r="N799" s="21" t="n">
        <x:v>2103000</x:v>
      </x:c>
      <x:c r="O799" s="21" t="n">
        <x:v>3785</x:v>
      </x:c>
      <x:c r="P799" s="21" t="n">
        <x:f>ROUND(N799*K799,0)</x:f>
        <x:v>3785</x:v>
      </x:c>
      <x:c r="Q799" s="19" t="str">
        <x:v>否</x:v>
      </x:c>
      <x:c r="R799" s="19" t="str"/>
      <x:c r="S799" s="19" t="n">
        <x:f>IF(Q799="是",0,MIN(10,2+IF(C799="高",2,1)+IF(K799&gt;=3%,3,IF(K799&gt;=1%,2,1))+IF(L799="新出现",2,IF(M799&gt;=100%,3,IF(M799&gt;0,2,0)))))</x:f>
        <x:v>6</x:v>
      </x:c>
      <x:c r="T799" s="21"/>
      <x:c r="U799" s="20"/>
      <x:c r="V799" s="19" t="str">
        <x:v>http://zaap.bio/</x:v>
      </x:c>
      <x:c r="W799" s="19" t="str">
        <x:v>https://pro.similarweb.com/#/digitalsuite/websiteanalysis/referrals/*/999/1m?webSource=Total&amp;selectedTab=incomingTraffic&amp;key=gumroad.com</x:v>
      </x:c>
      <x:c r="X799" s="20" t="n">
        <x:f>IF(Q799="是",0,IFERROR(P799/SUMIFS($P$2:$P$964,$A$2:$A$964,A799,$Q$2:$Q$964,"否"),0))</x:f>
        <x:v>0.003061928618637397</x:v>
      </x:c>
      <x:c r="Y799" s="22" t="str">
        <x:f>IF(OR(M799="",U799=""),"未交叉",IF(M799*U799&gt;0,"同向",IF(M799*U799&lt;0,"背离","一侧持平")))</x:f>
        <x:v>未交叉</x:v>
      </x:c>
    </x:row>
    <x:row r="800">
      <x:c r="A800" s="18" t="str">
        <x:v>gumroad.com</x:v>
      </x:c>
      <x:c r="B800" s="19" t="str">
        <x:v>支付商主域（混合流量）</x:v>
      </x:c>
      <x:c r="C800" s="19" t="str">
        <x:v>中</x:v>
      </x:c>
      <x:c r="D800" s="19" t="str">
        <x:v>Jul 2026</x:v>
      </x:c>
      <x:c r="E800" s="19" t="n">
        <x:v>75</x:v>
      </x:c>
      <x:c r="F800" s="19" t="str">
        <x:v>awwwards.com</x:v>
      </x:c>
      <x:c r="G800" s="19" t="str">
        <x:v>Arts and Entertainment</x:v>
      </x:c>
      <x:c r="H800" s="19" t="str">
        <x:v>其他/待核查</x:v>
      </x:c>
      <x:c r="I800" s="19" t="str">
        <x:v>保守归类</x:v>
      </x:c>
      <x:c r="J800" s="19" t="n">
        <x:v>13363</x:v>
      </x:c>
      <x:c r="K800" s="20" t="n">
        <x:v>0.0017000000000000001</x:v>
      </x:c>
      <x:c r="L800" s="19" t="str">
        <x:v>上升</x:v>
      </x:c>
      <x:c r="M800" s="20" t="n">
        <x:v>0.11109999999999999</x:v>
      </x:c>
      <x:c r="N800" s="21" t="n">
        <x:v>2103000</x:v>
      </x:c>
      <x:c r="O800" s="21" t="n">
        <x:v>3575</x:v>
      </x:c>
      <x:c r="P800" s="21" t="n">
        <x:f>ROUND(N800*K800,0)</x:f>
        <x:v>3575</x:v>
      </x:c>
      <x:c r="Q800" s="19" t="str">
        <x:v>否</x:v>
      </x:c>
      <x:c r="R800" s="19" t="str"/>
      <x:c r="S800" s="19" t="n">
        <x:f>IF(Q800="是",0,MIN(10,2+IF(C800="高",2,1)+IF(K800&gt;=3%,3,IF(K800&gt;=1%,2,1))+IF(L800="新出现",2,IF(M800&gt;=100%,3,IF(M800&gt;0,2,0)))))</x:f>
        <x:v>6</x:v>
      </x:c>
      <x:c r="T800" s="21"/>
      <x:c r="U800" s="20"/>
      <x:c r="V800" s="19" t="str">
        <x:v>http://awwwards.com/</x:v>
      </x:c>
      <x:c r="W800" s="19" t="str">
        <x:v>https://pro.similarweb.com/#/digitalsuite/websiteanalysis/referrals/*/999/1m?webSource=Total&amp;selectedTab=incomingTraffic&amp;key=gumroad.com</x:v>
      </x:c>
      <x:c r="X800" s="20" t="n">
        <x:f>IF(Q800="是",0,IFERROR(P800/SUMIFS($P$2:$P$964,$A$2:$A$964,A800,$Q$2:$Q$964,"否"),0))</x:f>
        <x:v>0.0028920461853708572</x:v>
      </x:c>
      <x:c r="Y800" s="22" t="str">
        <x:f>IF(OR(M800="",U800=""),"未交叉",IF(M800*U800&gt;0,"同向",IF(M800*U800&lt;0,"背离","一侧持平")))</x:f>
        <x:v>未交叉</x:v>
      </x:c>
    </x:row>
    <x:row r="801">
      <x:c r="A801" s="18" t="str">
        <x:v>gumroad.com</x:v>
      </x:c>
      <x:c r="B801" s="19" t="str">
        <x:v>支付商主域（混合流量）</x:v>
      </x:c>
      <x:c r="C801" s="19" t="str">
        <x:v>中</x:v>
      </x:c>
      <x:c r="D801" s="19" t="str">
        <x:v>Jul 2026</x:v>
      </x:c>
      <x:c r="E801" s="19" t="n">
        <x:v>76</x:v>
      </x:c>
      <x:c r="F801" s="19" t="str">
        <x:v>netlify.app</x:v>
      </x:c>
      <x:c r="G801" s="19" t="str">
        <x:v>Programming and Developer Software</x:v>
      </x:c>
      <x:c r="H801" s="19" t="str">
        <x:v>开发者工具与互联网基础设施</x:v>
      </x:c>
      <x:c r="I801" s="19" t="str">
        <x:v>Similarweb 行业映射</x:v>
      </x:c>
      <x:c r="J801" s="19" t="n">
        <x:v>833</x:v>
      </x:c>
      <x:c r="K801" s="20" t="n">
        <x:v>0.0017000000000000001</x:v>
      </x:c>
      <x:c r="L801" s="19" t="str">
        <x:v>新出现</x:v>
      </x:c>
      <x:c r="M801" s="20"/>
      <x:c r="N801" s="21" t="n">
        <x:v>2103000</x:v>
      </x:c>
      <x:c r="O801" s="21" t="n">
        <x:v>3575</x:v>
      </x:c>
      <x:c r="P801" s="21" t="n">
        <x:f>ROUND(N801*K801,0)</x:f>
        <x:v>3575</x:v>
      </x:c>
      <x:c r="Q801" s="19" t="str">
        <x:v>否</x:v>
      </x:c>
      <x:c r="R801" s="19" t="str"/>
      <x:c r="S801" s="19" t="n">
        <x:f>IF(Q801="是",0,MIN(10,2+IF(C801="高",2,1)+IF(K801&gt;=3%,3,IF(K801&gt;=1%,2,1))+IF(L801="新出现",2,IF(M801&gt;=100%,3,IF(M801&gt;0,2,0)))))</x:f>
        <x:v>6</x:v>
      </x:c>
      <x:c r="T801" s="21"/>
      <x:c r="U801" s="20"/>
      <x:c r="V801" s="19" t="str">
        <x:v>http://netlify.app/</x:v>
      </x:c>
      <x:c r="W801" s="19" t="str">
        <x:v>https://pro.similarweb.com/#/digitalsuite/websiteanalysis/referrals/*/999/1m?webSource=Total&amp;selectedTab=incomingTraffic&amp;key=gumroad.com</x:v>
      </x:c>
      <x:c r="X801" s="20" t="n">
        <x:f>IF(Q801="是",0,IFERROR(P801/SUMIFS($P$2:$P$964,$A$2:$A$964,A801,$Q$2:$Q$964,"否"),0))</x:f>
        <x:v>0.0028920461853708572</x:v>
      </x:c>
      <x:c r="Y801" s="22" t="str">
        <x:f>IF(OR(M801="",U801=""),"未交叉",IF(M801*U801&gt;0,"同向",IF(M801*U801&lt;0,"背离","一侧持平")))</x:f>
        <x:v>未交叉</x:v>
      </x:c>
    </x:row>
    <x:row r="802">
      <x:c r="A802" s="18" t="str">
        <x:v>gumroad.com</x:v>
      </x:c>
      <x:c r="B802" s="19" t="str">
        <x:v>支付商主域（混合流量）</x:v>
      </x:c>
      <x:c r="C802" s="19" t="str">
        <x:v>中</x:v>
      </x:c>
      <x:c r="D802" s="19" t="str">
        <x:v>Jul 2026</x:v>
      </x:c>
      <x:c r="E802" s="19" t="n">
        <x:v>77</x:v>
      </x:c>
      <x:c r="F802" s="19" t="str">
        <x:v>kk.now.cc</x:v>
      </x:c>
      <x:c r="G802" s="19" t="str">
        <x:v>Adult</x:v>
      </x:c>
      <x:c r="H802" s="19" t="str">
        <x:v>其他/待核查</x:v>
      </x:c>
      <x:c r="I802" s="19" t="str">
        <x:v>保守归类</x:v>
      </x:c>
      <x:c r="J802" s="19"/>
      <x:c r="K802" s="20" t="n">
        <x:v>0.0017000000000000001</x:v>
      </x:c>
      <x:c r="L802" s="19" t="str">
        <x:v>下降</x:v>
      </x:c>
      <x:c r="M802" s="20" t="n">
        <x:v>-0.20739999999999997</x:v>
      </x:c>
      <x:c r="N802" s="21" t="n">
        <x:v>2103000</x:v>
      </x:c>
      <x:c r="O802" s="21" t="n">
        <x:v>3575</x:v>
      </x:c>
      <x:c r="P802" s="21" t="n">
        <x:f>ROUND(N802*K802,0)</x:f>
        <x:v>3575</x:v>
      </x:c>
      <x:c r="Q802" s="19" t="str">
        <x:v>否</x:v>
      </x:c>
      <x:c r="R802" s="19" t="str"/>
      <x:c r="S802" s="19" t="n">
        <x:f>IF(Q802="是",0,MIN(10,2+IF(C802="高",2,1)+IF(K802&gt;=3%,3,IF(K802&gt;=1%,2,1))+IF(L802="新出现",2,IF(M802&gt;=100%,3,IF(M802&gt;0,2,0)))))</x:f>
        <x:v>4</x:v>
      </x:c>
      <x:c r="T802" s="21"/>
      <x:c r="U802" s="20"/>
      <x:c r="V802" s="19" t="str">
        <x:v>http://kk.now.cc/</x:v>
      </x:c>
      <x:c r="W802" s="19" t="str">
        <x:v>https://pro.similarweb.com/#/digitalsuite/websiteanalysis/referrals/*/999/1m?webSource=Total&amp;selectedTab=incomingTraffic&amp;key=gumroad.com</x:v>
      </x:c>
      <x:c r="X802" s="20" t="n">
        <x:f>IF(Q802="是",0,IFERROR(P802/SUMIFS($P$2:$P$964,$A$2:$A$964,A802,$Q$2:$Q$964,"否"),0))</x:f>
        <x:v>0.0028920461853708572</x:v>
      </x:c>
      <x:c r="Y802" s="22" t="str">
        <x:f>IF(OR(M802="",U802=""),"未交叉",IF(M802*U802&gt;0,"同向",IF(M802*U802&lt;0,"背离","一侧持平")))</x:f>
        <x:v>未交叉</x:v>
      </x:c>
    </x:row>
    <x:row r="803">
      <x:c r="A803" s="18" t="str">
        <x:v>gumroad.com</x:v>
      </x:c>
      <x:c r="B803" s="19" t="str">
        <x:v>支付商主域（混合流量）</x:v>
      </x:c>
      <x:c r="C803" s="19" t="str">
        <x:v>中</x:v>
      </x:c>
      <x:c r="D803" s="19" t="str">
        <x:v>Jul 2026</x:v>
      </x:c>
      <x:c r="E803" s="19" t="n">
        <x:v>78</x:v>
      </x:c>
      <x:c r="F803" s="19" t="str">
        <x:v>gearspace.com</x:v>
      </x:c>
      <x:c r="G803" s="19" t="str">
        <x:v>Music</x:v>
      </x:c>
      <x:c r="H803" s="19" t="str">
        <x:v>创作、设计与多媒体工具</x:v>
      </x:c>
      <x:c r="I803" s="19" t="str">
        <x:v>Similarweb 行业映射</x:v>
      </x:c>
      <x:c r="J803" s="19" t="n">
        <x:v>35557</x:v>
      </x:c>
      <x:c r="K803" s="20" t="n">
        <x:v>0.0017000000000000001</x:v>
      </x:c>
      <x:c r="L803" s="19" t="str">
        <x:v>上升</x:v>
      </x:c>
      <x:c r="M803" s="20" t="n">
        <x:v>0.6609</x:v>
      </x:c>
      <x:c r="N803" s="21" t="n">
        <x:v>2103000</x:v>
      </x:c>
      <x:c r="O803" s="21" t="n">
        <x:v>3575</x:v>
      </x:c>
      <x:c r="P803" s="21" t="n">
        <x:f>ROUND(N803*K803,0)</x:f>
        <x:v>3575</x:v>
      </x:c>
      <x:c r="Q803" s="19" t="str">
        <x:v>否</x:v>
      </x:c>
      <x:c r="R803" s="19" t="str"/>
      <x:c r="S803" s="19" t="n">
        <x:f>IF(Q803="是",0,MIN(10,2+IF(C803="高",2,1)+IF(K803&gt;=3%,3,IF(K803&gt;=1%,2,1))+IF(L803="新出现",2,IF(M803&gt;=100%,3,IF(M803&gt;0,2,0)))))</x:f>
        <x:v>6</x:v>
      </x:c>
      <x:c r="T803" s="21"/>
      <x:c r="U803" s="20"/>
      <x:c r="V803" s="19" t="str">
        <x:v>http://gearspace.com/</x:v>
      </x:c>
      <x:c r="W803" s="19" t="str">
        <x:v>https://pro.similarweb.com/#/digitalsuite/websiteanalysis/referrals/*/999/1m?webSource=Total&amp;selectedTab=incomingTraffic&amp;key=gumroad.com</x:v>
      </x:c>
      <x:c r="X803" s="20" t="n">
        <x:f>IF(Q803="是",0,IFERROR(P803/SUMIFS($P$2:$P$964,$A$2:$A$964,A803,$Q$2:$Q$964,"否"),0))</x:f>
        <x:v>0.0028920461853708572</x:v>
      </x:c>
      <x:c r="Y803" s="22" t="str">
        <x:f>IF(OR(M803="",U803=""),"未交叉",IF(M803*U803&gt;0,"同向",IF(M803*U803&lt;0,"背离","一侧持平")))</x:f>
        <x:v>未交叉</x:v>
      </x:c>
    </x:row>
    <x:row r="804">
      <x:c r="A804" s="18" t="str">
        <x:v>gumroad.com</x:v>
      </x:c>
      <x:c r="B804" s="19" t="str">
        <x:v>支付商主域（混合流量）</x:v>
      </x:c>
      <x:c r="C804" s="19" t="str">
        <x:v>中</x:v>
      </x:c>
      <x:c r="D804" s="19" t="str">
        <x:v>Jul 2026</x:v>
      </x:c>
      <x:c r="E804" s="19" t="n">
        <x:v>79</x:v>
      </x:c>
      <x:c r="F804" s="19" t="str">
        <x:v>morphoice.com</x:v>
      </x:c>
      <x:c r="G804" s="19" t="str">
        <x:v>Unknown</x:v>
      </x:c>
      <x:c r="H804" s="19" t="str">
        <x:v>其他/待核查</x:v>
      </x:c>
      <x:c r="I804" s="19" t="str">
        <x:v>Similarweb 未分类</x:v>
      </x:c>
      <x:c r="J804" s="19" t="n">
        <x:v>1244563</x:v>
      </x:c>
      <x:c r="K804" s="20" t="n">
        <x:v>0.0017000000000000001</x:v>
      </x:c>
      <x:c r="L804" s="19" t="str">
        <x:v>上升</x:v>
      </x:c>
      <x:c r="M804" s="20" t="n">
        <x:v>0.7365</x:v>
      </x:c>
      <x:c r="N804" s="21" t="n">
        <x:v>2103000</x:v>
      </x:c>
      <x:c r="O804" s="21" t="n">
        <x:v>3575</x:v>
      </x:c>
      <x:c r="P804" s="21" t="n">
        <x:f>ROUND(N804*K804,0)</x:f>
        <x:v>3575</x:v>
      </x:c>
      <x:c r="Q804" s="19" t="str">
        <x:v>否</x:v>
      </x:c>
      <x:c r="R804" s="19" t="str"/>
      <x:c r="S804" s="19" t="n">
        <x:f>IF(Q804="是",0,MIN(10,2+IF(C804="高",2,1)+IF(K804&gt;=3%,3,IF(K804&gt;=1%,2,1))+IF(L804="新出现",2,IF(M804&gt;=100%,3,IF(M804&gt;0,2,0)))))</x:f>
        <x:v>6</x:v>
      </x:c>
      <x:c r="T804" s="21"/>
      <x:c r="U804" s="20"/>
      <x:c r="V804" s="19" t="str">
        <x:v>http://morphoice.com/</x:v>
      </x:c>
      <x:c r="W804" s="19" t="str">
        <x:v>https://pro.similarweb.com/#/digitalsuite/websiteanalysis/referrals/*/999/1m?webSource=Total&amp;selectedTab=incomingTraffic&amp;key=gumroad.com</x:v>
      </x:c>
      <x:c r="X804" s="20" t="n">
        <x:f>IF(Q804="是",0,IFERROR(P804/SUMIFS($P$2:$P$964,$A$2:$A$964,A804,$Q$2:$Q$964,"否"),0))</x:f>
        <x:v>0.0028920461853708572</x:v>
      </x:c>
      <x:c r="Y804" s="22" t="str">
        <x:f>IF(OR(M804="",U804=""),"未交叉",IF(M804*U804&gt;0,"同向",IF(M804*U804&lt;0,"背离","一侧持平")))</x:f>
        <x:v>未交叉</x:v>
      </x:c>
    </x:row>
    <x:row r="805">
      <x:c r="A805" s="18" t="str">
        <x:v>gumroad.com</x:v>
      </x:c>
      <x:c r="B805" s="19" t="str">
        <x:v>支付商主域（混合流量）</x:v>
      </x:c>
      <x:c r="C805" s="19" t="str">
        <x:v>中</x:v>
      </x:c>
      <x:c r="D805" s="19" t="str">
        <x:v>Jul 2026</x:v>
      </x:c>
      <x:c r="E805" s="19" t="n">
        <x:v>80</x:v>
      </x:c>
      <x:c r="F805" s="19" t="str">
        <x:v>asylab.com</x:v>
      </x:c>
      <x:c r="G805" s="19" t="str">
        <x:v>Computers Electronics and Technology</x:v>
      </x:c>
      <x:c r="H805" s="19" t="str">
        <x:v>通用数字产品与技术服务</x:v>
      </x:c>
      <x:c r="I805" s="19" t="str">
        <x:v>Similarweb 行业映射</x:v>
      </x:c>
      <x:c r="J805" s="19" t="n">
        <x:v>1433994</x:v>
      </x:c>
      <x:c r="K805" s="20" t="n">
        <x:v>0.0017000000000000001</x:v>
      </x:c>
      <x:c r="L805" s="19" t="str">
        <x:v>下降</x:v>
      </x:c>
      <x:c r="M805" s="20" t="n">
        <x:v>-0.3486</x:v>
      </x:c>
      <x:c r="N805" s="21" t="n">
        <x:v>2103000</x:v>
      </x:c>
      <x:c r="O805" s="21" t="n">
        <x:v>3575</x:v>
      </x:c>
      <x:c r="P805" s="21" t="n">
        <x:f>ROUND(N805*K805,0)</x:f>
        <x:v>3575</x:v>
      </x:c>
      <x:c r="Q805" s="19" t="str">
        <x:v>否</x:v>
      </x:c>
      <x:c r="R805" s="19" t="str"/>
      <x:c r="S805" s="19" t="n">
        <x:f>IF(Q805="是",0,MIN(10,2+IF(C805="高",2,1)+IF(K805&gt;=3%,3,IF(K805&gt;=1%,2,1))+IF(L805="新出现",2,IF(M805&gt;=100%,3,IF(M805&gt;0,2,0)))))</x:f>
        <x:v>4</x:v>
      </x:c>
      <x:c r="T805" s="21"/>
      <x:c r="U805" s="20"/>
      <x:c r="V805" s="19" t="str">
        <x:v>http://asylab.com/</x:v>
      </x:c>
      <x:c r="W805" s="19" t="str">
        <x:v>https://pro.similarweb.com/#/digitalsuite/websiteanalysis/referrals/*/999/1m?webSource=Total&amp;selectedTab=incomingTraffic&amp;key=gumroad.com</x:v>
      </x:c>
      <x:c r="X805" s="20" t="n">
        <x:f>IF(Q805="是",0,IFERROR(P805/SUMIFS($P$2:$P$964,$A$2:$A$964,A805,$Q$2:$Q$964,"否"),0))</x:f>
        <x:v>0.0028920461853708572</x:v>
      </x:c>
      <x:c r="Y805" s="22" t="str">
        <x:f>IF(OR(M805="",U805=""),"未交叉",IF(M805*U805&gt;0,"同向",IF(M805*U805&lt;0,"背离","一侧持平")))</x:f>
        <x:v>未交叉</x:v>
      </x:c>
    </x:row>
    <x:row r="806">
      <x:c r="A806" s="18" t="str">
        <x:v>gumroad.com</x:v>
      </x:c>
      <x:c r="B806" s="19" t="str">
        <x:v>支付商主域（混合流量）</x:v>
      </x:c>
      <x:c r="C806" s="19" t="str">
        <x:v>中</x:v>
      </x:c>
      <x:c r="D806" s="19" t="str">
        <x:v>Jul 2026</x:v>
      </x:c>
      <x:c r="E806" s="19" t="n">
        <x:v>81</x:v>
      </x:c>
      <x:c r="F806" s="19" t="str">
        <x:v>dstory.co</x:v>
      </x:c>
      <x:c r="G806" s="19" t="str">
        <x:v>Education</x:v>
      </x:c>
      <x:c r="H806" s="19" t="str">
        <x:v>教育、知识与考试服务</x:v>
      </x:c>
      <x:c r="I806" s="19" t="str">
        <x:v>Similarweb 行业映射</x:v>
      </x:c>
      <x:c r="J806" s="19" t="n">
        <x:v>1584842</x:v>
      </x:c>
      <x:c r="K806" s="20" t="n">
        <x:v>0.0016</x:v>
      </x:c>
      <x:c r="L806" s="19" t="str">
        <x:v>上升</x:v>
      </x:c>
      <x:c r="M806" s="20" t="n">
        <x:v>0.3626</x:v>
      </x:c>
      <x:c r="N806" s="21" t="n">
        <x:v>2103000</x:v>
      </x:c>
      <x:c r="O806" s="21" t="n">
        <x:v>3365</x:v>
      </x:c>
      <x:c r="P806" s="21" t="n">
        <x:f>ROUND(N806*K806,0)</x:f>
        <x:v>3365</x:v>
      </x:c>
      <x:c r="Q806" s="19" t="str">
        <x:v>否</x:v>
      </x:c>
      <x:c r="R806" s="19" t="str"/>
      <x:c r="S806" s="19" t="n">
        <x:f>IF(Q806="是",0,MIN(10,2+IF(C806="高",2,1)+IF(K806&gt;=3%,3,IF(K806&gt;=1%,2,1))+IF(L806="新出现",2,IF(M806&gt;=100%,3,IF(M806&gt;0,2,0)))))</x:f>
        <x:v>6</x:v>
      </x:c>
      <x:c r="T806" s="21"/>
      <x:c r="U806" s="20"/>
      <x:c r="V806" s="19" t="str">
        <x:v>http://dstory.co/</x:v>
      </x:c>
      <x:c r="W806" s="19" t="str">
        <x:v>https://pro.similarweb.com/#/digitalsuite/websiteanalysis/referrals/*/999/1m?webSource=Total&amp;selectedTab=incomingTraffic&amp;key=gumroad.com</x:v>
      </x:c>
      <x:c r="X806" s="20" t="n">
        <x:f>IF(Q806="是",0,IFERROR(P806/SUMIFS($P$2:$P$964,$A$2:$A$964,A806,$Q$2:$Q$964,"否"),0))</x:f>
        <x:v>0.0027221637521043177</x:v>
      </x:c>
      <x:c r="Y806" s="22" t="str">
        <x:f>IF(OR(M806="",U806=""),"未交叉",IF(M806*U806&gt;0,"同向",IF(M806*U806&lt;0,"背离","一侧持平")))</x:f>
        <x:v>未交叉</x:v>
      </x:c>
    </x:row>
    <x:row r="807">
      <x:c r="A807" s="18" t="str">
        <x:v>gumroad.com</x:v>
      </x:c>
      <x:c r="B807" s="19" t="str">
        <x:v>支付商主域（混合流量）</x:v>
      </x:c>
      <x:c r="C807" s="19" t="str">
        <x:v>中</x:v>
      </x:c>
      <x:c r="D807" s="19" t="str">
        <x:v>Jul 2026</x:v>
      </x:c>
      <x:c r="E807" s="19" t="n">
        <x:v>82</x:v>
      </x:c>
      <x:c r="F807" s="19" t="str">
        <x:v>itch.io</x:v>
      </x:c>
      <x:c r="G807" s="19" t="str">
        <x:v>Video Games Consoles and Accessories</x:v>
      </x:c>
      <x:c r="H807" s="19" t="str">
        <x:v>游戏、数字商品与虚拟内容</x:v>
      </x:c>
      <x:c r="I807" s="19" t="str">
        <x:v>Similarweb 行业映射</x:v>
      </x:c>
      <x:c r="J807" s="19" t="n">
        <x:v>549</x:v>
      </x:c>
      <x:c r="K807" s="20" t="n">
        <x:v>0.0016</x:v>
      </x:c>
      <x:c r="L807" s="19" t="str">
        <x:v>上升</x:v>
      </x:c>
      <x:c r="M807" s="20" t="n">
        <x:v>2.9668</x:v>
      </x:c>
      <x:c r="N807" s="21" t="n">
        <x:v>2103000</x:v>
      </x:c>
      <x:c r="O807" s="21" t="n">
        <x:v>3365</x:v>
      </x:c>
      <x:c r="P807" s="21" t="n">
        <x:f>ROUND(N807*K807,0)</x:f>
        <x:v>3365</x:v>
      </x:c>
      <x:c r="Q807" s="19" t="str">
        <x:v>否</x:v>
      </x:c>
      <x:c r="R807" s="19" t="str"/>
      <x:c r="S807" s="19" t="n">
        <x:f>IF(Q807="是",0,MIN(10,2+IF(C807="高",2,1)+IF(K807&gt;=3%,3,IF(K807&gt;=1%,2,1))+IF(L807="新出现",2,IF(M807&gt;=100%,3,IF(M807&gt;0,2,0)))))</x:f>
        <x:v>7</x:v>
      </x:c>
      <x:c r="T807" s="21"/>
      <x:c r="U807" s="20"/>
      <x:c r="V807" s="19" t="str">
        <x:v>http://itch.io/</x:v>
      </x:c>
      <x:c r="W807" s="19" t="str">
        <x:v>https://pro.similarweb.com/#/digitalsuite/websiteanalysis/referrals/*/999/1m?webSource=Total&amp;selectedTab=incomingTraffic&amp;key=gumroad.com</x:v>
      </x:c>
      <x:c r="X807" s="20" t="n">
        <x:f>IF(Q807="是",0,IFERROR(P807/SUMIFS($P$2:$P$964,$A$2:$A$964,A807,$Q$2:$Q$964,"否"),0))</x:f>
        <x:v>0.0027221637521043177</x:v>
      </x:c>
      <x:c r="Y807" s="22" t="str">
        <x:f>IF(OR(M807="",U807=""),"未交叉",IF(M807*U807&gt;0,"同向",IF(M807*U807&lt;0,"背离","一侧持平")))</x:f>
        <x:v>未交叉</x:v>
      </x:c>
    </x:row>
    <x:row r="808">
      <x:c r="A808" s="18" t="str">
        <x:v>gumroad.com</x:v>
      </x:c>
      <x:c r="B808" s="19" t="str">
        <x:v>支付商主域（混合流量）</x:v>
      </x:c>
      <x:c r="C808" s="19" t="str">
        <x:v>中</x:v>
      </x:c>
      <x:c r="D808" s="19" t="str">
        <x:v>Jul 2026</x:v>
      </x:c>
      <x:c r="E808" s="19" t="n">
        <x:v>83</x:v>
      </x:c>
      <x:c r="F808" s="19" t="str">
        <x:v>scriptspot.com</x:v>
      </x:c>
      <x:c r="G808" s="19" t="str">
        <x:v>Graphics Multimedia and Web Design</x:v>
      </x:c>
      <x:c r="H808" s="19" t="str">
        <x:v>创作、设计与多媒体工具</x:v>
      </x:c>
      <x:c r="I808" s="19" t="str">
        <x:v>Similarweb 行业映射</x:v>
      </x:c>
      <x:c r="J808" s="19" t="n">
        <x:v>232708</x:v>
      </x:c>
      <x:c r="K808" s="20" t="n">
        <x:v>0.0016</x:v>
      </x:c>
      <x:c r="L808" s="19" t="str">
        <x:v>上升</x:v>
      </x:c>
      <x:c r="M808" s="20" t="n">
        <x:v>0.2531</x:v>
      </x:c>
      <x:c r="N808" s="21" t="n">
        <x:v>2103000</x:v>
      </x:c>
      <x:c r="O808" s="21" t="n">
        <x:v>3365</x:v>
      </x:c>
      <x:c r="P808" s="21" t="n">
        <x:f>ROUND(N808*K808,0)</x:f>
        <x:v>3365</x:v>
      </x:c>
      <x:c r="Q808" s="19" t="str">
        <x:v>否</x:v>
      </x:c>
      <x:c r="R808" s="19" t="str"/>
      <x:c r="S808" s="19" t="n">
        <x:f>IF(Q808="是",0,MIN(10,2+IF(C808="高",2,1)+IF(K808&gt;=3%,3,IF(K808&gt;=1%,2,1))+IF(L808="新出现",2,IF(M808&gt;=100%,3,IF(M808&gt;0,2,0)))))</x:f>
        <x:v>6</x:v>
      </x:c>
      <x:c r="T808" s="21"/>
      <x:c r="U808" s="20"/>
      <x:c r="V808" s="19" t="str">
        <x:v>http://scriptspot.com/</x:v>
      </x:c>
      <x:c r="W808" s="19" t="str">
        <x:v>https://pro.similarweb.com/#/digitalsuite/websiteanalysis/referrals/*/999/1m?webSource=Total&amp;selectedTab=incomingTraffic&amp;key=gumroad.com</x:v>
      </x:c>
      <x:c r="X808" s="20" t="n">
        <x:f>IF(Q808="是",0,IFERROR(P808/SUMIFS($P$2:$P$964,$A$2:$A$964,A808,$Q$2:$Q$964,"否"),0))</x:f>
        <x:v>0.0027221637521043177</x:v>
      </x:c>
      <x:c r="Y808" s="22" t="str">
        <x:f>IF(OR(M808="",U808=""),"未交叉",IF(M808*U808&gt;0,"同向",IF(M808*U808&lt;0,"背离","一侧持平")))</x:f>
        <x:v>未交叉</x:v>
      </x:c>
    </x:row>
    <x:row r="809">
      <x:c r="A809" s="18" t="str">
        <x:v>gumroad.com</x:v>
      </x:c>
      <x:c r="B809" s="19" t="str">
        <x:v>支付商主域（混合流量）</x:v>
      </x:c>
      <x:c r="C809" s="19" t="str">
        <x:v>中</x:v>
      </x:c>
      <x:c r="D809" s="19" t="str">
        <x:v>Jul 2026</x:v>
      </x:c>
      <x:c r="E809" s="19" t="n">
        <x:v>84</x:v>
      </x:c>
      <x:c r="F809" s="19" t="str">
        <x:v>freebiesbug.com</x:v>
      </x:c>
      <x:c r="G809" s="19" t="str">
        <x:v>Graphics Multimedia and Web Design</x:v>
      </x:c>
      <x:c r="H809" s="19" t="str">
        <x:v>创作、设计与多媒体工具</x:v>
      </x:c>
      <x:c r="I809" s="19" t="str">
        <x:v>Similarweb 行业映射</x:v>
      </x:c>
      <x:c r="J809" s="19" t="n">
        <x:v>257272</x:v>
      </x:c>
      <x:c r="K809" s="20" t="n">
        <x:v>0.0016</x:v>
      </x:c>
      <x:c r="L809" s="19" t="str">
        <x:v>上升</x:v>
      </x:c>
      <x:c r="M809" s="20" t="n">
        <x:v>0.6159</x:v>
      </x:c>
      <x:c r="N809" s="21" t="n">
        <x:v>2103000</x:v>
      </x:c>
      <x:c r="O809" s="21" t="n">
        <x:v>3365</x:v>
      </x:c>
      <x:c r="P809" s="21" t="n">
        <x:f>ROUND(N809*K809,0)</x:f>
        <x:v>3365</x:v>
      </x:c>
      <x:c r="Q809" s="19" t="str">
        <x:v>否</x:v>
      </x:c>
      <x:c r="R809" s="19" t="str"/>
      <x:c r="S809" s="19" t="n">
        <x:f>IF(Q809="是",0,MIN(10,2+IF(C809="高",2,1)+IF(K809&gt;=3%,3,IF(K809&gt;=1%,2,1))+IF(L809="新出现",2,IF(M809&gt;=100%,3,IF(M809&gt;0,2,0)))))</x:f>
        <x:v>6</x:v>
      </x:c>
      <x:c r="T809" s="21"/>
      <x:c r="U809" s="20"/>
      <x:c r="V809" s="19" t="str">
        <x:v>http://freebiesbug.com/</x:v>
      </x:c>
      <x:c r="W809" s="19" t="str">
        <x:v>https://pro.similarweb.com/#/digitalsuite/websiteanalysis/referrals/*/999/1m?webSource=Total&amp;selectedTab=incomingTraffic&amp;key=gumroad.com</x:v>
      </x:c>
      <x:c r="X809" s="20" t="n">
        <x:f>IF(Q809="是",0,IFERROR(P809/SUMIFS($P$2:$P$964,$A$2:$A$964,A809,$Q$2:$Q$964,"否"),0))</x:f>
        <x:v>0.0027221637521043177</x:v>
      </x:c>
      <x:c r="Y809" s="22" t="str">
        <x:f>IF(OR(M809="",U809=""),"未交叉",IF(M809*U809&gt;0,"同向",IF(M809*U809&lt;0,"背离","一侧持平")))</x:f>
        <x:v>未交叉</x:v>
      </x:c>
    </x:row>
    <x:row r="810">
      <x:c r="A810" s="18" t="str">
        <x:v>gumroad.com</x:v>
      </x:c>
      <x:c r="B810" s="19" t="str">
        <x:v>支付商主域（混合流量）</x:v>
      </x:c>
      <x:c r="C810" s="19" t="str">
        <x:v>中</x:v>
      </x:c>
      <x:c r="D810" s="19" t="str">
        <x:v>Jul 2026</x:v>
      </x:c>
      <x:c r="E810" s="19" t="n">
        <x:v>85</x:v>
      </x:c>
      <x:c r="F810" s="19" t="str">
        <x:v>nicksaraev.com</x:v>
      </x:c>
      <x:c r="G810" s="19" t="str">
        <x:v>Nutrition Diets and Fitness</x:v>
      </x:c>
      <x:c r="H810" s="19" t="str">
        <x:v>其他/待核查</x:v>
      </x:c>
      <x:c r="I810" s="19" t="str">
        <x:v>保守归类</x:v>
      </x:c>
      <x:c r="J810" s="19" t="n">
        <x:v>718767</x:v>
      </x:c>
      <x:c r="K810" s="20" t="n">
        <x:v>0.0015</x:v>
      </x:c>
      <x:c r="L810" s="19" t="str">
        <x:v>上升</x:v>
      </x:c>
      <x:c r="M810" s="20" t="n">
        <x:v>2.6283</x:v>
      </x:c>
      <x:c r="N810" s="21" t="n">
        <x:v>2103000</x:v>
      </x:c>
      <x:c r="O810" s="21" t="n">
        <x:v>3155</x:v>
      </x:c>
      <x:c r="P810" s="21" t="n">
        <x:f>ROUND(N810*K810,0)</x:f>
        <x:v>3155</x:v>
      </x:c>
      <x:c r="Q810" s="19" t="str">
        <x:v>否</x:v>
      </x:c>
      <x:c r="R810" s="19" t="str"/>
      <x:c r="S810" s="19" t="n">
        <x:f>IF(Q810="是",0,MIN(10,2+IF(C810="高",2,1)+IF(K810&gt;=3%,3,IF(K810&gt;=1%,2,1))+IF(L810="新出现",2,IF(M810&gt;=100%,3,IF(M810&gt;0,2,0)))))</x:f>
        <x:v>7</x:v>
      </x:c>
      <x:c r="T810" s="21"/>
      <x:c r="U810" s="20"/>
      <x:c r="V810" s="19" t="str">
        <x:v>http://nicksaraev.com/</x:v>
      </x:c>
      <x:c r="W810" s="19" t="str">
        <x:v>https://pro.similarweb.com/#/digitalsuite/websiteanalysis/referrals/*/999/1m?webSource=Total&amp;selectedTab=incomingTraffic&amp;key=gumroad.com</x:v>
      </x:c>
      <x:c r="X810" s="20" t="n">
        <x:f>IF(Q810="是",0,IFERROR(P810/SUMIFS($P$2:$P$964,$A$2:$A$964,A810,$Q$2:$Q$964,"否"),0))</x:f>
        <x:v>0.002552281318837778</x:v>
      </x:c>
      <x:c r="Y810" s="22" t="str">
        <x:f>IF(OR(M810="",U810=""),"未交叉",IF(M810*U810&gt;0,"同向",IF(M810*U810&lt;0,"背离","一侧持平")))</x:f>
        <x:v>未交叉</x:v>
      </x:c>
    </x:row>
    <x:row r="811">
      <x:c r="A811" s="18" t="str">
        <x:v>gumroad.com</x:v>
      </x:c>
      <x:c r="B811" s="19" t="str">
        <x:v>支付商主域（混合流量）</x:v>
      </x:c>
      <x:c r="C811" s="19" t="str">
        <x:v>中</x:v>
      </x:c>
      <x:c r="D811" s="19" t="str">
        <x:v>Jul 2026</x:v>
      </x:c>
      <x:c r="E811" s="19" t="n">
        <x:v>86</x:v>
      </x:c>
      <x:c r="F811" s="19" t="str">
        <x:v>downloadpirate.com</x:v>
      </x:c>
      <x:c r="G811" s="19" t="str">
        <x:v>File Sharing and Hosting</x:v>
      </x:c>
      <x:c r="H811" s="19" t="str">
        <x:v>开发者工具与互联网基础设施</x:v>
      </x:c>
      <x:c r="I811" s="19" t="str">
        <x:v>Similarweb 行业映射</x:v>
      </x:c>
      <x:c r="J811" s="19" t="n">
        <x:v>60548</x:v>
      </x:c>
      <x:c r="K811" s="20" t="n">
        <x:v>0.0015</x:v>
      </x:c>
      <x:c r="L811" s="19" t="str">
        <x:v>上升</x:v>
      </x:c>
      <x:c r="M811" s="20" t="n">
        <x:v>6.2752</x:v>
      </x:c>
      <x:c r="N811" s="21" t="n">
        <x:v>2103000</x:v>
      </x:c>
      <x:c r="O811" s="21" t="n">
        <x:v>3155</x:v>
      </x:c>
      <x:c r="P811" s="21" t="n">
        <x:f>ROUND(N811*K811,0)</x:f>
        <x:v>3155</x:v>
      </x:c>
      <x:c r="Q811" s="19" t="str">
        <x:v>否</x:v>
      </x:c>
      <x:c r="R811" s="19" t="str"/>
      <x:c r="S811" s="19" t="n">
        <x:f>IF(Q811="是",0,MIN(10,2+IF(C811="高",2,1)+IF(K811&gt;=3%,3,IF(K811&gt;=1%,2,1))+IF(L811="新出现",2,IF(M811&gt;=100%,3,IF(M811&gt;0,2,0)))))</x:f>
        <x:v>7</x:v>
      </x:c>
      <x:c r="T811" s="21"/>
      <x:c r="U811" s="20"/>
      <x:c r="V811" s="19" t="str">
        <x:v>http://downloadpirate.com/</x:v>
      </x:c>
      <x:c r="W811" s="19" t="str">
        <x:v>https://pro.similarweb.com/#/digitalsuite/websiteanalysis/referrals/*/999/1m?webSource=Total&amp;selectedTab=incomingTraffic&amp;key=gumroad.com</x:v>
      </x:c>
      <x:c r="X811" s="20" t="n">
        <x:f>IF(Q811="是",0,IFERROR(P811/SUMIFS($P$2:$P$964,$A$2:$A$964,A811,$Q$2:$Q$964,"否"),0))</x:f>
        <x:v>0.002552281318837778</x:v>
      </x:c>
      <x:c r="Y811" s="22" t="str">
        <x:f>IF(OR(M811="",U811=""),"未交叉",IF(M811*U811&gt;0,"同向",IF(M811*U811&lt;0,"背离","一侧持平")))</x:f>
        <x:v>未交叉</x:v>
      </x:c>
    </x:row>
    <x:row r="812">
      <x:c r="A812" s="18" t="str">
        <x:v>gumroad.com</x:v>
      </x:c>
      <x:c r="B812" s="19" t="str">
        <x:v>支付商主域（混合流量）</x:v>
      </x:c>
      <x:c r="C812" s="19" t="str">
        <x:v>中</x:v>
      </x:c>
      <x:c r="D812" s="19" t="str">
        <x:v>Jul 2026</x:v>
      </x:c>
      <x:c r="E812" s="19" t="n">
        <x:v>87</x:v>
      </x:c>
      <x:c r="F812" s="19" t="str">
        <x:v>befonts.com</x:v>
      </x:c>
      <x:c r="G812" s="19" t="str">
        <x:v>Graphics Multimedia and Web Design</x:v>
      </x:c>
      <x:c r="H812" s="19" t="str">
        <x:v>创作、设计与多媒体工具</x:v>
      </x:c>
      <x:c r="I812" s="19" t="str">
        <x:v>Similarweb 行业映射</x:v>
      </x:c>
      <x:c r="J812" s="19" t="n">
        <x:v>26918</x:v>
      </x:c>
      <x:c r="K812" s="20" t="n">
        <x:v>0.0015</x:v>
      </x:c>
      <x:c r="L812" s="19" t="str">
        <x:v>上升</x:v>
      </x:c>
      <x:c r="M812" s="20" t="n">
        <x:v>2.7788999999999997</x:v>
      </x:c>
      <x:c r="N812" s="21" t="n">
        <x:v>2103000</x:v>
      </x:c>
      <x:c r="O812" s="21" t="n">
        <x:v>3155</x:v>
      </x:c>
      <x:c r="P812" s="21" t="n">
        <x:f>ROUND(N812*K812,0)</x:f>
        <x:v>3155</x:v>
      </x:c>
      <x:c r="Q812" s="19" t="str">
        <x:v>否</x:v>
      </x:c>
      <x:c r="R812" s="19" t="str"/>
      <x:c r="S812" s="19" t="n">
        <x:f>IF(Q812="是",0,MIN(10,2+IF(C812="高",2,1)+IF(K812&gt;=3%,3,IF(K812&gt;=1%,2,1))+IF(L812="新出现",2,IF(M812&gt;=100%,3,IF(M812&gt;0,2,0)))))</x:f>
        <x:v>7</x:v>
      </x:c>
      <x:c r="T812" s="21"/>
      <x:c r="U812" s="20"/>
      <x:c r="V812" s="19" t="str">
        <x:v>http://befonts.com/</x:v>
      </x:c>
      <x:c r="W812" s="19" t="str">
        <x:v>https://pro.similarweb.com/#/digitalsuite/websiteanalysis/referrals/*/999/1m?webSource=Total&amp;selectedTab=incomingTraffic&amp;key=gumroad.com</x:v>
      </x:c>
      <x:c r="X812" s="20" t="n">
        <x:f>IF(Q812="是",0,IFERROR(P812/SUMIFS($P$2:$P$964,$A$2:$A$964,A812,$Q$2:$Q$964,"否"),0))</x:f>
        <x:v>0.002552281318837778</x:v>
      </x:c>
      <x:c r="Y812" s="22" t="str">
        <x:f>IF(OR(M812="",U812=""),"未交叉",IF(M812*U812&gt;0,"同向",IF(M812*U812&lt;0,"背离","一侧持平")))</x:f>
        <x:v>未交叉</x:v>
      </x:c>
    </x:row>
    <x:row r="813">
      <x:c r="A813" s="18" t="str">
        <x:v>gumroad.com</x:v>
      </x:c>
      <x:c r="B813" s="19" t="str">
        <x:v>支付商主域（混合流量）</x:v>
      </x:c>
      <x:c r="C813" s="19" t="str">
        <x:v>中</x:v>
      </x:c>
      <x:c r="D813" s="19" t="str">
        <x:v>Jul 2026</x:v>
      </x:c>
      <x:c r="E813" s="19" t="n">
        <x:v>88</x:v>
      </x:c>
      <x:c r="F813" s="19" t="str">
        <x:v>spunkram.com</x:v>
      </x:c>
      <x:c r="G813" s="19" t="str">
        <x:v>Computers Electronics and Technology</x:v>
      </x:c>
      <x:c r="H813" s="19" t="str">
        <x:v>通用数字产品与技术服务</x:v>
      </x:c>
      <x:c r="I813" s="19" t="str">
        <x:v>Similarweb 行业映射</x:v>
      </x:c>
      <x:c r="J813" s="19" t="n">
        <x:v>1272222</x:v>
      </x:c>
      <x:c r="K813" s="20" t="n">
        <x:v>0.0015</x:v>
      </x:c>
      <x:c r="L813" s="19" t="str">
        <x:v>上升</x:v>
      </x:c>
      <x:c r="M813" s="20" t="n">
        <x:v>1.3866999999999998</x:v>
      </x:c>
      <x:c r="N813" s="21" t="n">
        <x:v>2103000</x:v>
      </x:c>
      <x:c r="O813" s="21" t="n">
        <x:v>3155</x:v>
      </x:c>
      <x:c r="P813" s="21" t="n">
        <x:f>ROUND(N813*K813,0)</x:f>
        <x:v>3155</x:v>
      </x:c>
      <x:c r="Q813" s="19" t="str">
        <x:v>否</x:v>
      </x:c>
      <x:c r="R813" s="19" t="str"/>
      <x:c r="S813" s="19" t="n">
        <x:f>IF(Q813="是",0,MIN(10,2+IF(C813="高",2,1)+IF(K813&gt;=3%,3,IF(K813&gt;=1%,2,1))+IF(L813="新出现",2,IF(M813&gt;=100%,3,IF(M813&gt;0,2,0)))))</x:f>
        <x:v>7</x:v>
      </x:c>
      <x:c r="T813" s="21"/>
      <x:c r="U813" s="20"/>
      <x:c r="V813" s="19" t="str">
        <x:v>http://spunkram.com/</x:v>
      </x:c>
      <x:c r="W813" s="19" t="str">
        <x:v>https://pro.similarweb.com/#/digitalsuite/websiteanalysis/referrals/*/999/1m?webSource=Total&amp;selectedTab=incomingTraffic&amp;key=gumroad.com</x:v>
      </x:c>
      <x:c r="X813" s="20" t="n">
        <x:f>IF(Q813="是",0,IFERROR(P813/SUMIFS($P$2:$P$964,$A$2:$A$964,A813,$Q$2:$Q$964,"否"),0))</x:f>
        <x:v>0.002552281318837778</x:v>
      </x:c>
      <x:c r="Y813" s="22" t="str">
        <x:f>IF(OR(M813="",U813=""),"未交叉",IF(M813*U813&gt;0,"同向",IF(M813*U813&lt;0,"背离","一侧持平")))</x:f>
        <x:v>未交叉</x:v>
      </x:c>
    </x:row>
    <x:row r="814">
      <x:c r="A814" s="18" t="str">
        <x:v>gumroad.com</x:v>
      </x:c>
      <x:c r="B814" s="19" t="str">
        <x:v>支付商主域（混合流量）</x:v>
      </x:c>
      <x:c r="C814" s="19" t="str">
        <x:v>中</x:v>
      </x:c>
      <x:c r="D814" s="19" t="str">
        <x:v>Jul 2026</x:v>
      </x:c>
      <x:c r="E814" s="19" t="n">
        <x:v>89</x:v>
      </x:c>
      <x:c r="F814" s="19" t="str">
        <x:v>kickstarter.com</x:v>
      </x:c>
      <x:c r="G814" s="19" t="str">
        <x:v>Games</x:v>
      </x:c>
      <x:c r="H814" s="19" t="str">
        <x:v>游戏、数字商品与虚拟内容</x:v>
      </x:c>
      <x:c r="I814" s="19" t="str">
        <x:v>Similarweb 行业映射</x:v>
      </x:c>
      <x:c r="J814" s="19" t="n">
        <x:v>2482</x:v>
      </x:c>
      <x:c r="K814" s="20" t="n">
        <x:v>0.0014000000000000002</x:v>
      </x:c>
      <x:c r="L814" s="19" t="str">
        <x:v>上升</x:v>
      </x:c>
      <x:c r="M814" s="20" t="n">
        <x:v>0.2754</x:v>
      </x:c>
      <x:c r="N814" s="21" t="n">
        <x:v>2103000</x:v>
      </x:c>
      <x:c r="O814" s="21" t="n">
        <x:v>2944</x:v>
      </x:c>
      <x:c r="P814" s="21" t="n">
        <x:f>ROUND(N814*K814,0)</x:f>
        <x:v>2944</x:v>
      </x:c>
      <x:c r="Q814" s="19" t="str">
        <x:v>否</x:v>
      </x:c>
      <x:c r="R814" s="19" t="str"/>
      <x:c r="S814" s="19" t="n">
        <x:f>IF(Q814="是",0,MIN(10,2+IF(C814="高",2,1)+IF(K814&gt;=3%,3,IF(K814&gt;=1%,2,1))+IF(L814="新出现",2,IF(M814&gt;=100%,3,IF(M814&gt;0,2,0)))))</x:f>
        <x:v>6</x:v>
      </x:c>
      <x:c r="T814" s="21"/>
      <x:c r="U814" s="20"/>
      <x:c r="V814" s="19" t="str">
        <x:v>http://kickstarter.com/</x:v>
      </x:c>
      <x:c r="W814" s="19" t="str">
        <x:v>https://pro.similarweb.com/#/digitalsuite/websiteanalysis/referrals/*/999/1m?webSource=Total&amp;selectedTab=incomingTraffic&amp;key=gumroad.com</x:v>
      </x:c>
      <x:c r="X814" s="20" t="n">
        <x:f>IF(Q814="是",0,IFERROR(P814/SUMIFS($P$2:$P$964,$A$2:$A$964,A814,$Q$2:$Q$964,"否"),0))</x:f>
        <x:v>0.002381589921603302</x:v>
      </x:c>
      <x:c r="Y814" s="22" t="str">
        <x:f>IF(OR(M814="",U814=""),"未交叉",IF(M814*U814&gt;0,"同向",IF(M814*U814&lt;0,"背离","一侧持平")))</x:f>
        <x:v>未交叉</x:v>
      </x:c>
    </x:row>
    <x:row r="815">
      <x:c r="A815" s="18" t="str">
        <x:v>gumroad.com</x:v>
      </x:c>
      <x:c r="B815" s="19" t="str">
        <x:v>支付商主域（混合流量）</x:v>
      </x:c>
      <x:c r="C815" s="19" t="str">
        <x:v>中</x:v>
      </x:c>
      <x:c r="D815" s="19" t="str">
        <x:v>Jul 2026</x:v>
      </x:c>
      <x:c r="E815" s="19" t="n">
        <x:v>90</x:v>
      </x:c>
      <x:c r="F815" s="19" t="str">
        <x:v>readymag.com</x:v>
      </x:c>
      <x:c r="G815" s="19" t="str">
        <x:v>Graphics Multimedia and Web Design</x:v>
      </x:c>
      <x:c r="H815" s="19" t="str">
        <x:v>创作、设计与多媒体工具</x:v>
      </x:c>
      <x:c r="I815" s="19" t="str">
        <x:v>Similarweb 行业映射</x:v>
      </x:c>
      <x:c r="J815" s="19" t="n">
        <x:v>28975</x:v>
      </x:c>
      <x:c r="K815" s="20" t="n">
        <x:v>0.0014000000000000002</x:v>
      </x:c>
      <x:c r="L815" s="19" t="str">
        <x:v>上升</x:v>
      </x:c>
      <x:c r="M815" s="20" t="n">
        <x:v>1.5144</x:v>
      </x:c>
      <x:c r="N815" s="21" t="n">
        <x:v>2103000</x:v>
      </x:c>
      <x:c r="O815" s="21" t="n">
        <x:v>2944</x:v>
      </x:c>
      <x:c r="P815" s="21" t="n">
        <x:f>ROUND(N815*K815,0)</x:f>
        <x:v>2944</x:v>
      </x:c>
      <x:c r="Q815" s="19" t="str">
        <x:v>否</x:v>
      </x:c>
      <x:c r="R815" s="19" t="str"/>
      <x:c r="S815" s="19" t="n">
        <x:f>IF(Q815="是",0,MIN(10,2+IF(C815="高",2,1)+IF(K815&gt;=3%,3,IF(K815&gt;=1%,2,1))+IF(L815="新出现",2,IF(M815&gt;=100%,3,IF(M815&gt;0,2,0)))))</x:f>
        <x:v>7</x:v>
      </x:c>
      <x:c r="T815" s="21"/>
      <x:c r="U815" s="20"/>
      <x:c r="V815" s="19" t="str">
        <x:v>http://readymag.com/</x:v>
      </x:c>
      <x:c r="W815" s="19" t="str">
        <x:v>https://pro.similarweb.com/#/digitalsuite/websiteanalysis/referrals/*/999/1m?webSource=Total&amp;selectedTab=incomingTraffic&amp;key=gumroad.com</x:v>
      </x:c>
      <x:c r="X815" s="20" t="n">
        <x:f>IF(Q815="是",0,IFERROR(P815/SUMIFS($P$2:$P$964,$A$2:$A$964,A815,$Q$2:$Q$964,"否"),0))</x:f>
        <x:v>0.002381589921603302</x:v>
      </x:c>
      <x:c r="Y815" s="22" t="str">
        <x:f>IF(OR(M815="",U815=""),"未交叉",IF(M815*U815&gt;0,"同向",IF(M815*U815&lt;0,"背离","一侧持平")))</x:f>
        <x:v>未交叉</x:v>
      </x:c>
    </x:row>
    <x:row r="816">
      <x:c r="A816" s="18" t="str">
        <x:v>gumroad.com</x:v>
      </x:c>
      <x:c r="B816" s="19" t="str">
        <x:v>支付商主域（混合流量）</x:v>
      </x:c>
      <x:c r="C816" s="19" t="str">
        <x:v>中</x:v>
      </x:c>
      <x:c r="D816" s="19" t="str">
        <x:v>Jul 2026</x:v>
      </x:c>
      <x:c r="E816" s="19" t="n">
        <x:v>91</x:v>
      </x:c>
      <x:c r="F816" s="19" t="str">
        <x:v>modelinghappy.com</x:v>
      </x:c>
      <x:c r="G816" s="19" t="str">
        <x:v>Computers Electronics and Technology</x:v>
      </x:c>
      <x:c r="H816" s="19" t="str">
        <x:v>通用数字产品与技术服务</x:v>
      </x:c>
      <x:c r="I816" s="19" t="str">
        <x:v>Similarweb 行业映射</x:v>
      </x:c>
      <x:c r="J816" s="19" t="n">
        <x:v>378700</x:v>
      </x:c>
      <x:c r="K816" s="20" t="n">
        <x:v>0.0014000000000000002</x:v>
      </x:c>
      <x:c r="L816" s="19" t="str">
        <x:v>下降</x:v>
      </x:c>
      <x:c r="M816" s="20" t="n">
        <x:v>-0.0207</x:v>
      </x:c>
      <x:c r="N816" s="21" t="n">
        <x:v>2103000</x:v>
      </x:c>
      <x:c r="O816" s="21" t="n">
        <x:v>2944</x:v>
      </x:c>
      <x:c r="P816" s="21" t="n">
        <x:f>ROUND(N816*K816,0)</x:f>
        <x:v>2944</x:v>
      </x:c>
      <x:c r="Q816" s="19" t="str">
        <x:v>否</x:v>
      </x:c>
      <x:c r="R816" s="19" t="str"/>
      <x:c r="S816" s="19" t="n">
        <x:f>IF(Q816="是",0,MIN(10,2+IF(C816="高",2,1)+IF(K816&gt;=3%,3,IF(K816&gt;=1%,2,1))+IF(L816="新出现",2,IF(M816&gt;=100%,3,IF(M816&gt;0,2,0)))))</x:f>
        <x:v>4</x:v>
      </x:c>
      <x:c r="T816" s="21"/>
      <x:c r="U816" s="20"/>
      <x:c r="V816" s="19" t="str">
        <x:v>http://modelinghappy.com/</x:v>
      </x:c>
      <x:c r="W816" s="19" t="str">
        <x:v>https://pro.similarweb.com/#/digitalsuite/websiteanalysis/referrals/*/999/1m?webSource=Total&amp;selectedTab=incomingTraffic&amp;key=gumroad.com</x:v>
      </x:c>
      <x:c r="X816" s="20" t="n">
        <x:f>IF(Q816="是",0,IFERROR(P816/SUMIFS($P$2:$P$964,$A$2:$A$964,A816,$Q$2:$Q$964,"否"),0))</x:f>
        <x:v>0.002381589921603302</x:v>
      </x:c>
      <x:c r="Y816" s="22" t="str">
        <x:f>IF(OR(M816="",U816=""),"未交叉",IF(M816*U816&gt;0,"同向",IF(M816*U816&lt;0,"背离","一侧持平")))</x:f>
        <x:v>未交叉</x:v>
      </x:c>
    </x:row>
    <x:row r="817">
      <x:c r="A817" s="18" t="str">
        <x:v>gumroad.com</x:v>
      </x:c>
      <x:c r="B817" s="19" t="str">
        <x:v>支付商主域（混合流量）</x:v>
      </x:c>
      <x:c r="C817" s="19" t="str">
        <x:v>中</x:v>
      </x:c>
      <x:c r="D817" s="19" t="str">
        <x:v>Jul 2026</x:v>
      </x:c>
      <x:c r="E817" s="19" t="n">
        <x:v>92</x:v>
      </x:c>
      <x:c r="F817" s="19" t="str">
        <x:v>theresanaiforthat.com</x:v>
      </x:c>
      <x:c r="G817" s="19" t="str">
        <x:v>Computers Electronics and Technology</x:v>
      </x:c>
      <x:c r="H817" s="19" t="str">
        <x:v>通用数字产品与技术服务</x:v>
      </x:c>
      <x:c r="I817" s="19" t="str">
        <x:v>Similarweb 行业映射</x:v>
      </x:c>
      <x:c r="J817" s="19" t="n">
        <x:v>10280</x:v>
      </x:c>
      <x:c r="K817" s="20" t="n">
        <x:v>0.0014000000000000002</x:v>
      </x:c>
      <x:c r="L817" s="19" t="str">
        <x:v>上升</x:v>
      </x:c>
      <x:c r="M817" s="20" t="n">
        <x:v>0.5882999999999999</x:v>
      </x:c>
      <x:c r="N817" s="21" t="n">
        <x:v>2103000</x:v>
      </x:c>
      <x:c r="O817" s="21" t="n">
        <x:v>2944</x:v>
      </x:c>
      <x:c r="P817" s="21" t="n">
        <x:f>ROUND(N817*K817,0)</x:f>
        <x:v>2944</x:v>
      </x:c>
      <x:c r="Q817" s="19" t="str">
        <x:v>否</x:v>
      </x:c>
      <x:c r="R817" s="19" t="str"/>
      <x:c r="S817" s="19" t="n">
        <x:f>IF(Q817="是",0,MIN(10,2+IF(C817="高",2,1)+IF(K817&gt;=3%,3,IF(K817&gt;=1%,2,1))+IF(L817="新出现",2,IF(M817&gt;=100%,3,IF(M817&gt;0,2,0)))))</x:f>
        <x:v>6</x:v>
      </x:c>
      <x:c r="T817" s="21"/>
      <x:c r="U817" s="20"/>
      <x:c r="V817" s="19" t="str">
        <x:v>http://theresanaiforthat.com/</x:v>
      </x:c>
      <x:c r="W817" s="19" t="str">
        <x:v>https://pro.similarweb.com/#/digitalsuite/websiteanalysis/referrals/*/999/1m?webSource=Total&amp;selectedTab=incomingTraffic&amp;key=gumroad.com</x:v>
      </x:c>
      <x:c r="X817" s="20" t="n">
        <x:f>IF(Q817="是",0,IFERROR(P817/SUMIFS($P$2:$P$964,$A$2:$A$964,A817,$Q$2:$Q$964,"否"),0))</x:f>
        <x:v>0.002381589921603302</x:v>
      </x:c>
      <x:c r="Y817" s="22" t="str">
        <x:f>IF(OR(M817="",U817=""),"未交叉",IF(M817*U817&gt;0,"同向",IF(M817*U817&lt;0,"背离","一侧持平")))</x:f>
        <x:v>未交叉</x:v>
      </x:c>
    </x:row>
    <x:row r="818">
      <x:c r="A818" s="18" t="str">
        <x:v>gumroad.com</x:v>
      </x:c>
      <x:c r="B818" s="19" t="str">
        <x:v>支付商主域（混合流量）</x:v>
      </x:c>
      <x:c r="C818" s="19" t="str">
        <x:v>中</x:v>
      </x:c>
      <x:c r="D818" s="19" t="str">
        <x:v>Jul 2026</x:v>
      </x:c>
      <x:c r="E818" s="19" t="n">
        <x:v>93</x:v>
      </x:c>
      <x:c r="F818" s="19" t="str">
        <x:v>maccy.app</x:v>
      </x:c>
      <x:c r="G818" s="19" t="str">
        <x:v>Programming and Developer Software</x:v>
      </x:c>
      <x:c r="H818" s="19" t="str">
        <x:v>开发者工具与互联网基础设施</x:v>
      </x:c>
      <x:c r="I818" s="19" t="str">
        <x:v>Similarweb 行业映射</x:v>
      </x:c>
      <x:c r="J818" s="19" t="n">
        <x:v>371075</x:v>
      </x:c>
      <x:c r="K818" s="20" t="n">
        <x:v>0.0014000000000000002</x:v>
      </x:c>
      <x:c r="L818" s="19" t="str">
        <x:v>下降</x:v>
      </x:c>
      <x:c r="M818" s="20" t="n">
        <x:v>-0.3924</x:v>
      </x:c>
      <x:c r="N818" s="21" t="n">
        <x:v>2103000</x:v>
      </x:c>
      <x:c r="O818" s="21" t="n">
        <x:v>2944</x:v>
      </x:c>
      <x:c r="P818" s="21" t="n">
        <x:f>ROUND(N818*K818,0)</x:f>
        <x:v>2944</x:v>
      </x:c>
      <x:c r="Q818" s="19" t="str">
        <x:v>否</x:v>
      </x:c>
      <x:c r="R818" s="19" t="str"/>
      <x:c r="S818" s="19" t="n">
        <x:f>IF(Q818="是",0,MIN(10,2+IF(C818="高",2,1)+IF(K818&gt;=3%,3,IF(K818&gt;=1%,2,1))+IF(L818="新出现",2,IF(M818&gt;=100%,3,IF(M818&gt;0,2,0)))))</x:f>
        <x:v>4</x:v>
      </x:c>
      <x:c r="T818" s="21"/>
      <x:c r="U818" s="20"/>
      <x:c r="V818" s="19" t="str">
        <x:v>http://maccy.app/</x:v>
      </x:c>
      <x:c r="W818" s="19" t="str">
        <x:v>https://pro.similarweb.com/#/digitalsuite/websiteanalysis/referrals/*/999/1m?webSource=Total&amp;selectedTab=incomingTraffic&amp;key=gumroad.com</x:v>
      </x:c>
      <x:c r="X818" s="20" t="n">
        <x:f>IF(Q818="是",0,IFERROR(P818/SUMIFS($P$2:$P$964,$A$2:$A$964,A818,$Q$2:$Q$964,"否"),0))</x:f>
        <x:v>0.002381589921603302</x:v>
      </x:c>
      <x:c r="Y818" s="22" t="str">
        <x:f>IF(OR(M818="",U818=""),"未交叉",IF(M818*U818&gt;0,"同向",IF(M818*U818&lt;0,"背离","一侧持平")))</x:f>
        <x:v>未交叉</x:v>
      </x:c>
    </x:row>
    <x:row r="819">
      <x:c r="A819" s="18" t="str">
        <x:v>gumroad.com</x:v>
      </x:c>
      <x:c r="B819" s="19" t="str">
        <x:v>支付商主域（混合流量）</x:v>
      </x:c>
      <x:c r="C819" s="19" t="str">
        <x:v>中</x:v>
      </x:c>
      <x:c r="D819" s="19" t="str">
        <x:v>Jul 2026</x:v>
      </x:c>
      <x:c r="E819" s="19" t="n">
        <x:v>94</x:v>
      </x:c>
      <x:c r="F819" s="19" t="str">
        <x:v>cleanupbuddy.app</x:v>
      </x:c>
      <x:c r="G819" s="19" t="str">
        <x:v>Unknown</x:v>
      </x:c>
      <x:c r="H819" s="19" t="str">
        <x:v>其他/待核查</x:v>
      </x:c>
      <x:c r="I819" s="19" t="str">
        <x:v>Similarweb 未分类</x:v>
      </x:c>
      <x:c r="J819" s="19" t="n">
        <x:v>2024354</x:v>
      </x:c>
      <x:c r="K819" s="20" t="n">
        <x:v>0.0013</x:v>
      </x:c>
      <x:c r="L819" s="19" t="str">
        <x:v>上升</x:v>
      </x:c>
      <x:c r="M819" s="20" t="n">
        <x:v>1.6391999999999998</x:v>
      </x:c>
      <x:c r="N819" s="21" t="n">
        <x:v>2103000</x:v>
      </x:c>
      <x:c r="O819" s="21" t="n">
        <x:v>2734</x:v>
      </x:c>
      <x:c r="P819" s="21" t="n">
        <x:f>ROUND(N819*K819,0)</x:f>
        <x:v>2734</x:v>
      </x:c>
      <x:c r="Q819" s="19" t="str">
        <x:v>否</x:v>
      </x:c>
      <x:c r="R819" s="19" t="str"/>
      <x:c r="S819" s="19" t="n">
        <x:f>IF(Q819="是",0,MIN(10,2+IF(C819="高",2,1)+IF(K819&gt;=3%,3,IF(K819&gt;=1%,2,1))+IF(L819="新出现",2,IF(M819&gt;=100%,3,IF(M819&gt;0,2,0)))))</x:f>
        <x:v>7</x:v>
      </x:c>
      <x:c r="T819" s="21"/>
      <x:c r="U819" s="20"/>
      <x:c r="V819" s="19" t="str">
        <x:v>http://cleanupbuddy.app/</x:v>
      </x:c>
      <x:c r="W819" s="19" t="str">
        <x:v>https://pro.similarweb.com/#/digitalsuite/websiteanalysis/referrals/*/999/1m?webSource=Total&amp;selectedTab=incomingTraffic&amp;key=gumroad.com</x:v>
      </x:c>
      <x:c r="X819" s="20" t="n">
        <x:f>IF(Q819="是",0,IFERROR(P819/SUMIFS($P$2:$P$964,$A$2:$A$964,A819,$Q$2:$Q$964,"否"),0))</x:f>
        <x:v>0.002211707488336762</x:v>
      </x:c>
      <x:c r="Y819" s="22" t="str">
        <x:f>IF(OR(M819="",U819=""),"未交叉",IF(M819*U819&gt;0,"同向",IF(M819*U819&lt;0,"背离","一侧持平")))</x:f>
        <x:v>未交叉</x:v>
      </x:c>
    </x:row>
    <x:row r="820">
      <x:c r="A820" s="18" t="str">
        <x:v>gumroad.com</x:v>
      </x:c>
      <x:c r="B820" s="19" t="str">
        <x:v>支付商主域（混合流量）</x:v>
      </x:c>
      <x:c r="C820" s="19" t="str">
        <x:v>中</x:v>
      </x:c>
      <x:c r="D820" s="19" t="str">
        <x:v>Jul 2026</x:v>
      </x:c>
      <x:c r="E820" s="19" t="n">
        <x:v>95</x:v>
      </x:c>
      <x:c r="F820" s="19" t="str">
        <x:v>discuss.eroscripts.com</x:v>
      </x:c>
      <x:c r="G820" s="19" t="str">
        <x:v>Adult</x:v>
      </x:c>
      <x:c r="H820" s="19" t="str">
        <x:v>其他/待核查</x:v>
      </x:c>
      <x:c r="I820" s="19" t="str">
        <x:v>保守归类</x:v>
      </x:c>
      <x:c r="J820" s="19"/>
      <x:c r="K820" s="20" t="n">
        <x:v>0.0013</x:v>
      </x:c>
      <x:c r="L820" s="19" t="str">
        <x:v>上升</x:v>
      </x:c>
      <x:c r="M820" s="20" t="n">
        <x:v>0.011000000000000001</x:v>
      </x:c>
      <x:c r="N820" s="21" t="n">
        <x:v>2103000</x:v>
      </x:c>
      <x:c r="O820" s="21" t="n">
        <x:v>2734</x:v>
      </x:c>
      <x:c r="P820" s="21" t="n">
        <x:f>ROUND(N820*K820,0)</x:f>
        <x:v>2734</x:v>
      </x:c>
      <x:c r="Q820" s="19" t="str">
        <x:v>否</x:v>
      </x:c>
      <x:c r="R820" s="19" t="str"/>
      <x:c r="S820" s="19" t="n">
        <x:f>IF(Q820="是",0,MIN(10,2+IF(C820="高",2,1)+IF(K820&gt;=3%,3,IF(K820&gt;=1%,2,1))+IF(L820="新出现",2,IF(M820&gt;=100%,3,IF(M820&gt;0,2,0)))))</x:f>
        <x:v>6</x:v>
      </x:c>
      <x:c r="T820" s="21"/>
      <x:c r="U820" s="20"/>
      <x:c r="V820" s="19" t="str">
        <x:v>http://discuss.eroscripts.com/</x:v>
      </x:c>
      <x:c r="W820" s="19" t="str">
        <x:v>https://pro.similarweb.com/#/digitalsuite/websiteanalysis/referrals/*/999/1m?webSource=Total&amp;selectedTab=incomingTraffic&amp;key=gumroad.com</x:v>
      </x:c>
      <x:c r="X820" s="20" t="n">
        <x:f>IF(Q820="是",0,IFERROR(P820/SUMIFS($P$2:$P$964,$A$2:$A$964,A820,$Q$2:$Q$964,"否"),0))</x:f>
        <x:v>0.002211707488336762</x:v>
      </x:c>
      <x:c r="Y820" s="22" t="str">
        <x:f>IF(OR(M820="",U820=""),"未交叉",IF(M820*U820&gt;0,"同向",IF(M820*U820&lt;0,"背离","一侧持平")))</x:f>
        <x:v>未交叉</x:v>
      </x:c>
    </x:row>
    <x:row r="821">
      <x:c r="A821" s="18" t="str">
        <x:v>gumroad.com</x:v>
      </x:c>
      <x:c r="B821" s="19" t="str">
        <x:v>支付商主域（混合流量）</x:v>
      </x:c>
      <x:c r="C821" s="19" t="str">
        <x:v>中</x:v>
      </x:c>
      <x:c r="D821" s="19" t="str">
        <x:v>Jul 2026</x:v>
      </x:c>
      <x:c r="E821" s="19" t="n">
        <x:v>96</x:v>
      </x:c>
      <x:c r="F821" s="19" t="str">
        <x:v>peerlist.io</x:v>
      </x:c>
      <x:c r="G821" s="19" t="str">
        <x:v>Graphics Multimedia and Web Design</x:v>
      </x:c>
      <x:c r="H821" s="19" t="str">
        <x:v>创作、设计与多媒体工具</x:v>
      </x:c>
      <x:c r="I821" s="19" t="str">
        <x:v>Similarweb 行业映射</x:v>
      </x:c>
      <x:c r="J821" s="19" t="n">
        <x:v>90892</x:v>
      </x:c>
      <x:c r="K821" s="20" t="n">
        <x:v>0.0013</x:v>
      </x:c>
      <x:c r="L821" s="19" t="str">
        <x:v>新出现</x:v>
      </x:c>
      <x:c r="M821" s="20"/>
      <x:c r="N821" s="21" t="n">
        <x:v>2103000</x:v>
      </x:c>
      <x:c r="O821" s="21" t="n">
        <x:v>2734</x:v>
      </x:c>
      <x:c r="P821" s="21" t="n">
        <x:f>ROUND(N821*K821,0)</x:f>
        <x:v>2734</x:v>
      </x:c>
      <x:c r="Q821" s="19" t="str">
        <x:v>否</x:v>
      </x:c>
      <x:c r="R821" s="19" t="str"/>
      <x:c r="S821" s="19" t="n">
        <x:f>IF(Q821="是",0,MIN(10,2+IF(C821="高",2,1)+IF(K821&gt;=3%,3,IF(K821&gt;=1%,2,1))+IF(L821="新出现",2,IF(M821&gt;=100%,3,IF(M821&gt;0,2,0)))))</x:f>
        <x:v>6</x:v>
      </x:c>
      <x:c r="T821" s="21"/>
      <x:c r="U821" s="20"/>
      <x:c r="V821" s="19" t="str">
        <x:v>http://peerlist.io/</x:v>
      </x:c>
      <x:c r="W821" s="19" t="str">
        <x:v>https://pro.similarweb.com/#/digitalsuite/websiteanalysis/referrals/*/999/1m?webSource=Total&amp;selectedTab=incomingTraffic&amp;key=gumroad.com</x:v>
      </x:c>
      <x:c r="X821" s="20" t="n">
        <x:f>IF(Q821="是",0,IFERROR(P821/SUMIFS($P$2:$P$964,$A$2:$A$964,A821,$Q$2:$Q$964,"否"),0))</x:f>
        <x:v>0.002211707488336762</x:v>
      </x:c>
      <x:c r="Y821" s="22" t="str">
        <x:f>IF(OR(M821="",U821=""),"未交叉",IF(M821*U821&gt;0,"同向",IF(M821*U821&lt;0,"背离","一侧持平")))</x:f>
        <x:v>未交叉</x:v>
      </x:c>
    </x:row>
    <x:row r="822">
      <x:c r="A822" s="18" t="str">
        <x:v>gumroad.com</x:v>
      </x:c>
      <x:c r="B822" s="19" t="str">
        <x:v>支付商主域（混合流量）</x:v>
      </x:c>
      <x:c r="C822" s="19" t="str">
        <x:v>中</x:v>
      </x:c>
      <x:c r="D822" s="19" t="str">
        <x:v>Jul 2026</x:v>
      </x:c>
      <x:c r="E822" s="19" t="n">
        <x:v>97</x:v>
      </x:c>
      <x:c r="F822" s="19" t="str">
        <x:v>note.com</x:v>
      </x:c>
      <x:c r="G822" s="19" t="str">
        <x:v>Computers Electronics and Technology</x:v>
      </x:c>
      <x:c r="H822" s="19" t="str">
        <x:v>通用数字产品与技术服务</x:v>
      </x:c>
      <x:c r="I822" s="19" t="str">
        <x:v>Similarweb 行业映射</x:v>
      </x:c>
      <x:c r="J822" s="19" t="n">
        <x:v>216</x:v>
      </x:c>
      <x:c r="K822" s="20" t="n">
        <x:v>0.0013</x:v>
      </x:c>
      <x:c r="L822" s="19" t="str">
        <x:v>下降</x:v>
      </x:c>
      <x:c r="M822" s="20" t="n">
        <x:v>-0.2804</x:v>
      </x:c>
      <x:c r="N822" s="21" t="n">
        <x:v>2103000</x:v>
      </x:c>
      <x:c r="O822" s="21" t="n">
        <x:v>2734</x:v>
      </x:c>
      <x:c r="P822" s="21" t="n">
        <x:f>ROUND(N822*K822,0)</x:f>
        <x:v>2734</x:v>
      </x:c>
      <x:c r="Q822" s="19" t="str">
        <x:v>否</x:v>
      </x:c>
      <x:c r="R822" s="19" t="str"/>
      <x:c r="S822" s="19" t="n">
        <x:f>IF(Q822="是",0,MIN(10,2+IF(C822="高",2,1)+IF(K822&gt;=3%,3,IF(K822&gt;=1%,2,1))+IF(L822="新出现",2,IF(M822&gt;=100%,3,IF(M822&gt;0,2,0)))))</x:f>
        <x:v>4</x:v>
      </x:c>
      <x:c r="T822" s="21"/>
      <x:c r="U822" s="20"/>
      <x:c r="V822" s="19" t="str">
        <x:v>http://note.com/</x:v>
      </x:c>
      <x:c r="W822" s="19" t="str">
        <x:v>https://pro.similarweb.com/#/digitalsuite/websiteanalysis/referrals/*/999/1m?webSource=Total&amp;selectedTab=incomingTraffic&amp;key=gumroad.com</x:v>
      </x:c>
      <x:c r="X822" s="20" t="n">
        <x:f>IF(Q822="是",0,IFERROR(P822/SUMIFS($P$2:$P$964,$A$2:$A$964,A822,$Q$2:$Q$964,"否"),0))</x:f>
        <x:v>0.002211707488336762</x:v>
      </x:c>
      <x:c r="Y822" s="22" t="str">
        <x:f>IF(OR(M822="",U822=""),"未交叉",IF(M822*U822&gt;0,"同向",IF(M822*U822&lt;0,"背离","一侧持平")))</x:f>
        <x:v>未交叉</x:v>
      </x:c>
    </x:row>
    <x:row r="823">
      <x:c r="A823" s="18" t="str">
        <x:v>gumroad.com</x:v>
      </x:c>
      <x:c r="B823" s="19" t="str">
        <x:v>支付商主域（混合流量）</x:v>
      </x:c>
      <x:c r="C823" s="19" t="str">
        <x:v>中</x:v>
      </x:c>
      <x:c r="D823" s="19" t="str">
        <x:v>Jul 2026</x:v>
      </x:c>
      <x:c r="E823" s="19" t="n">
        <x:v>98</x:v>
      </x:c>
      <x:c r="F823" s="19" t="str">
        <x:v>interfaceingame.com</x:v>
      </x:c>
      <x:c r="G823" s="19" t="str">
        <x:v>Graphics Multimedia and Web Design</x:v>
      </x:c>
      <x:c r="H823" s="19" t="str">
        <x:v>创作、设计与多媒体工具</x:v>
      </x:c>
      <x:c r="I823" s="19" t="str">
        <x:v>Similarweb 行业映射</x:v>
      </x:c>
      <x:c r="J823" s="19" t="n">
        <x:v>161067</x:v>
      </x:c>
      <x:c r="K823" s="20" t="n">
        <x:v>0.0012</x:v>
      </x:c>
      <x:c r="L823" s="19" t="str">
        <x:v>上升</x:v>
      </x:c>
      <x:c r="M823" s="20" t="n">
        <x:v>0.12210000000000001</x:v>
      </x:c>
      <x:c r="N823" s="21" t="n">
        <x:v>2103000</x:v>
      </x:c>
      <x:c r="O823" s="21" t="n">
        <x:v>2524</x:v>
      </x:c>
      <x:c r="P823" s="21" t="n">
        <x:f>ROUND(N823*K823,0)</x:f>
        <x:v>2524</x:v>
      </x:c>
      <x:c r="Q823" s="19" t="str">
        <x:v>否</x:v>
      </x:c>
      <x:c r="R823" s="19" t="str"/>
      <x:c r="S823" s="19" t="n">
        <x:f>IF(Q823="是",0,MIN(10,2+IF(C823="高",2,1)+IF(K823&gt;=3%,3,IF(K823&gt;=1%,2,1))+IF(L823="新出现",2,IF(M823&gt;=100%,3,IF(M823&gt;0,2,0)))))</x:f>
        <x:v>6</x:v>
      </x:c>
      <x:c r="T823" s="21"/>
      <x:c r="U823" s="20"/>
      <x:c r="V823" s="19" t="str">
        <x:v>http://interfaceingame.com/</x:v>
      </x:c>
      <x:c r="W823" s="19" t="str">
        <x:v>https://pro.similarweb.com/#/digitalsuite/websiteanalysis/referrals/*/999/1m?webSource=Total&amp;selectedTab=incomingTraffic&amp;key=gumroad.com</x:v>
      </x:c>
      <x:c r="X823" s="20" t="n">
        <x:f>IF(Q823="是",0,IFERROR(P823/SUMIFS($P$2:$P$964,$A$2:$A$964,A823,$Q$2:$Q$964,"否"),0))</x:f>
        <x:v>0.002041825055070222</x:v>
      </x:c>
      <x:c r="Y823" s="22" t="str">
        <x:f>IF(OR(M823="",U823=""),"未交叉",IF(M823*U823&gt;0,"同向",IF(M823*U823&lt;0,"背离","一侧持平")))</x:f>
        <x:v>未交叉</x:v>
      </x:c>
    </x:row>
    <x:row r="824">
      <x:c r="A824" s="18" t="str">
        <x:v>gumroad.com</x:v>
      </x:c>
      <x:c r="B824" s="19" t="str">
        <x:v>支付商主域（混合流量）</x:v>
      </x:c>
      <x:c r="C824" s="19" t="str">
        <x:v>中</x:v>
      </x:c>
      <x:c r="D824" s="19" t="str">
        <x:v>Jul 2026</x:v>
      </x:c>
      <x:c r="E824" s="19" t="n">
        <x:v>99</x:v>
      </x:c>
      <x:c r="F824" s="19" t="str">
        <x:v>tinyurl.com</x:v>
      </x:c>
      <x:c r="G824" s="19" t="str">
        <x:v>Computers Electronics and Technology</x:v>
      </x:c>
      <x:c r="H824" s="19" t="str">
        <x:v>通用数字产品与技术服务</x:v>
      </x:c>
      <x:c r="I824" s="19" t="str">
        <x:v>Similarweb 行业映射</x:v>
      </x:c>
      <x:c r="J824" s="19" t="n">
        <x:v>1592</x:v>
      </x:c>
      <x:c r="K824" s="20" t="n">
        <x:v>0.0012</x:v>
      </x:c>
      <x:c r="L824" s="19" t="str">
        <x:v>上升</x:v>
      </x:c>
      <x:c r="M824" s="20" t="n">
        <x:v>5.2028</x:v>
      </x:c>
      <x:c r="N824" s="21" t="n">
        <x:v>2103000</x:v>
      </x:c>
      <x:c r="O824" s="21" t="n">
        <x:v>2524</x:v>
      </x:c>
      <x:c r="P824" s="21" t="n">
        <x:f>ROUND(N824*K824,0)</x:f>
        <x:v>2524</x:v>
      </x:c>
      <x:c r="Q824" s="19" t="str">
        <x:v>否</x:v>
      </x:c>
      <x:c r="R824" s="19" t="str"/>
      <x:c r="S824" s="19" t="n">
        <x:f>IF(Q824="是",0,MIN(10,2+IF(C824="高",2,1)+IF(K824&gt;=3%,3,IF(K824&gt;=1%,2,1))+IF(L824="新出现",2,IF(M824&gt;=100%,3,IF(M824&gt;0,2,0)))))</x:f>
        <x:v>7</x:v>
      </x:c>
      <x:c r="T824" s="21"/>
      <x:c r="U824" s="20"/>
      <x:c r="V824" s="19" t="str">
        <x:v>http://tinyurl.com/</x:v>
      </x:c>
      <x:c r="W824" s="19" t="str">
        <x:v>https://pro.similarweb.com/#/digitalsuite/websiteanalysis/referrals/*/999/1m?webSource=Total&amp;selectedTab=incomingTraffic&amp;key=gumroad.com</x:v>
      </x:c>
      <x:c r="X824" s="20" t="n">
        <x:f>IF(Q824="是",0,IFERROR(P824/SUMIFS($P$2:$P$964,$A$2:$A$964,A824,$Q$2:$Q$964,"否"),0))</x:f>
        <x:v>0.002041825055070222</x:v>
      </x:c>
      <x:c r="Y824" s="22" t="str">
        <x:f>IF(OR(M824="",U824=""),"未交叉",IF(M824*U824&gt;0,"同向",IF(M824*U824&lt;0,"背离","一侧持平")))</x:f>
        <x:v>未交叉</x:v>
      </x:c>
    </x:row>
    <x:row r="825">
      <x:c r="A825" s="18" t="str">
        <x:v>gumroad.com</x:v>
      </x:c>
      <x:c r="B825" s="19" t="str">
        <x:v>支付商主域（混合流量）</x:v>
      </x:c>
      <x:c r="C825" s="19" t="str">
        <x:v>中</x:v>
      </x:c>
      <x:c r="D825" s="19" t="str">
        <x:v>Jul 2026</x:v>
      </x:c>
      <x:c r="E825" s="19" t="n">
        <x:v>100</x:v>
      </x:c>
      <x:c r="F825" s="19" t="str">
        <x:v>macwhisper.com</x:v>
      </x:c>
      <x:c r="G825" s="19" t="str">
        <x:v>Unknown</x:v>
      </x:c>
      <x:c r="H825" s="19" t="str">
        <x:v>其他/待核查</x:v>
      </x:c>
      <x:c r="I825" s="19" t="str">
        <x:v>Similarweb 未分类</x:v>
      </x:c>
      <x:c r="J825" s="19" t="n">
        <x:v>481580</x:v>
      </x:c>
      <x:c r="K825" s="20" t="n">
        <x:v>0.0012</x:v>
      </x:c>
      <x:c r="L825" s="19" t="str">
        <x:v>新出现</x:v>
      </x:c>
      <x:c r="M825" s="20"/>
      <x:c r="N825" s="21" t="n">
        <x:v>2103000</x:v>
      </x:c>
      <x:c r="O825" s="21" t="n">
        <x:v>2524</x:v>
      </x:c>
      <x:c r="P825" s="21" t="n">
        <x:f>ROUND(N825*K825,0)</x:f>
        <x:v>2524</x:v>
      </x:c>
      <x:c r="Q825" s="19" t="str">
        <x:v>否</x:v>
      </x:c>
      <x:c r="R825" s="19" t="str"/>
      <x:c r="S825" s="19" t="n">
        <x:f>IF(Q825="是",0,MIN(10,2+IF(C825="高",2,1)+IF(K825&gt;=3%,3,IF(K825&gt;=1%,2,1))+IF(L825="新出现",2,IF(M825&gt;=100%,3,IF(M825&gt;0,2,0)))))</x:f>
        <x:v>6</x:v>
      </x:c>
      <x:c r="T825" s="21"/>
      <x:c r="U825" s="20"/>
      <x:c r="V825" s="19" t="str">
        <x:v>http://macwhisper.com/</x:v>
      </x:c>
      <x:c r="W825" s="19" t="str">
        <x:v>https://pro.similarweb.com/#/digitalsuite/websiteanalysis/referrals/*/999/1m?webSource=Total&amp;selectedTab=incomingTraffic&amp;key=gumroad.com</x:v>
      </x:c>
      <x:c r="X825" s="20" t="n">
        <x:f>IF(Q825="是",0,IFERROR(P825/SUMIFS($P$2:$P$964,$A$2:$A$964,A825,$Q$2:$Q$964,"否"),0))</x:f>
        <x:v>0.002041825055070222</x:v>
      </x:c>
      <x:c r="Y825" s="22" t="str">
        <x:f>IF(OR(M825="",U825=""),"未交叉",IF(M825*U825&gt;0,"同向",IF(M825*U825&lt;0,"背离","一侧持平")))</x:f>
        <x:v>未交叉</x:v>
      </x:c>
    </x:row>
    <x:row r="826">
      <x:c r="A826" s="18" t="str">
        <x:v>yookassa.ru</x:v>
      </x:c>
      <x:c r="B826" s="19" t="str">
        <x:v>支付商主域（混合流量）</x:v>
      </x:c>
      <x:c r="C826" s="19" t="str">
        <x:v>中</x:v>
      </x:c>
      <x:c r="D826" s="19" t="str">
        <x:v>Jul 2026</x:v>
      </x:c>
      <x:c r="E826" s="19" t="n">
        <x:v>1</x:v>
      </x:c>
      <x:c r="F826" s="19" t="str">
        <x:v>vk.ru</x:v>
      </x:c>
      <x:c r="G826" s="19" t="str">
        <x:v>Search Engines</x:v>
      </x:c>
      <x:c r="H826" s="19" t="str">
        <x:v>营销、生产力与商业服务</x:v>
      </x:c>
      <x:c r="I826" s="19" t="str">
        <x:v>Similarweb 行业映射</x:v>
      </x:c>
      <x:c r="J826" s="19" t="n">
        <x:v>54</x:v>
      </x:c>
      <x:c r="K826" s="20" t="n">
        <x:v>0.30269999999999997</x:v>
      </x:c>
      <x:c r="L826" s="19" t="str">
        <x:v>上升</x:v>
      </x:c>
      <x:c r="M826" s="20" t="n">
        <x:v>33.1338</x:v>
      </x:c>
      <x:c r="N826" s="21" t="n">
        <x:v>111963</x:v>
      </x:c>
      <x:c r="O826" s="21" t="n">
        <x:v>33891</x:v>
      </x:c>
      <x:c r="P826" s="21" t="n">
        <x:f>ROUND(N826*K826,0)</x:f>
        <x:v>33891</x:v>
      </x:c>
      <x:c r="Q826" s="19" t="str">
        <x:v>是</x:v>
      </x:c>
      <x:c r="R826" s="19" t="str">
        <x:v>支付平台、自引荐或流量中介</x:v>
      </x:c>
      <x:c r="S826" s="19" t="n">
        <x:f>IF(Q826="是",0,MIN(10,2+IF(C826="高",2,1)+IF(K826&gt;=3%,3,IF(K826&gt;=1%,2,1))+IF(L826="新出现",2,IF(M826&gt;=100%,3,IF(M826&gt;0,2,0)))))</x:f>
        <x:v>0</x:v>
      </x:c>
      <x:c r="T826" s="21"/>
      <x:c r="U826" s="20"/>
      <x:c r="V826" s="19" t="str">
        <x:v>http://vk.ru/</x:v>
      </x:c>
      <x:c r="W826" s="19" t="str">
        <x:v>https://pro.similarweb.com/#/digitalsuite/websiteanalysis/referrals/*/999/1m?webSource=Total&amp;selectedTab=incomingTraffic&amp;key=yookassa.ru</x:v>
      </x:c>
      <x:c r="X826" s="20" t="n">
        <x:f>IF(Q826="是",0,IFERROR(P826/SUMIFS($P$2:$P$964,$A$2:$A$964,A826,$Q$2:$Q$964,"否"),0))</x:f>
        <x:v>0</x:v>
      </x:c>
      <x:c r="Y826" s="22" t="str">
        <x:f>IF(OR(M826="",U826=""),"未交叉",IF(M826*U826&gt;0,"同向",IF(M826*U826&lt;0,"背离","一侧持平")))</x:f>
        <x:v>未交叉</x:v>
      </x:c>
    </x:row>
    <x:row r="827">
      <x:c r="A827" s="18" t="str">
        <x:v>yookassa.ru</x:v>
      </x:c>
      <x:c r="B827" s="19" t="str">
        <x:v>支付商主域（混合流量）</x:v>
      </x:c>
      <x:c r="C827" s="19" t="str">
        <x:v>中</x:v>
      </x:c>
      <x:c r="D827" s="19" t="str">
        <x:v>Jul 2026</x:v>
      </x:c>
      <x:c r="E827" s="19" t="n">
        <x:v>2</x:v>
      </x:c>
      <x:c r="F827" s="19" t="str">
        <x:v>yoomoney.ru</x:v>
      </x:c>
      <x:c r="G827" s="19" t="str">
        <x:v>Computers Electronics and Technology</x:v>
      </x:c>
      <x:c r="H827" s="19" t="str">
        <x:v>通用数字产品与技术服务</x:v>
      </x:c>
      <x:c r="I827" s="19" t="str">
        <x:v>Similarweb 行业映射</x:v>
      </x:c>
      <x:c r="J827" s="19" t="n">
        <x:v>1441</x:v>
      </x:c>
      <x:c r="K827" s="20" t="n">
        <x:v>0.1274</x:v>
      </x:c>
      <x:c r="L827" s="19" t="str">
        <x:v>上升</x:v>
      </x:c>
      <x:c r="M827" s="20" t="n">
        <x:v>0.1325</x:v>
      </x:c>
      <x:c r="N827" s="21" t="n">
        <x:v>111963</x:v>
      </x:c>
      <x:c r="O827" s="21" t="n">
        <x:v>14264</x:v>
      </x:c>
      <x:c r="P827" s="21" t="n">
        <x:f>ROUND(N827*K827,0)</x:f>
        <x:v>14264</x:v>
      </x:c>
      <x:c r="Q827" s="19" t="str">
        <x:v>是</x:v>
      </x:c>
      <x:c r="R827" s="19" t="str">
        <x:v>支付平台、自引荐或流量中介</x:v>
      </x:c>
      <x:c r="S827" s="19" t="n">
        <x:f>IF(Q827="是",0,MIN(10,2+IF(C827="高",2,1)+IF(K827&gt;=3%,3,IF(K827&gt;=1%,2,1))+IF(L827="新出现",2,IF(M827&gt;=100%,3,IF(M827&gt;0,2,0)))))</x:f>
        <x:v>0</x:v>
      </x:c>
      <x:c r="T827" s="21"/>
      <x:c r="U827" s="20"/>
      <x:c r="V827" s="19" t="str">
        <x:v>http://yoomoney.ru/</x:v>
      </x:c>
      <x:c r="W827" s="19" t="str">
        <x:v>https://pro.similarweb.com/#/digitalsuite/websiteanalysis/referrals/*/999/1m?webSource=Total&amp;selectedTab=incomingTraffic&amp;key=yookassa.ru</x:v>
      </x:c>
      <x:c r="X827" s="20" t="n">
        <x:f>IF(Q827="是",0,IFERROR(P827/SUMIFS($P$2:$P$964,$A$2:$A$964,A827,$Q$2:$Q$964,"否"),0))</x:f>
        <x:v>0</x:v>
      </x:c>
      <x:c r="Y827" s="22" t="str">
        <x:f>IF(OR(M827="",U827=""),"未交叉",IF(M827*U827&gt;0,"同向",IF(M827*U827&lt;0,"背离","一侧持平")))</x:f>
        <x:v>未交叉</x:v>
      </x:c>
    </x:row>
    <x:row r="828">
      <x:c r="A828" s="18" t="str">
        <x:v>yookassa.ru</x:v>
      </x:c>
      <x:c r="B828" s="19" t="str">
        <x:v>支付商主域（混合流量）</x:v>
      </x:c>
      <x:c r="C828" s="19" t="str">
        <x:v>中</x:v>
      </x:c>
      <x:c r="D828" s="19" t="str">
        <x:v>Jul 2026</x:v>
      </x:c>
      <x:c r="E828" s="19" t="n">
        <x:v>3</x:v>
      </x:c>
      <x:c r="F828" s="19" t="str">
        <x:v>bitrix24.ru</x:v>
      </x:c>
      <x:c r="G828" s="19" t="str">
        <x:v>Computers Electronics and Technology</x:v>
      </x:c>
      <x:c r="H828" s="19" t="str">
        <x:v>通用数字产品与技术服务</x:v>
      </x:c>
      <x:c r="I828" s="19" t="str">
        <x:v>Similarweb 行业映射</x:v>
      </x:c>
      <x:c r="J828" s="19" t="n">
        <x:v>1302</x:v>
      </x:c>
      <x:c r="K828" s="20" t="n">
        <x:v>0.0993</x:v>
      </x:c>
      <x:c r="L828" s="19" t="str">
        <x:v>上升</x:v>
      </x:c>
      <x:c r="M828" s="20" t="n">
        <x:v>40.3492</x:v>
      </x:c>
      <x:c r="N828" s="21" t="n">
        <x:v>111963</x:v>
      </x:c>
      <x:c r="O828" s="21" t="n">
        <x:v>11118</x:v>
      </x:c>
      <x:c r="P828" s="21" t="n">
        <x:f>ROUND(N828*K828,0)</x:f>
        <x:v>11118</x:v>
      </x:c>
      <x:c r="Q828" s="19" t="str">
        <x:v>否</x:v>
      </x:c>
      <x:c r="R828" s="19" t="str"/>
      <x:c r="S828" s="19" t="n">
        <x:f>IF(Q828="是",0,MIN(10,2+IF(C828="高",2,1)+IF(K828&gt;=3%,3,IF(K828&gt;=1%,2,1))+IF(L828="新出现",2,IF(M828&gt;=100%,3,IF(M828&gt;0,2,0)))))</x:f>
        <x:v>9</x:v>
      </x:c>
      <x:c r="T828" s="21"/>
      <x:c r="U828" s="20"/>
      <x:c r="V828" s="19" t="str">
        <x:v>http://bitrix24.ru/</x:v>
      </x:c>
      <x:c r="W828" s="19" t="str">
        <x:v>https://pro.similarweb.com/#/digitalsuite/websiteanalysis/referrals/*/999/1m?webSource=Total&amp;selectedTab=incomingTraffic&amp;key=yookassa.ru</x:v>
      </x:c>
      <x:c r="X828" s="20" t="n">
        <x:f>IF(Q828="是",0,IFERROR(P828/SUMIFS($P$2:$P$964,$A$2:$A$964,A828,$Q$2:$Q$964,"否"),0))</x:f>
        <x:v>0.23760471875534278</x:v>
      </x:c>
      <x:c r="Y828" s="22" t="str">
        <x:f>IF(OR(M828="",U828=""),"未交叉",IF(M828*U828&gt;0,"同向",IF(M828*U828&lt;0,"背离","一侧持平")))</x:f>
        <x:v>未交叉</x:v>
      </x:c>
    </x:row>
    <x:row r="829">
      <x:c r="A829" s="18" t="str">
        <x:v>yookassa.ru</x:v>
      </x:c>
      <x:c r="B829" s="19" t="str">
        <x:v>支付商主域（混合流量）</x:v>
      </x:c>
      <x:c r="C829" s="19" t="str">
        <x:v>中</x:v>
      </x:c>
      <x:c r="D829" s="19" t="str">
        <x:v>Jul 2026</x:v>
      </x:c>
      <x:c r="E829" s="19" t="n">
        <x:v>4</x:v>
      </x:c>
      <x:c r="F829" s="19" t="str">
        <x:v>cdu-invest.ru</x:v>
      </x:c>
      <x:c r="G829" s="19" t="str">
        <x:v>Unknown</x:v>
      </x:c>
      <x:c r="H829" s="19" t="str">
        <x:v>其他/待核查</x:v>
      </x:c>
      <x:c r="I829" s="19" t="str">
        <x:v>Similarweb 未分类</x:v>
      </x:c>
      <x:c r="J829" s="19" t="n">
        <x:v>462569</x:v>
      </x:c>
      <x:c r="K829" s="20" t="n">
        <x:v>0.0908</x:v>
      </x:c>
      <x:c r="L829" s="19" t="str">
        <x:v>上升</x:v>
      </x:c>
      <x:c r="M829" s="20" t="n">
        <x:v>5.3034</x:v>
      </x:c>
      <x:c r="N829" s="21" t="n">
        <x:v>111963</x:v>
      </x:c>
      <x:c r="O829" s="21" t="n">
        <x:v>10166</x:v>
      </x:c>
      <x:c r="P829" s="21" t="n">
        <x:f>ROUND(N829*K829,0)</x:f>
        <x:v>10166</x:v>
      </x:c>
      <x:c r="Q829" s="19" t="str">
        <x:v>否</x:v>
      </x:c>
      <x:c r="R829" s="19" t="str"/>
      <x:c r="S829" s="19" t="n">
        <x:f>IF(Q829="是",0,MIN(10,2+IF(C829="高",2,1)+IF(K829&gt;=3%,3,IF(K829&gt;=1%,2,1))+IF(L829="新出现",2,IF(M829&gt;=100%,3,IF(M829&gt;0,2,0)))))</x:f>
        <x:v>9</x:v>
      </x:c>
      <x:c r="T829" s="21"/>
      <x:c r="U829" s="20"/>
      <x:c r="V829" s="19" t="str">
        <x:v>http://cdu-invest.ru/</x:v>
      </x:c>
      <x:c r="W829" s="19" t="str">
        <x:v>https://pro.similarweb.com/#/digitalsuite/websiteanalysis/referrals/*/999/1m?webSource=Total&amp;selectedTab=incomingTraffic&amp;key=yookassa.ru</x:v>
      </x:c>
      <x:c r="X829" s="20" t="n">
        <x:f>IF(Q829="是",0,IFERROR(P829/SUMIFS($P$2:$P$964,$A$2:$A$964,A829,$Q$2:$Q$964,"否"),0))</x:f>
        <x:v>0.21725936057445716</x:v>
      </x:c>
      <x:c r="Y829" s="22" t="str">
        <x:f>IF(OR(M829="",U829=""),"未交叉",IF(M829*U829&gt;0,"同向",IF(M829*U829&lt;0,"背离","一侧持平")))</x:f>
        <x:v>未交叉</x:v>
      </x:c>
    </x:row>
    <x:row r="830">
      <x:c r="A830" s="18" t="str">
        <x:v>yookassa.ru</x:v>
      </x:c>
      <x:c r="B830" s="19" t="str">
        <x:v>支付商主域（混合流量）</x:v>
      </x:c>
      <x:c r="C830" s="19" t="str">
        <x:v>中</x:v>
      </x:c>
      <x:c r="D830" s="19" t="str">
        <x:v>Jul 2026</x:v>
      </x:c>
      <x:c r="E830" s="19" t="n">
        <x:v>5</x:v>
      </x:c>
      <x:c r="F830" s="19" t="str">
        <x:v>Referral</x:v>
      </x:c>
      <x:c r="G830" s="19" t="str">
        <x:v>Unknown</x:v>
      </x:c>
      <x:c r="H830" s="19" t="str">
        <x:v>其他/待核查</x:v>
      </x:c>
      <x:c r="I830" s="19" t="str">
        <x:v>Similarweb 未分类</x:v>
      </x:c>
      <x:c r="J830" s="19"/>
      <x:c r="K830" s="20" t="n">
        <x:v>0.0679</x:v>
      </x:c>
      <x:c r="L830" s="19" t="str">
        <x:v>下降</x:v>
      </x:c>
      <x:c r="M830" s="20" t="n">
        <x:v>-0.2446</x:v>
      </x:c>
      <x:c r="N830" s="21" t="n">
        <x:v>111963</x:v>
      </x:c>
      <x:c r="O830" s="21" t="n">
        <x:v>7602</x:v>
      </x:c>
      <x:c r="P830" s="21" t="n">
        <x:f>ROUND(N830*K830,0)</x:f>
        <x:v>7602</x:v>
      </x:c>
      <x:c r="Q830" s="19" t="str">
        <x:v>是</x:v>
      </x:c>
      <x:c r="R830" s="19" t="str">
        <x:v>无效/聚合标签</x:v>
      </x:c>
      <x:c r="S830" s="19" t="n">
        <x:f>IF(Q830="是",0,MIN(10,2+IF(C830="高",2,1)+IF(K830&gt;=3%,3,IF(K830&gt;=1%,2,1))+IF(L830="新出现",2,IF(M830&gt;=100%,3,IF(M830&gt;0,2,0)))))</x:f>
        <x:v>0</x:v>
      </x:c>
      <x:c r="T830" s="21"/>
      <x:c r="U830" s="20"/>
      <x:c r="V830" s="19" t="str">
        <x:v>http://referral/</x:v>
      </x:c>
      <x:c r="W830" s="19" t="str">
        <x:v>https://pro.similarweb.com/#/digitalsuite/websiteanalysis/referrals/*/999/1m?webSource=Total&amp;selectedTab=incomingTraffic&amp;key=yookassa.ru</x:v>
      </x:c>
      <x:c r="X830" s="20" t="n">
        <x:f>IF(Q830="是",0,IFERROR(P830/SUMIFS($P$2:$P$964,$A$2:$A$964,A830,$Q$2:$Q$964,"否"),0))</x:f>
        <x:v>0</x:v>
      </x:c>
      <x:c r="Y830" s="22" t="str">
        <x:f>IF(OR(M830="",U830=""),"未交叉",IF(M830*U830&gt;0,"同向",IF(M830*U830&lt;0,"背离","一侧持平")))</x:f>
        <x:v>未交叉</x:v>
      </x:c>
    </x:row>
    <x:row r="831">
      <x:c r="A831" s="18" t="str">
        <x:v>yookassa.ru</x:v>
      </x:c>
      <x:c r="B831" s="19" t="str">
        <x:v>支付商主域（混合流量）</x:v>
      </x:c>
      <x:c r="C831" s="19" t="str">
        <x:v>中</x:v>
      </x:c>
      <x:c r="D831" s="19" t="str">
        <x:v>Jul 2026</x:v>
      </x:c>
      <x:c r="E831" s="19" t="n">
        <x:v>6</x:v>
      </x:c>
      <x:c r="F831" s="19" t="str">
        <x:v>dzen.ru</x:v>
      </x:c>
      <x:c r="G831" s="19" t="str">
        <x:v>Community and Society</x:v>
      </x:c>
      <x:c r="H831" s="19" t="str">
        <x:v>其他/待核查</x:v>
      </x:c>
      <x:c r="I831" s="19" t="str">
        <x:v>保守归类</x:v>
      </x:c>
      <x:c r="J831" s="19" t="n">
        <x:v>30</x:v>
      </x:c>
      <x:c r="K831" s="20" t="n">
        <x:v>0.04769999999999999</x:v>
      </x:c>
      <x:c r="L831" s="19" t="str">
        <x:v>下降</x:v>
      </x:c>
      <x:c r="M831" s="20" t="n">
        <x:v>-0.6344</x:v>
      </x:c>
      <x:c r="N831" s="21" t="n">
        <x:v>111963</x:v>
      </x:c>
      <x:c r="O831" s="21" t="n">
        <x:v>5341</x:v>
      </x:c>
      <x:c r="P831" s="21" t="n">
        <x:f>ROUND(N831*K831,0)</x:f>
        <x:v>5341</x:v>
      </x:c>
      <x:c r="Q831" s="19" t="str">
        <x:v>是</x:v>
      </x:c>
      <x:c r="R831" s="19" t="str">
        <x:v>支付平台、自引荐或流量中介</x:v>
      </x:c>
      <x:c r="S831" s="19" t="n">
        <x:f>IF(Q831="是",0,MIN(10,2+IF(C831="高",2,1)+IF(K831&gt;=3%,3,IF(K831&gt;=1%,2,1))+IF(L831="新出现",2,IF(M831&gt;=100%,3,IF(M831&gt;0,2,0)))))</x:f>
        <x:v>0</x:v>
      </x:c>
      <x:c r="T831" s="21"/>
      <x:c r="U831" s="20"/>
      <x:c r="V831" s="19" t="str">
        <x:v>http://dzen.ru/</x:v>
      </x:c>
      <x:c r="W831" s="19" t="str">
        <x:v>https://pro.similarweb.com/#/digitalsuite/websiteanalysis/referrals/*/999/1m?webSource=Total&amp;selectedTab=incomingTraffic&amp;key=yookassa.ru</x:v>
      </x:c>
      <x:c r="X831" s="20" t="n">
        <x:f>IF(Q831="是",0,IFERROR(P831/SUMIFS($P$2:$P$964,$A$2:$A$964,A831,$Q$2:$Q$964,"否"),0))</x:f>
        <x:v>0</x:v>
      </x:c>
      <x:c r="Y831" s="22" t="str">
        <x:f>IF(OR(M831="",U831=""),"未交叉",IF(M831*U831&gt;0,"同向",IF(M831*U831&lt;0,"背离","一侧持平")))</x:f>
        <x:v>未交叉</x:v>
      </x:c>
    </x:row>
    <x:row r="832">
      <x:c r="A832" s="18" t="str">
        <x:v>yookassa.ru</x:v>
      </x:c>
      <x:c r="B832" s="19" t="str">
        <x:v>支付商主域（混合流量）</x:v>
      </x:c>
      <x:c r="C832" s="19" t="str">
        <x:v>中</x:v>
      </x:c>
      <x:c r="D832" s="19" t="str">
        <x:v>Jul 2026</x:v>
      </x:c>
      <x:c r="E832" s="19" t="n">
        <x:v>7</x:v>
      </x:c>
      <x:c r="F832" s="19" t="str">
        <x:v>yandex.ru</x:v>
      </x:c>
      <x:c r="G832" s="19" t="str">
        <x:v>Search Engines</x:v>
      </x:c>
      <x:c r="H832" s="19" t="str">
        <x:v>营销、生产力与商业服务</x:v>
      </x:c>
      <x:c r="I832" s="19" t="str">
        <x:v>Similarweb 行业映射</x:v>
      </x:c>
      <x:c r="J832" s="19" t="n">
        <x:v>11</x:v>
      </x:c>
      <x:c r="K832" s="20" t="n">
        <x:v>0.0363</x:v>
      </x:c>
      <x:c r="L832" s="19" t="str">
        <x:v>下降</x:v>
      </x:c>
      <x:c r="M832" s="20" t="n">
        <x:v>-0.5341</x:v>
      </x:c>
      <x:c r="N832" s="21" t="n">
        <x:v>111963</x:v>
      </x:c>
      <x:c r="O832" s="21" t="n">
        <x:v>4064</x:v>
      </x:c>
      <x:c r="P832" s="21" t="n">
        <x:f>ROUND(N832*K832,0)</x:f>
        <x:v>4064</x:v>
      </x:c>
      <x:c r="Q832" s="19" t="str">
        <x:v>是</x:v>
      </x:c>
      <x:c r="R832" s="19" t="str">
        <x:v>支付平台、自引荐或流量中介</x:v>
      </x:c>
      <x:c r="S832" s="19" t="n">
        <x:f>IF(Q832="是",0,MIN(10,2+IF(C832="高",2,1)+IF(K832&gt;=3%,3,IF(K832&gt;=1%,2,1))+IF(L832="新出现",2,IF(M832&gt;=100%,3,IF(M832&gt;0,2,0)))))</x:f>
        <x:v>0</x:v>
      </x:c>
      <x:c r="T832" s="21"/>
      <x:c r="U832" s="20"/>
      <x:c r="V832" s="19" t="str">
        <x:v>http://yandex.ru/</x:v>
      </x:c>
      <x:c r="W832" s="19" t="str">
        <x:v>https://pro.similarweb.com/#/digitalsuite/websiteanalysis/referrals/*/999/1m?webSource=Total&amp;selectedTab=incomingTraffic&amp;key=yookassa.ru</x:v>
      </x:c>
      <x:c r="X832" s="20" t="n">
        <x:f>IF(Q832="是",0,IFERROR(P832/SUMIFS($P$2:$P$964,$A$2:$A$964,A832,$Q$2:$Q$964,"否"),0))</x:f>
        <x:v>0</x:v>
      </x:c>
      <x:c r="Y832" s="22" t="str">
        <x:f>IF(OR(M832="",U832=""),"未交叉",IF(M832*U832&gt;0,"同向",IF(M832*U832&lt;0,"背离","一侧持平")))</x:f>
        <x:v>未交叉</x:v>
      </x:c>
    </x:row>
    <x:row r="833">
      <x:c r="A833" s="18" t="str">
        <x:v>yookassa.ru</x:v>
      </x:c>
      <x:c r="B833" s="19" t="str">
        <x:v>支付商主域（混合流量）</x:v>
      </x:c>
      <x:c r="C833" s="19" t="str">
        <x:v>中</x:v>
      </x:c>
      <x:c r="D833" s="19" t="str">
        <x:v>Jul 2026</x:v>
      </x:c>
      <x:c r="E833" s="19" t="n">
        <x:v>8</x:v>
      </x:c>
      <x:c r="F833" s="19" t="str">
        <x:v>dombatareek.ru</x:v>
      </x:c>
      <x:c r="G833" s="19" t="str">
        <x:v>Consumer Electronics</x:v>
      </x:c>
      <x:c r="H833" s="19" t="str">
        <x:v>其他/待核查</x:v>
      </x:c>
      <x:c r="I833" s="19" t="str">
        <x:v>保守归类</x:v>
      </x:c>
      <x:c r="J833" s="19" t="n">
        <x:v>257907</x:v>
      </x:c>
      <x:c r="K833" s="20" t="n">
        <x:v>0.032</x:v>
      </x:c>
      <x:c r="L833" s="19" t="str">
        <x:v>新出现</x:v>
      </x:c>
      <x:c r="M833" s="20"/>
      <x:c r="N833" s="21" t="n">
        <x:v>111963</x:v>
      </x:c>
      <x:c r="O833" s="21" t="n">
        <x:v>3583</x:v>
      </x:c>
      <x:c r="P833" s="21" t="n">
        <x:f>ROUND(N833*K833,0)</x:f>
        <x:v>3583</x:v>
      </x:c>
      <x:c r="Q833" s="19" t="str">
        <x:v>否</x:v>
      </x:c>
      <x:c r="R833" s="19" t="str"/>
      <x:c r="S833" s="19" t="n">
        <x:f>IF(Q833="是",0,MIN(10,2+IF(C833="高",2,1)+IF(K833&gt;=3%,3,IF(K833&gt;=1%,2,1))+IF(L833="新出现",2,IF(M833&gt;=100%,3,IF(M833&gt;0,2,0)))))</x:f>
        <x:v>8</x:v>
      </x:c>
      <x:c r="T833" s="21"/>
      <x:c r="U833" s="20"/>
      <x:c r="V833" s="19" t="str">
        <x:v>http://dombatareek.ru/</x:v>
      </x:c>
      <x:c r="W833" s="19" t="str">
        <x:v>https://pro.similarweb.com/#/digitalsuite/websiteanalysis/referrals/*/999/1m?webSource=Total&amp;selectedTab=incomingTraffic&amp;key=yookassa.ru</x:v>
      </x:c>
      <x:c r="X833" s="20" t="n">
        <x:f>IF(Q833="是",0,IFERROR(P833/SUMIFS($P$2:$P$964,$A$2:$A$964,A833,$Q$2:$Q$964,"否"),0))</x:f>
        <x:v>0.07657291844759788</x:v>
      </x:c>
      <x:c r="Y833" s="22" t="str">
        <x:f>IF(OR(M833="",U833=""),"未交叉",IF(M833*U833&gt;0,"同向",IF(M833*U833&lt;0,"背离","一侧持平")))</x:f>
        <x:v>未交叉</x:v>
      </x:c>
    </x:row>
    <x:row r="834">
      <x:c r="A834" s="18" t="str">
        <x:v>yookassa.ru</x:v>
      </x:c>
      <x:c r="B834" s="19" t="str">
        <x:v>支付商主域（混合流量）</x:v>
      </x:c>
      <x:c r="C834" s="19" t="str">
        <x:v>中</x:v>
      </x:c>
      <x:c r="D834" s="19" t="str">
        <x:v>Jul 2026</x:v>
      </x:c>
      <x:c r="E834" s="19" t="n">
        <x:v>9</x:v>
      </x:c>
      <x:c r="F834" s="19" t="str">
        <x:v>confluence.zxz.su</x:v>
      </x:c>
      <x:c r="G834" s="19" t="str">
        <x:v>Programming and Developer Software</x:v>
      </x:c>
      <x:c r="H834" s="19" t="str">
        <x:v>开发者工具与互联网基础设施</x:v>
      </x:c>
      <x:c r="I834" s="19" t="str">
        <x:v>Similarweb 行业映射</x:v>
      </x:c>
      <x:c r="J834" s="19"/>
      <x:c r="K834" s="20" t="n">
        <x:v>0.029300000000000003</x:v>
      </x:c>
      <x:c r="L834" s="19" t="str">
        <x:v>新出现</x:v>
      </x:c>
      <x:c r="M834" s="20"/>
      <x:c r="N834" s="21" t="n">
        <x:v>111963</x:v>
      </x:c>
      <x:c r="O834" s="21" t="n">
        <x:v>3281</x:v>
      </x:c>
      <x:c r="P834" s="21" t="n">
        <x:f>ROUND(N834*K834,0)</x:f>
        <x:v>3281</x:v>
      </x:c>
      <x:c r="Q834" s="19" t="str">
        <x:v>否</x:v>
      </x:c>
      <x:c r="R834" s="19" t="str"/>
      <x:c r="S834" s="19" t="n">
        <x:f>IF(Q834="是",0,MIN(10,2+IF(C834="高",2,1)+IF(K834&gt;=3%,3,IF(K834&gt;=1%,2,1))+IF(L834="新出现",2,IF(M834&gt;=100%,3,IF(M834&gt;0,2,0)))))</x:f>
        <x:v>7</x:v>
      </x:c>
      <x:c r="T834" s="21"/>
      <x:c r="U834" s="20"/>
      <x:c r="V834" s="19" t="str">
        <x:v>http://confluence.zxz.su/</x:v>
      </x:c>
      <x:c r="W834" s="19" t="str">
        <x:v>https://pro.similarweb.com/#/digitalsuite/websiteanalysis/referrals/*/999/1m?webSource=Total&amp;selectedTab=incomingTraffic&amp;key=yookassa.ru</x:v>
      </x:c>
      <x:c r="X834" s="20" t="n">
        <x:f>IF(Q834="是",0,IFERROR(P834/SUMIFS($P$2:$P$964,$A$2:$A$964,A834,$Q$2:$Q$964,"否"),0))</x:f>
        <x:v>0.07011882373055223</x:v>
      </x:c>
      <x:c r="Y834" s="22" t="str">
        <x:f>IF(OR(M834="",U834=""),"未交叉",IF(M834*U834&gt;0,"同向",IF(M834*U834&lt;0,"背离","一侧持平")))</x:f>
        <x:v>未交叉</x:v>
      </x:c>
    </x:row>
    <x:row r="835">
      <x:c r="A835" s="18" t="str">
        <x:v>yookassa.ru</x:v>
      </x:c>
      <x:c r="B835" s="19" t="str">
        <x:v>支付商主域（混合流量）</x:v>
      </x:c>
      <x:c r="C835" s="19" t="str">
        <x:v>中</x:v>
      </x:c>
      <x:c r="D835" s="19" t="str">
        <x:v>Jul 2026</x:v>
      </x:c>
      <x:c r="E835" s="19" t="n">
        <x:v>10</x:v>
      </x:c>
      <x:c r="F835" s="19" t="str">
        <x:v>avito.ru</x:v>
      </x:c>
      <x:c r="G835" s="19" t="str">
        <x:v>Classifieds</x:v>
      </x:c>
      <x:c r="H835" s="19" t="str">
        <x:v>其他/待核查</x:v>
      </x:c>
      <x:c r="I835" s="19" t="str">
        <x:v>保守归类</x:v>
      </x:c>
      <x:c r="J835" s="19" t="n">
        <x:v>78</x:v>
      </x:c>
      <x:c r="K835" s="20" t="n">
        <x:v>0.0215</x:v>
      </x:c>
      <x:c r="L835" s="19" t="str">
        <x:v>新出现</x:v>
      </x:c>
      <x:c r="M835" s="20"/>
      <x:c r="N835" s="21" t="n">
        <x:v>111963</x:v>
      </x:c>
      <x:c r="O835" s="21" t="n">
        <x:v>2407</x:v>
      </x:c>
      <x:c r="P835" s="21" t="n">
        <x:f>ROUND(N835*K835,0)</x:f>
        <x:v>2407</x:v>
      </x:c>
      <x:c r="Q835" s="19" t="str">
        <x:v>否</x:v>
      </x:c>
      <x:c r="R835" s="19" t="str"/>
      <x:c r="S835" s="19" t="n">
        <x:f>IF(Q835="是",0,MIN(10,2+IF(C835="高",2,1)+IF(K835&gt;=3%,3,IF(K835&gt;=1%,2,1))+IF(L835="新出现",2,IF(M835&gt;=100%,3,IF(M835&gt;0,2,0)))))</x:f>
        <x:v>7</x:v>
      </x:c>
      <x:c r="T835" s="21"/>
      <x:c r="U835" s="20"/>
      <x:c r="V835" s="19" t="str">
        <x:v>http://avito.ru/</x:v>
      </x:c>
      <x:c r="W835" s="19" t="str">
        <x:v>https://pro.similarweb.com/#/digitalsuite/websiteanalysis/referrals/*/999/1m?webSource=Total&amp;selectedTab=incomingTraffic&amp;key=yookassa.ru</x:v>
      </x:c>
      <x:c r="X835" s="20" t="n">
        <x:f>IF(Q835="是",0,IFERROR(P835/SUMIFS($P$2:$P$964,$A$2:$A$964,A835,$Q$2:$Q$964,"否"),0))</x:f>
        <x:v>0.05144041716532741</x:v>
      </x:c>
      <x:c r="Y835" s="22" t="str">
        <x:f>IF(OR(M835="",U835=""),"未交叉",IF(M835*U835&gt;0,"同向",IF(M835*U835&lt;0,"背离","一侧持平")))</x:f>
        <x:v>未交叉</x:v>
      </x:c>
    </x:row>
    <x:row r="836">
      <x:c r="A836" s="18" t="str">
        <x:v>yookassa.ru</x:v>
      </x:c>
      <x:c r="B836" s="19" t="str">
        <x:v>支付商主域（混合流量）</x:v>
      </x:c>
      <x:c r="C836" s="19" t="str">
        <x:v>中</x:v>
      </x:c>
      <x:c r="D836" s="19" t="str">
        <x:v>Jul 2026</x:v>
      </x:c>
      <x:c r="E836" s="19" t="n">
        <x:v>11</x:v>
      </x:c>
      <x:c r="F836" s="19" t="str">
        <x:v>spravportal.ru</x:v>
      </x:c>
      <x:c r="G836" s="19" t="str">
        <x:v>Telecommunications</x:v>
      </x:c>
      <x:c r="H836" s="19" t="str">
        <x:v>其他/待核查</x:v>
      </x:c>
      <x:c r="I836" s="19" t="str">
        <x:v>保守归类</x:v>
      </x:c>
      <x:c r="J836" s="19" t="n">
        <x:v>23014</x:v>
      </x:c>
      <x:c r="K836" s="20" t="n">
        <x:v>0.0141</x:v>
      </x:c>
      <x:c r="L836" s="19" t="str">
        <x:v>新出现</x:v>
      </x:c>
      <x:c r="M836" s="20"/>
      <x:c r="N836" s="21" t="n">
        <x:v>111963</x:v>
      </x:c>
      <x:c r="O836" s="21" t="n">
        <x:v>1579</x:v>
      </x:c>
      <x:c r="P836" s="21" t="n">
        <x:f>ROUND(N836*K836,0)</x:f>
        <x:v>1579</x:v>
      </x:c>
      <x:c r="Q836" s="19" t="str">
        <x:v>否</x:v>
      </x:c>
      <x:c r="R836" s="19" t="str"/>
      <x:c r="S836" s="19" t="n">
        <x:f>IF(Q836="是",0,MIN(10,2+IF(C836="高",2,1)+IF(K836&gt;=3%,3,IF(K836&gt;=1%,2,1))+IF(L836="新出现",2,IF(M836&gt;=100%,3,IF(M836&gt;0,2,0)))))</x:f>
        <x:v>7</x:v>
      </x:c>
      <x:c r="T836" s="21"/>
      <x:c r="U836" s="20"/>
      <x:c r="V836" s="19" t="str">
        <x:v>http://spravportal.ru/</x:v>
      </x:c>
      <x:c r="W836" s="19" t="str">
        <x:v>https://pro.similarweb.com/#/digitalsuite/websiteanalysis/referrals/*/999/1m?webSource=Total&amp;selectedTab=incomingTraffic&amp;key=yookassa.ru</x:v>
      </x:c>
      <x:c r="X836" s="20" t="n">
        <x:f>IF(Q836="是",0,IFERROR(P836/SUMIFS($P$2:$P$964,$A$2:$A$964,A836,$Q$2:$Q$964,"否"),0))</x:f>
        <x:v>0.033745084629851256</x:v>
      </x:c>
      <x:c r="Y836" s="22" t="str">
        <x:f>IF(OR(M836="",U836=""),"未交叉",IF(M836*U836&gt;0,"同向",IF(M836*U836&lt;0,"背离","一侧持平")))</x:f>
        <x:v>未交叉</x:v>
      </x:c>
    </x:row>
    <x:row r="837">
      <x:c r="A837" s="18" t="str">
        <x:v>yookassa.ru</x:v>
      </x:c>
      <x:c r="B837" s="19" t="str">
        <x:v>支付商主域（混合流量）</x:v>
      </x:c>
      <x:c r="C837" s="19" t="str">
        <x:v>中</x:v>
      </x:c>
      <x:c r="D837" s="19" t="str">
        <x:v>Jul 2026</x:v>
      </x:c>
      <x:c r="E837" s="19" t="n">
        <x:v>12</x:v>
      </x:c>
      <x:c r="F837" s="19" t="str">
        <x:v>tetotvet.ru</x:v>
      </x:c>
      <x:c r="G837" s="19" t="str">
        <x:v>Marketing and Advertising</x:v>
      </x:c>
      <x:c r="H837" s="19" t="str">
        <x:v>其他/待核查</x:v>
      </x:c>
      <x:c r="I837" s="19" t="str">
        <x:v>保守归类</x:v>
      </x:c>
      <x:c r="J837" s="19" t="n">
        <x:v>167903</x:v>
      </x:c>
      <x:c r="K837" s="20" t="n">
        <x:v>0.0131</x:v>
      </x:c>
      <x:c r="L837" s="19" t="str">
        <x:v>新出现</x:v>
      </x:c>
      <x:c r="M837" s="20"/>
      <x:c r="N837" s="21" t="n">
        <x:v>111963</x:v>
      </x:c>
      <x:c r="O837" s="21" t="n">
        <x:v>1467</x:v>
      </x:c>
      <x:c r="P837" s="21" t="n">
        <x:f>ROUND(N837*K837,0)</x:f>
        <x:v>1467</x:v>
      </x:c>
      <x:c r="Q837" s="19" t="str">
        <x:v>否</x:v>
      </x:c>
      <x:c r="R837" s="19" t="str"/>
      <x:c r="S837" s="19" t="n">
        <x:f>IF(Q837="是",0,MIN(10,2+IF(C837="高",2,1)+IF(K837&gt;=3%,3,IF(K837&gt;=1%,2,1))+IF(L837="新出现",2,IF(M837&gt;=100%,3,IF(M837&gt;0,2,0)))))</x:f>
        <x:v>7</x:v>
      </x:c>
      <x:c r="T837" s="21"/>
      <x:c r="U837" s="20"/>
      <x:c r="V837" s="19" t="str">
        <x:v>http://tetotvet.ru/</x:v>
      </x:c>
      <x:c r="W837" s="19" t="str">
        <x:v>https://pro.similarweb.com/#/digitalsuite/websiteanalysis/referrals/*/999/1m?webSource=Total&amp;selectedTab=incomingTraffic&amp;key=yookassa.ru</x:v>
      </x:c>
      <x:c r="X837" s="20" t="n">
        <x:f>IF(Q837="是",0,IFERROR(P837/SUMIFS($P$2:$P$964,$A$2:$A$964,A837,$Q$2:$Q$964,"否"),0))</x:f>
        <x:v>0.03135151307915883</x:v>
      </x:c>
      <x:c r="Y837" s="22" t="str">
        <x:f>IF(OR(M837="",U837=""),"未交叉",IF(M837*U837&gt;0,"同向",IF(M837*U837&lt;0,"背离","一侧持平")))</x:f>
        <x:v>未交叉</x:v>
      </x:c>
    </x:row>
    <x:row r="838">
      <x:c r="A838" s="18" t="str">
        <x:v>yookassa.ru</x:v>
      </x:c>
      <x:c r="B838" s="19" t="str">
        <x:v>支付商主域（混合流量）</x:v>
      </x:c>
      <x:c r="C838" s="19" t="str">
        <x:v>中</x:v>
      </x:c>
      <x:c r="D838" s="19" t="str">
        <x:v>Jul 2026</x:v>
      </x:c>
      <x:c r="E838" s="19" t="n">
        <x:v>13</x:v>
      </x:c>
      <x:c r="F838" s="19" t="str">
        <x:v>business.tbank.ru</x:v>
      </x:c>
      <x:c r="G838" s="19" t="str">
        <x:v>Human Resources</x:v>
      </x:c>
      <x:c r="H838" s="19" t="str">
        <x:v>营销、生产力与商业服务</x:v>
      </x:c>
      <x:c r="I838" s="19" t="str">
        <x:v>Similarweb 行业映射</x:v>
      </x:c>
      <x:c r="J838" s="19"/>
      <x:c r="K838" s="20" t="n">
        <x:v>0.0127</x:v>
      </x:c>
      <x:c r="L838" s="19" t="str">
        <x:v>新出现</x:v>
      </x:c>
      <x:c r="M838" s="20"/>
      <x:c r="N838" s="21" t="n">
        <x:v>111963</x:v>
      </x:c>
      <x:c r="O838" s="21" t="n">
        <x:v>1422</x:v>
      </x:c>
      <x:c r="P838" s="21" t="n">
        <x:f>ROUND(N838*K838,0)</x:f>
        <x:v>1422</x:v>
      </x:c>
      <x:c r="Q838" s="19" t="str">
        <x:v>否</x:v>
      </x:c>
      <x:c r="R838" s="19" t="str"/>
      <x:c r="S838" s="19" t="n">
        <x:f>IF(Q838="是",0,MIN(10,2+IF(C838="高",2,1)+IF(K838&gt;=3%,3,IF(K838&gt;=1%,2,1))+IF(L838="新出现",2,IF(M838&gt;=100%,3,IF(M838&gt;0,2,0)))))</x:f>
        <x:v>7</x:v>
      </x:c>
      <x:c r="T838" s="21"/>
      <x:c r="U838" s="20"/>
      <x:c r="V838" s="19" t="str">
        <x:v>http://business.tbank.ru/</x:v>
      </x:c>
      <x:c r="W838" s="19" t="str">
        <x:v>https://pro.similarweb.com/#/digitalsuite/websiteanalysis/referrals/*/999/1m?webSource=Total&amp;selectedTab=incomingTraffic&amp;key=yookassa.ru</x:v>
      </x:c>
      <x:c r="X838" s="20" t="n">
        <x:f>IF(Q838="是",0,IFERROR(P838/SUMIFS($P$2:$P$964,$A$2:$A$964,A838,$Q$2:$Q$964,"否"),0))</x:f>
        <x:v>0.03038981022396991</x:v>
      </x:c>
      <x:c r="Y838" s="22" t="str">
        <x:f>IF(OR(M838="",U838=""),"未交叉",IF(M838*U838&gt;0,"同向",IF(M838*U838&lt;0,"背离","一侧持平")))</x:f>
        <x:v>未交叉</x:v>
      </x:c>
    </x:row>
    <x:row r="839">
      <x:c r="A839" s="18" t="str">
        <x:v>yookassa.ru</x:v>
      </x:c>
      <x:c r="B839" s="19" t="str">
        <x:v>支付商主域（混合流量）</x:v>
      </x:c>
      <x:c r="C839" s="19" t="str">
        <x:v>中</x:v>
      </x:c>
      <x:c r="D839" s="19" t="str">
        <x:v>Jul 2026</x:v>
      </x:c>
      <x:c r="E839" s="19" t="n">
        <x:v>14</x:v>
      </x:c>
      <x:c r="F839" s="19" t="str">
        <x:v>si1456.craftum.io</x:v>
      </x:c>
      <x:c r="G839" s="19" t="str">
        <x:v>Unknown</x:v>
      </x:c>
      <x:c r="H839" s="19" t="str">
        <x:v>其他/待核查</x:v>
      </x:c>
      <x:c r="I839" s="19" t="str">
        <x:v>Similarweb 未分类</x:v>
      </x:c>
      <x:c r="J839" s="19"/>
      <x:c r="K839" s="20" t="n">
        <x:v>0.01</x:v>
      </x:c>
      <x:c r="L839" s="19" t="str">
        <x:v>新出现</x:v>
      </x:c>
      <x:c r="M839" s="20"/>
      <x:c r="N839" s="21" t="n">
        <x:v>111963</x:v>
      </x:c>
      <x:c r="O839" s="21" t="n">
        <x:v>1120</x:v>
      </x:c>
      <x:c r="P839" s="21" t="n">
        <x:f>ROUND(N839*K839,0)</x:f>
        <x:v>1120</x:v>
      </x:c>
      <x:c r="Q839" s="19" t="str">
        <x:v>否</x:v>
      </x:c>
      <x:c r="R839" s="19" t="str"/>
      <x:c r="S839" s="19" t="n">
        <x:f>IF(Q839="是",0,MIN(10,2+IF(C839="高",2,1)+IF(K839&gt;=3%,3,IF(K839&gt;=1%,2,1))+IF(L839="新出现",2,IF(M839&gt;=100%,3,IF(M839&gt;0,2,0)))))</x:f>
        <x:v>7</x:v>
      </x:c>
      <x:c r="T839" s="21"/>
      <x:c r="U839" s="20"/>
      <x:c r="V839" s="19" t="str">
        <x:v>http://si1456.craftum.io/</x:v>
      </x:c>
      <x:c r="W839" s="19" t="str">
        <x:v>https://pro.similarweb.com/#/digitalsuite/websiteanalysis/referrals/*/999/1m?webSource=Total&amp;selectedTab=incomingTraffic&amp;key=yookassa.ru</x:v>
      </x:c>
      <x:c r="X839" s="20" t="n">
        <x:f>IF(Q839="是",0,IFERROR(P839/SUMIFS($P$2:$P$964,$A$2:$A$964,A839,$Q$2:$Q$964,"否"),0))</x:f>
        <x:v>0.02393571550692426</x:v>
      </x:c>
      <x:c r="Y839" s="22" t="str">
        <x:f>IF(OR(M839="",U839=""),"未交叉",IF(M839*U839&gt;0,"同向",IF(M839*U839&lt;0,"背离","一侧持平")))</x:f>
        <x:v>未交叉</x:v>
      </x:c>
    </x:row>
    <x:row r="840">
      <x:c r="A840" s="18" t="str">
        <x:v>yookassa.ru</x:v>
      </x:c>
      <x:c r="B840" s="19" t="str">
        <x:v>支付商主域（混合流量）</x:v>
      </x:c>
      <x:c r="C840" s="19" t="str">
        <x:v>中</x:v>
      </x:c>
      <x:c r="D840" s="19" t="str">
        <x:v>Jul 2026</x:v>
      </x:c>
      <x:c r="E840" s="19" t="n">
        <x:v>15</x:v>
      </x:c>
      <x:c r="F840" s="19" t="str">
        <x:v>oncocareclinic.ru</x:v>
      </x:c>
      <x:c r="G840" s="19" t="str">
        <x:v>Health</x:v>
      </x:c>
      <x:c r="H840" s="19" t="str">
        <x:v>健康、生活方式与消费服务</x:v>
      </x:c>
      <x:c r="I840" s="19" t="str">
        <x:v>Similarweb 行业映射</x:v>
      </x:c>
      <x:c r="J840" s="19" t="n">
        <x:v>451957</x:v>
      </x:c>
      <x:c r="K840" s="20" t="n">
        <x:v>0.0069</x:v>
      </x:c>
      <x:c r="L840" s="19" t="str">
        <x:v>新出现</x:v>
      </x:c>
      <x:c r="M840" s="20"/>
      <x:c r="N840" s="21" t="n">
        <x:v>111963</x:v>
      </x:c>
      <x:c r="O840" s="21" t="n">
        <x:v>773</x:v>
      </x:c>
      <x:c r="P840" s="21" t="n">
        <x:f>ROUND(N840*K840,0)</x:f>
        <x:v>773</x:v>
      </x:c>
      <x:c r="Q840" s="19" t="str">
        <x:v>否</x:v>
      </x:c>
      <x:c r="R840" s="19" t="str"/>
      <x:c r="S840" s="19" t="n">
        <x:f>IF(Q840="是",0,MIN(10,2+IF(C840="高",2,1)+IF(K840&gt;=3%,3,IF(K840&gt;=1%,2,1))+IF(L840="新出现",2,IF(M840&gt;=100%,3,IF(M840&gt;0,2,0)))))</x:f>
        <x:v>6</x:v>
      </x:c>
      <x:c r="T840" s="21"/>
      <x:c r="U840" s="20"/>
      <x:c r="V840" s="19" t="str">
        <x:v>http://oncocareclinic.ru/</x:v>
      </x:c>
      <x:c r="W840" s="19" t="str">
        <x:v>https://pro.similarweb.com/#/digitalsuite/websiteanalysis/referrals/*/999/1m?webSource=Total&amp;selectedTab=incomingTraffic&amp;key=yookassa.ru</x:v>
      </x:c>
      <x:c r="X840" s="20" t="n">
        <x:f>IF(Q840="是",0,IFERROR(P840/SUMIFS($P$2:$P$964,$A$2:$A$964,A840,$Q$2:$Q$964,"否"),0))</x:f>
        <x:v>0.016519917934689692</x:v>
      </x:c>
      <x:c r="Y840" s="22" t="str">
        <x:f>IF(OR(M840="",U840=""),"未交叉",IF(M840*U840&gt;0,"同向",IF(M840*U840&lt;0,"背离","一侧持平")))</x:f>
        <x:v>未交叉</x:v>
      </x:c>
    </x:row>
    <x:row r="841">
      <x:c r="A841" s="18" t="str">
        <x:v>yookassa.ru</x:v>
      </x:c>
      <x:c r="B841" s="19" t="str">
        <x:v>支付商主域（混合流量）</x:v>
      </x:c>
      <x:c r="C841" s="19" t="str">
        <x:v>中</x:v>
      </x:c>
      <x:c r="D841" s="19" t="str">
        <x:v>Jul 2026</x:v>
      </x:c>
      <x:c r="E841" s="19" t="n">
        <x:v>16</x:v>
      </x:c>
      <x:c r="F841" s="19" t="str">
        <x:v>edu.plaan.ai</x:v>
      </x:c>
      <x:c r="G841" s="19" t="str">
        <x:v>Unknown</x:v>
      </x:c>
      <x:c r="H841" s="19" t="str">
        <x:v>AI 工具与应用（未细分）</x:v>
      </x:c>
      <x:c r="I841" s="19" t="str">
        <x:v>域名后缀启发式</x:v>
      </x:c>
      <x:c r="J841" s="19"/>
      <x:c r="K841" s="20" t="n">
        <x:v>0.0068000000000000005</x:v>
      </x:c>
      <x:c r="L841" s="19" t="str">
        <x:v>新出现</x:v>
      </x:c>
      <x:c r="M841" s="20"/>
      <x:c r="N841" s="21" t="n">
        <x:v>111963</x:v>
      </x:c>
      <x:c r="O841" s="21" t="n">
        <x:v>761</x:v>
      </x:c>
      <x:c r="P841" s="21" t="n">
        <x:f>ROUND(N841*K841,0)</x:f>
        <x:v>761</x:v>
      </x:c>
      <x:c r="Q841" s="19" t="str">
        <x:v>否</x:v>
      </x:c>
      <x:c r="R841" s="19" t="str"/>
      <x:c r="S841" s="19" t="n">
        <x:f>IF(Q841="是",0,MIN(10,2+IF(C841="高",2,1)+IF(K841&gt;=3%,3,IF(K841&gt;=1%,2,1))+IF(L841="新出现",2,IF(M841&gt;=100%,3,IF(M841&gt;0,2,0)))))</x:f>
        <x:v>6</x:v>
      </x:c>
      <x:c r="T841" s="21"/>
      <x:c r="U841" s="20"/>
      <x:c r="V841" s="19" t="str">
        <x:v>http://edu.plaan.ai/</x:v>
      </x:c>
      <x:c r="W841" s="19" t="str">
        <x:v>https://pro.similarweb.com/#/digitalsuite/websiteanalysis/referrals/*/999/1m?webSource=Total&amp;selectedTab=incomingTraffic&amp;key=yookassa.ru</x:v>
      </x:c>
      <x:c r="X841" s="20" t="n">
        <x:f>IF(Q841="是",0,IFERROR(P841/SUMIFS($P$2:$P$964,$A$2:$A$964,A841,$Q$2:$Q$964,"否"),0))</x:f>
        <x:v>0.016263463839972646</x:v>
      </x:c>
      <x:c r="Y841" s="22" t="str">
        <x:f>IF(OR(M841="",U841=""),"未交叉",IF(M841*U841&gt;0,"同向",IF(M841*U841&lt;0,"背离","一侧持平")))</x:f>
        <x:v>未交叉</x:v>
      </x:c>
    </x:row>
    <x:row r="842">
      <x:c r="A842" s="18" t="str">
        <x:v>yookassa.ru</x:v>
      </x:c>
      <x:c r="B842" s="19" t="str">
        <x:v>支付商主域（混合流量）</x:v>
      </x:c>
      <x:c r="C842" s="19" t="str">
        <x:v>中</x:v>
      </x:c>
      <x:c r="D842" s="19" t="str">
        <x:v>Jul 2026</x:v>
      </x:c>
      <x:c r="E842" s="19" t="n">
        <x:v>17</x:v>
      </x:c>
      <x:c r="F842" s="19" t="str">
        <x:v>anextour.ru</x:v>
      </x:c>
      <x:c r="G842" s="19" t="str">
        <x:v>Travel and Tourism</x:v>
      </x:c>
      <x:c r="H842" s="19" t="str">
        <x:v>内容媒体、线下与实体消费</x:v>
      </x:c>
      <x:c r="I842" s="19" t="str">
        <x:v>Similarweb 行业映射</x:v>
      </x:c>
      <x:c r="J842" s="19" t="n">
        <x:v>17374</x:v>
      </x:c>
      <x:c r="K842" s="20" t="n">
        <x:v>0.006</x:v>
      </x:c>
      <x:c r="L842" s="19" t="str">
        <x:v>新出现</x:v>
      </x:c>
      <x:c r="M842" s="20"/>
      <x:c r="N842" s="21" t="n">
        <x:v>111963</x:v>
      </x:c>
      <x:c r="O842" s="21" t="n">
        <x:v>672</x:v>
      </x:c>
      <x:c r="P842" s="21" t="n">
        <x:f>ROUND(N842*K842,0)</x:f>
        <x:v>672</x:v>
      </x:c>
      <x:c r="Q842" s="19" t="str">
        <x:v>否</x:v>
      </x:c>
      <x:c r="R842" s="19" t="str"/>
      <x:c r="S842" s="19" t="n">
        <x:f>IF(Q842="是",0,MIN(10,2+IF(C842="高",2,1)+IF(K842&gt;=3%,3,IF(K842&gt;=1%,2,1))+IF(L842="新出现",2,IF(M842&gt;=100%,3,IF(M842&gt;0,2,0)))))</x:f>
        <x:v>6</x:v>
      </x:c>
      <x:c r="T842" s="21"/>
      <x:c r="U842" s="20"/>
      <x:c r="V842" s="19" t="str">
        <x:v>http://anextour.ru/</x:v>
      </x:c>
      <x:c r="W842" s="19" t="str">
        <x:v>https://pro.similarweb.com/#/digitalsuite/websiteanalysis/referrals/*/999/1m?webSource=Total&amp;selectedTab=incomingTraffic&amp;key=yookassa.ru</x:v>
      </x:c>
      <x:c r="X842" s="20" t="n">
        <x:f>IF(Q842="是",0,IFERROR(P842/SUMIFS($P$2:$P$964,$A$2:$A$964,A842,$Q$2:$Q$964,"否"),0))</x:f>
        <x:v>0.014361429304154556</x:v>
      </x:c>
      <x:c r="Y842" s="22" t="str">
        <x:f>IF(OR(M842="",U842=""),"未交叉",IF(M842*U842&gt;0,"同向",IF(M842*U842&lt;0,"背离","一侧持平")))</x:f>
        <x:v>未交叉</x:v>
      </x:c>
    </x:row>
    <x:row r="843">
      <x:c r="A843" s="18" t="str">
        <x:v>yookassa.ru</x:v>
      </x:c>
      <x:c r="B843" s="19" t="str">
        <x:v>支付商主域（混合流量）</x:v>
      </x:c>
      <x:c r="C843" s="19" t="str">
        <x:v>中</x:v>
      </x:c>
      <x:c r="D843" s="19" t="str">
        <x:v>Jul 2026</x:v>
      </x:c>
      <x:c r="E843" s="19" t="n">
        <x:v>18</x:v>
      </x:c>
      <x:c r="F843" s="19" t="str">
        <x:v>ipweb.ru</x:v>
      </x:c>
      <x:c r="G843" s="19" t="str">
        <x:v>Computers Electronics and Technology</x:v>
      </x:c>
      <x:c r="H843" s="19" t="str">
        <x:v>通用数字产品与技术服务</x:v>
      </x:c>
      <x:c r="I843" s="19" t="str">
        <x:v>Similarweb 行业映射</x:v>
      </x:c>
      <x:c r="J843" s="19" t="n">
        <x:v>81491</x:v>
      </x:c>
      <x:c r="K843" s="20" t="n">
        <x:v>0.0055000000000000005</x:v>
      </x:c>
      <x:c r="L843" s="19" t="str">
        <x:v>下降</x:v>
      </x:c>
      <x:c r="M843" s="20" t="n">
        <x:v>-0.4376</x:v>
      </x:c>
      <x:c r="N843" s="21" t="n">
        <x:v>111963</x:v>
      </x:c>
      <x:c r="O843" s="21" t="n">
        <x:v>616</x:v>
      </x:c>
      <x:c r="P843" s="21" t="n">
        <x:f>ROUND(N843*K843,0)</x:f>
        <x:v>616</x:v>
      </x:c>
      <x:c r="Q843" s="19" t="str">
        <x:v>否</x:v>
      </x:c>
      <x:c r="R843" s="19" t="str"/>
      <x:c r="S843" s="19" t="n">
        <x:f>IF(Q843="是",0,MIN(10,2+IF(C843="高",2,1)+IF(K843&gt;=3%,3,IF(K843&gt;=1%,2,1))+IF(L843="新出现",2,IF(M843&gt;=100%,3,IF(M843&gt;0,2,0)))))</x:f>
        <x:v>4</x:v>
      </x:c>
      <x:c r="T843" s="21"/>
      <x:c r="U843" s="20"/>
      <x:c r="V843" s="19" t="str">
        <x:v>http://ipweb.ru/</x:v>
      </x:c>
      <x:c r="W843" s="19" t="str">
        <x:v>https://pro.similarweb.com/#/digitalsuite/websiteanalysis/referrals/*/999/1m?webSource=Total&amp;selectedTab=incomingTraffic&amp;key=yookassa.ru</x:v>
      </x:c>
      <x:c r="X843" s="20" t="n">
        <x:f>IF(Q843="是",0,IFERROR(P843/SUMIFS($P$2:$P$964,$A$2:$A$964,A843,$Q$2:$Q$964,"否"),0))</x:f>
        <x:v>0.013164643528808343</x:v>
      </x:c>
      <x:c r="Y843" s="22" t="str">
        <x:f>IF(OR(M843="",U843=""),"未交叉",IF(M843*U843&gt;0,"同向",IF(M843*U843&lt;0,"背离","一侧持平")))</x:f>
        <x:v>未交叉</x:v>
      </x:c>
    </x:row>
    <x:row r="844">
      <x:c r="A844" s="18" t="str">
        <x:v>yookassa.ru</x:v>
      </x:c>
      <x:c r="B844" s="19" t="str">
        <x:v>支付商主域（混合流量）</x:v>
      </x:c>
      <x:c r="C844" s="19" t="str">
        <x:v>中</x:v>
      </x:c>
      <x:c r="D844" s="19" t="str">
        <x:v>Jul 2026</x:v>
      </x:c>
      <x:c r="E844" s="19" t="n">
        <x:v>19</x:v>
      </x:c>
      <x:c r="F844" s="19" t="str">
        <x:v>amperka.ru</x:v>
      </x:c>
      <x:c r="G844" s="19" t="str">
        <x:v>Computers Electronics and Technology</x:v>
      </x:c>
      <x:c r="H844" s="19" t="str">
        <x:v>通用数字产品与技术服务</x:v>
      </x:c>
      <x:c r="I844" s="19" t="str">
        <x:v>Similarweb 行业映射</x:v>
      </x:c>
      <x:c r="J844" s="19" t="n">
        <x:v>276774</x:v>
      </x:c>
      <x:c r="K844" s="20" t="n">
        <x:v>0.0052</x:v>
      </x:c>
      <x:c r="L844" s="19" t="str">
        <x:v>新出现</x:v>
      </x:c>
      <x:c r="M844" s="20"/>
      <x:c r="N844" s="21" t="n">
        <x:v>111963</x:v>
      </x:c>
      <x:c r="O844" s="21" t="n">
        <x:v>582</x:v>
      </x:c>
      <x:c r="P844" s="21" t="n">
        <x:f>ROUND(N844*K844,0)</x:f>
        <x:v>582</x:v>
      </x:c>
      <x:c r="Q844" s="19" t="str">
        <x:v>否</x:v>
      </x:c>
      <x:c r="R844" s="19" t="str"/>
      <x:c r="S844" s="19" t="n">
        <x:f>IF(Q844="是",0,MIN(10,2+IF(C844="高",2,1)+IF(K844&gt;=3%,3,IF(K844&gt;=1%,2,1))+IF(L844="新出现",2,IF(M844&gt;=100%,3,IF(M844&gt;0,2,0)))))</x:f>
        <x:v>6</x:v>
      </x:c>
      <x:c r="T844" s="21"/>
      <x:c r="U844" s="20"/>
      <x:c r="V844" s="19" t="str">
        <x:v>http://amperka.ru/</x:v>
      </x:c>
      <x:c r="W844" s="19" t="str">
        <x:v>https://pro.similarweb.com/#/digitalsuite/websiteanalysis/referrals/*/999/1m?webSource=Total&amp;selectedTab=incomingTraffic&amp;key=yookassa.ru</x:v>
      </x:c>
      <x:c r="X844" s="20" t="n">
        <x:f>IF(Q844="是",0,IFERROR(P844/SUMIFS($P$2:$P$964,$A$2:$A$964,A844,$Q$2:$Q$964,"否"),0))</x:f>
        <x:v>0.012438023593776715</x:v>
      </x:c>
      <x:c r="Y844" s="22" t="str">
        <x:f>IF(OR(M844="",U844=""),"未交叉",IF(M844*U844&gt;0,"同向",IF(M844*U844&lt;0,"背离","一侧持平")))</x:f>
        <x:v>未交叉</x:v>
      </x:c>
    </x:row>
    <x:row r="845">
      <x:c r="A845" s="18" t="str">
        <x:v>yookassa.ru</x:v>
      </x:c>
      <x:c r="B845" s="19" t="str">
        <x:v>支付商主域（混合流量）</x:v>
      </x:c>
      <x:c r="C845" s="19" t="str">
        <x:v>中</x:v>
      </x:c>
      <x:c r="D845" s="19" t="str">
        <x:v>Jul 2026</x:v>
      </x:c>
      <x:c r="E845" s="19" t="n">
        <x:v>20</x:v>
      </x:c>
      <x:c r="F845" s="19" t="str">
        <x:v>ozon.ru</x:v>
      </x:c>
      <x:c r="G845" s="19" t="str">
        <x:v>Marketplace</x:v>
      </x:c>
      <x:c r="H845" s="19" t="str">
        <x:v>金融、支付与交易服务</x:v>
      </x:c>
      <x:c r="I845" s="19" t="str">
        <x:v>Similarweb 行业映射</x:v>
      </x:c>
      <x:c r="J845" s="19" t="n">
        <x:v>38</x:v>
      </x:c>
      <x:c r="K845" s="20" t="n">
        <x:v>0.0051</x:v>
      </x:c>
      <x:c r="L845" s="19" t="str">
        <x:v>上升</x:v>
      </x:c>
      <x:c r="M845" s="20" t="n">
        <x:v>2.6187</x:v>
      </x:c>
      <x:c r="N845" s="21" t="n">
        <x:v>111963</x:v>
      </x:c>
      <x:c r="O845" s="21" t="n">
        <x:v>571</x:v>
      </x:c>
      <x:c r="P845" s="21" t="n">
        <x:f>ROUND(N845*K845,0)</x:f>
        <x:v>571</x:v>
      </x:c>
      <x:c r="Q845" s="19" t="str">
        <x:v>否</x:v>
      </x:c>
      <x:c r="R845" s="19" t="str"/>
      <x:c r="S845" s="19" t="n">
        <x:f>IF(Q845="是",0,MIN(10,2+IF(C845="高",2,1)+IF(K845&gt;=3%,3,IF(K845&gt;=1%,2,1))+IF(L845="新出现",2,IF(M845&gt;=100%,3,IF(M845&gt;0,2,0)))))</x:f>
        <x:v>7</x:v>
      </x:c>
      <x:c r="T845" s="21"/>
      <x:c r="U845" s="20"/>
      <x:c r="V845" s="19" t="str">
        <x:v>http://ozon.ru/</x:v>
      </x:c>
      <x:c r="W845" s="19" t="str">
        <x:v>https://pro.similarweb.com/#/digitalsuite/websiteanalysis/referrals/*/999/1m?webSource=Total&amp;selectedTab=incomingTraffic&amp;key=yookassa.ru</x:v>
      </x:c>
      <x:c r="X845" s="20" t="n">
        <x:f>IF(Q845="是",0,IFERROR(P845/SUMIFS($P$2:$P$964,$A$2:$A$964,A845,$Q$2:$Q$964,"否"),0))</x:f>
        <x:v>0.012202940673619421</x:v>
      </x:c>
      <x:c r="Y845" s="22" t="str">
        <x:f>IF(OR(M845="",U845=""),"未交叉",IF(M845*U845&gt;0,"同向",IF(M845*U845&lt;0,"背离","一侧持平")))</x:f>
        <x:v>未交叉</x:v>
      </x:c>
    </x:row>
    <x:row r="846">
      <x:c r="A846" s="18" t="str">
        <x:v>yookassa.ru</x:v>
      </x:c>
      <x:c r="B846" s="19" t="str">
        <x:v>支付商主域（混合流量）</x:v>
      </x:c>
      <x:c r="C846" s="19" t="str">
        <x:v>中</x:v>
      </x:c>
      <x:c r="D846" s="19" t="str">
        <x:v>Jul 2026</x:v>
      </x:c>
      <x:c r="E846" s="19" t="n">
        <x:v>21</x:v>
      </x:c>
      <x:c r="F846" s="19" t="str">
        <x:v>start.bizon365.ru</x:v>
      </x:c>
      <x:c r="G846" s="19" t="str">
        <x:v>Search Engines</x:v>
      </x:c>
      <x:c r="H846" s="19" t="str">
        <x:v>营销、生产力与商业服务</x:v>
      </x:c>
      <x:c r="I846" s="19" t="str">
        <x:v>Similarweb 行业映射</x:v>
      </x:c>
      <x:c r="J846" s="19"/>
      <x:c r="K846" s="20" t="n">
        <x:v>0.0049</x:v>
      </x:c>
      <x:c r="L846" s="19" t="str">
        <x:v>新出现</x:v>
      </x:c>
      <x:c r="M846" s="20"/>
      <x:c r="N846" s="21" t="n">
        <x:v>111963</x:v>
      </x:c>
      <x:c r="O846" s="21" t="n">
        <x:v>549</x:v>
      </x:c>
      <x:c r="P846" s="21" t="n">
        <x:f>ROUND(N846*K846,0)</x:f>
        <x:v>549</x:v>
      </x:c>
      <x:c r="Q846" s="19" t="str">
        <x:v>否</x:v>
      </x:c>
      <x:c r="R846" s="19" t="str"/>
      <x:c r="S846" s="19" t="n">
        <x:f>IF(Q846="是",0,MIN(10,2+IF(C846="高",2,1)+IF(K846&gt;=3%,3,IF(K846&gt;=1%,2,1))+IF(L846="新出现",2,IF(M846&gt;=100%,3,IF(M846&gt;0,2,0)))))</x:f>
        <x:v>6</x:v>
      </x:c>
      <x:c r="T846" s="21"/>
      <x:c r="U846" s="20"/>
      <x:c r="V846" s="19" t="str">
        <x:v>http://start.bizon365.ru/</x:v>
      </x:c>
      <x:c r="W846" s="19" t="str">
        <x:v>https://pro.similarweb.com/#/digitalsuite/websiteanalysis/referrals/*/999/1m?webSource=Total&amp;selectedTab=incomingTraffic&amp;key=yookassa.ru</x:v>
      </x:c>
      <x:c r="X846" s="20" t="n">
        <x:f>IF(Q846="是",0,IFERROR(P846/SUMIFS($P$2:$P$964,$A$2:$A$964,A846,$Q$2:$Q$964,"否"),0))</x:f>
        <x:v>0.011732774833304838</x:v>
      </x:c>
      <x:c r="Y846" s="22" t="str">
        <x:f>IF(OR(M846="",U846=""),"未交叉",IF(M846*U846&gt;0,"同向",IF(M846*U846&lt;0,"背离","一侧持平")))</x:f>
        <x:v>未交叉</x:v>
      </x:c>
    </x:row>
    <x:row r="847">
      <x:c r="A847" s="18" t="str">
        <x:v>yookassa.ru</x:v>
      </x:c>
      <x:c r="B847" s="19" t="str">
        <x:v>支付商主域（混合流量）</x:v>
      </x:c>
      <x:c r="C847" s="19" t="str">
        <x:v>中</x:v>
      </x:c>
      <x:c r="D847" s="19" t="str">
        <x:v>Jul 2026</x:v>
      </x:c>
      <x:c r="E847" s="19" t="n">
        <x:v>22</x:v>
      </x:c>
      <x:c r="F847" s="19" t="str">
        <x:v>dozser.ru</x:v>
      </x:c>
      <x:c r="G847" s="19" t="str">
        <x:v>Unknown</x:v>
      </x:c>
      <x:c r="H847" s="19" t="str">
        <x:v>其他/待核查</x:v>
      </x:c>
      <x:c r="I847" s="19" t="str">
        <x:v>Similarweb 未分类</x:v>
      </x:c>
      <x:c r="J847" s="19"/>
      <x:c r="K847" s="20" t="n">
        <x:v>0.0049</x:v>
      </x:c>
      <x:c r="L847" s="19" t="str">
        <x:v>下降</x:v>
      </x:c>
      <x:c r="M847" s="20" t="n">
        <x:v>-0.8931</x:v>
      </x:c>
      <x:c r="N847" s="21" t="n">
        <x:v>111963</x:v>
      </x:c>
      <x:c r="O847" s="21" t="n">
        <x:v>549</x:v>
      </x:c>
      <x:c r="P847" s="21" t="n">
        <x:f>ROUND(N847*K847,0)</x:f>
        <x:v>549</x:v>
      </x:c>
      <x:c r="Q847" s="19" t="str">
        <x:v>否</x:v>
      </x:c>
      <x:c r="R847" s="19" t="str"/>
      <x:c r="S847" s="19" t="n">
        <x:f>IF(Q847="是",0,MIN(10,2+IF(C847="高",2,1)+IF(K847&gt;=3%,3,IF(K847&gt;=1%,2,1))+IF(L847="新出现",2,IF(M847&gt;=100%,3,IF(M847&gt;0,2,0)))))</x:f>
        <x:v>4</x:v>
      </x:c>
      <x:c r="T847" s="21"/>
      <x:c r="U847" s="20"/>
      <x:c r="V847" s="19" t="str">
        <x:v>http://dozser.ru/</x:v>
      </x:c>
      <x:c r="W847" s="19" t="str">
        <x:v>https://pro.similarweb.com/#/digitalsuite/websiteanalysis/referrals/*/999/1m?webSource=Total&amp;selectedTab=incomingTraffic&amp;key=yookassa.ru</x:v>
      </x:c>
      <x:c r="X847" s="20" t="n">
        <x:f>IF(Q847="是",0,IFERROR(P847/SUMIFS($P$2:$P$964,$A$2:$A$964,A847,$Q$2:$Q$964,"否"),0))</x:f>
        <x:v>0.011732774833304838</x:v>
      </x:c>
      <x:c r="Y847" s="22" t="str">
        <x:f>IF(OR(M847="",U847=""),"未交叉",IF(M847*U847&gt;0,"同向",IF(M847*U847&lt;0,"背离","一侧持平")))</x:f>
        <x:v>未交叉</x:v>
      </x:c>
    </x:row>
    <x:row r="848">
      <x:c r="A848" s="18" t="str">
        <x:v>yookassa.ru</x:v>
      </x:c>
      <x:c r="B848" s="19" t="str">
        <x:v>支付商主域（混合流量）</x:v>
      </x:c>
      <x:c r="C848" s="19" t="str">
        <x:v>中</x:v>
      </x:c>
      <x:c r="D848" s="19" t="str">
        <x:v>Jul 2026</x:v>
      </x:c>
      <x:c r="E848" s="19" t="n">
        <x:v>23</x:v>
      </x:c>
      <x:c r="F848" s="19" t="str">
        <x:v>order119373.click</x:v>
      </x:c>
      <x:c r="G848" s="19" t="str">
        <x:v>Unknown</x:v>
      </x:c>
      <x:c r="H848" s="19" t="str">
        <x:v>其他/待核查</x:v>
      </x:c>
      <x:c r="I848" s="19" t="str">
        <x:v>Similarweb 未分类</x:v>
      </x:c>
      <x:c r="J848" s="19"/>
      <x:c r="K848" s="20" t="n">
        <x:v>0.0049</x:v>
      </x:c>
      <x:c r="L848" s="19" t="str">
        <x:v>新出现</x:v>
      </x:c>
      <x:c r="M848" s="20"/>
      <x:c r="N848" s="21" t="n">
        <x:v>111963</x:v>
      </x:c>
      <x:c r="O848" s="21" t="n">
        <x:v>549</x:v>
      </x:c>
      <x:c r="P848" s="21" t="n">
        <x:f>ROUND(N848*K848,0)</x:f>
        <x:v>549</x:v>
      </x:c>
      <x:c r="Q848" s="19" t="str">
        <x:v>否</x:v>
      </x:c>
      <x:c r="R848" s="19" t="str"/>
      <x:c r="S848" s="19" t="n">
        <x:f>IF(Q848="是",0,MIN(10,2+IF(C848="高",2,1)+IF(K848&gt;=3%,3,IF(K848&gt;=1%,2,1))+IF(L848="新出现",2,IF(M848&gt;=100%,3,IF(M848&gt;0,2,0)))))</x:f>
        <x:v>6</x:v>
      </x:c>
      <x:c r="T848" s="21"/>
      <x:c r="U848" s="20"/>
      <x:c r="V848" s="19" t="str">
        <x:v>http://order119373.click/</x:v>
      </x:c>
      <x:c r="W848" s="19" t="str">
        <x:v>https://pro.similarweb.com/#/digitalsuite/websiteanalysis/referrals/*/999/1m?webSource=Total&amp;selectedTab=incomingTraffic&amp;key=yookassa.ru</x:v>
      </x:c>
      <x:c r="X848" s="20" t="n">
        <x:f>IF(Q848="是",0,IFERROR(P848/SUMIFS($P$2:$P$964,$A$2:$A$964,A848,$Q$2:$Q$964,"否"),0))</x:f>
        <x:v>0.011732774833304838</x:v>
      </x:c>
      <x:c r="Y848" s="22" t="str">
        <x:f>IF(OR(M848="",U848=""),"未交叉",IF(M848*U848&gt;0,"同向",IF(M848*U848&lt;0,"背离","一侧持平")))</x:f>
        <x:v>未交叉</x:v>
      </x:c>
    </x:row>
    <x:row r="849">
      <x:c r="A849" s="18" t="str">
        <x:v>yookassa.ru</x:v>
      </x:c>
      <x:c r="B849" s="19" t="str">
        <x:v>支付商主域（混合流量）</x:v>
      </x:c>
      <x:c r="C849" s="19" t="str">
        <x:v>中</x:v>
      </x:c>
      <x:c r="D849" s="19" t="str">
        <x:v>Jul 2026</x:v>
      </x:c>
      <x:c r="E849" s="19" t="n">
        <x:v>24</x:v>
      </x:c>
      <x:c r="F849" s="19" t="str">
        <x:v>centre-obr.ru</x:v>
      </x:c>
      <x:c r="G849" s="19" t="str">
        <x:v>Unknown</x:v>
      </x:c>
      <x:c r="H849" s="19" t="str">
        <x:v>其他/待核查</x:v>
      </x:c>
      <x:c r="I849" s="19" t="str">
        <x:v>Similarweb 未分类</x:v>
      </x:c>
      <x:c r="J849" s="19" t="n">
        <x:v>1270531</x:v>
      </x:c>
      <x:c r="K849" s="20" t="n">
        <x:v>0.0049</x:v>
      </x:c>
      <x:c r="L849" s="19" t="str">
        <x:v>新出现</x:v>
      </x:c>
      <x:c r="M849" s="20"/>
      <x:c r="N849" s="21" t="n">
        <x:v>111963</x:v>
      </x:c>
      <x:c r="O849" s="21" t="n">
        <x:v>549</x:v>
      </x:c>
      <x:c r="P849" s="21" t="n">
        <x:f>ROUND(N849*K849,0)</x:f>
        <x:v>549</x:v>
      </x:c>
      <x:c r="Q849" s="19" t="str">
        <x:v>否</x:v>
      </x:c>
      <x:c r="R849" s="19" t="str"/>
      <x:c r="S849" s="19" t="n">
        <x:f>IF(Q849="是",0,MIN(10,2+IF(C849="高",2,1)+IF(K849&gt;=3%,3,IF(K849&gt;=1%,2,1))+IF(L849="新出现",2,IF(M849&gt;=100%,3,IF(M849&gt;0,2,0)))))</x:f>
        <x:v>6</x:v>
      </x:c>
      <x:c r="T849" s="21"/>
      <x:c r="U849" s="20"/>
      <x:c r="V849" s="19" t="str">
        <x:v>http://centre-obr.ru/</x:v>
      </x:c>
      <x:c r="W849" s="19" t="str">
        <x:v>https://pro.similarweb.com/#/digitalsuite/websiteanalysis/referrals/*/999/1m?webSource=Total&amp;selectedTab=incomingTraffic&amp;key=yookassa.ru</x:v>
      </x:c>
      <x:c r="X849" s="20" t="n">
        <x:f>IF(Q849="是",0,IFERROR(P849/SUMIFS($P$2:$P$964,$A$2:$A$964,A849,$Q$2:$Q$964,"否"),0))</x:f>
        <x:v>0.011732774833304838</x:v>
      </x:c>
      <x:c r="Y849" s="22" t="str">
        <x:f>IF(OR(M849="",U849=""),"未交叉",IF(M849*U849&gt;0,"同向",IF(M849*U849&lt;0,"背离","一侧持平")))</x:f>
        <x:v>未交叉</x:v>
      </x:c>
    </x:row>
    <x:row r="850">
      <x:c r="A850" s="18" t="str">
        <x:v>yookassa.ru</x:v>
      </x:c>
      <x:c r="B850" s="19" t="str">
        <x:v>支付商主域（混合流量）</x:v>
      </x:c>
      <x:c r="C850" s="19" t="str">
        <x:v>中</x:v>
      </x:c>
      <x:c r="D850" s="19" t="str">
        <x:v>Jul 2026</x:v>
      </x:c>
      <x:c r="E850" s="19" t="n">
        <x:v>25</x:v>
      </x:c>
      <x:c r="F850" s="19" t="str">
        <x:v>platonova.tilda.ws</x:v>
      </x:c>
      <x:c r="G850" s="19" t="str">
        <x:v>Mental Health</x:v>
      </x:c>
      <x:c r="H850" s="19" t="str">
        <x:v>健康、生活方式与消费服务</x:v>
      </x:c>
      <x:c r="I850" s="19" t="str">
        <x:v>Similarweb 行业映射</x:v>
      </x:c>
      <x:c r="J850" s="19"/>
      <x:c r="K850" s="20" t="n">
        <x:v>0.0049</x:v>
      </x:c>
      <x:c r="L850" s="19" t="str">
        <x:v>新出现</x:v>
      </x:c>
      <x:c r="M850" s="20"/>
      <x:c r="N850" s="21" t="n">
        <x:v>111963</x:v>
      </x:c>
      <x:c r="O850" s="21" t="n">
        <x:v>549</x:v>
      </x:c>
      <x:c r="P850" s="21" t="n">
        <x:f>ROUND(N850*K850,0)</x:f>
        <x:v>549</x:v>
      </x:c>
      <x:c r="Q850" s="19" t="str">
        <x:v>否</x:v>
      </x:c>
      <x:c r="R850" s="19" t="str"/>
      <x:c r="S850" s="19" t="n">
        <x:f>IF(Q850="是",0,MIN(10,2+IF(C850="高",2,1)+IF(K850&gt;=3%,3,IF(K850&gt;=1%,2,1))+IF(L850="新出现",2,IF(M850&gt;=100%,3,IF(M850&gt;0,2,0)))))</x:f>
        <x:v>6</x:v>
      </x:c>
      <x:c r="T850" s="21"/>
      <x:c r="U850" s="20"/>
      <x:c r="V850" s="19" t="str">
        <x:v>http://platonova.tilda.ws/</x:v>
      </x:c>
      <x:c r="W850" s="19" t="str">
        <x:v>https://pro.similarweb.com/#/digitalsuite/websiteanalysis/referrals/*/999/1m?webSource=Total&amp;selectedTab=incomingTraffic&amp;key=yookassa.ru</x:v>
      </x:c>
      <x:c r="X850" s="20" t="n">
        <x:f>IF(Q850="是",0,IFERROR(P850/SUMIFS($P$2:$P$964,$A$2:$A$964,A850,$Q$2:$Q$964,"否"),0))</x:f>
        <x:v>0.011732774833304838</x:v>
      </x:c>
      <x:c r="Y850" s="22" t="str">
        <x:f>IF(OR(M850="",U850=""),"未交叉",IF(M850*U850&gt;0,"同向",IF(M850*U850&lt;0,"背离","一侧持平")))</x:f>
        <x:v>未交叉</x:v>
      </x:c>
    </x:row>
    <x:row r="851">
      <x:c r="A851" s="18" t="str">
        <x:v>yookassa.ru</x:v>
      </x:c>
      <x:c r="B851" s="19" t="str">
        <x:v>支付商主域（混合流量）</x:v>
      </x:c>
      <x:c r="C851" s="19" t="str">
        <x:v>中</x:v>
      </x:c>
      <x:c r="D851" s="19" t="str">
        <x:v>Jul 2026</x:v>
      </x:c>
      <x:c r="E851" s="19" t="n">
        <x:v>26</x:v>
      </x:c>
      <x:c r="F851" s="19" t="str">
        <x:v>djivani.ru</x:v>
      </x:c>
      <x:c r="G851" s="19" t="str">
        <x:v>Unknown</x:v>
      </x:c>
      <x:c r="H851" s="19" t="str">
        <x:v>其他/待核查</x:v>
      </x:c>
      <x:c r="I851" s="19" t="str">
        <x:v>Similarweb 未分类</x:v>
      </x:c>
      <x:c r="J851" s="19"/>
      <x:c r="K851" s="20" t="n">
        <x:v>0.0049</x:v>
      </x:c>
      <x:c r="L851" s="19" t="str">
        <x:v>新出现</x:v>
      </x:c>
      <x:c r="M851" s="20"/>
      <x:c r="N851" s="21" t="n">
        <x:v>111963</x:v>
      </x:c>
      <x:c r="O851" s="21" t="n">
        <x:v>549</x:v>
      </x:c>
      <x:c r="P851" s="21" t="n">
        <x:f>ROUND(N851*K851,0)</x:f>
        <x:v>549</x:v>
      </x:c>
      <x:c r="Q851" s="19" t="str">
        <x:v>否</x:v>
      </x:c>
      <x:c r="R851" s="19" t="str"/>
      <x:c r="S851" s="19" t="n">
        <x:f>IF(Q851="是",0,MIN(10,2+IF(C851="高",2,1)+IF(K851&gt;=3%,3,IF(K851&gt;=1%,2,1))+IF(L851="新出现",2,IF(M851&gt;=100%,3,IF(M851&gt;0,2,0)))))</x:f>
        <x:v>6</x:v>
      </x:c>
      <x:c r="T851" s="21"/>
      <x:c r="U851" s="20"/>
      <x:c r="V851" s="19" t="str">
        <x:v>http://djivani.ru/</x:v>
      </x:c>
      <x:c r="W851" s="19" t="str">
        <x:v>https://pro.similarweb.com/#/digitalsuite/websiteanalysis/referrals/*/999/1m?webSource=Total&amp;selectedTab=incomingTraffic&amp;key=yookassa.ru</x:v>
      </x:c>
      <x:c r="X851" s="20" t="n">
        <x:f>IF(Q851="是",0,IFERROR(P851/SUMIFS($P$2:$P$964,$A$2:$A$964,A851,$Q$2:$Q$964,"否"),0))</x:f>
        <x:v>0.011732774833304838</x:v>
      </x:c>
      <x:c r="Y851" s="22" t="str">
        <x:f>IF(OR(M851="",U851=""),"未交叉",IF(M851*U851&gt;0,"同向",IF(M851*U851&lt;0,"背离","一侧持平")))</x:f>
        <x:v>未交叉</x:v>
      </x:c>
    </x:row>
    <x:row r="852">
      <x:c r="A852" s="18" t="str">
        <x:v>yookassa.ru</x:v>
      </x:c>
      <x:c r="B852" s="19" t="str">
        <x:v>支付商主域（混合流量）</x:v>
      </x:c>
      <x:c r="C852" s="19" t="str">
        <x:v>中</x:v>
      </x:c>
      <x:c r="D852" s="19" t="str">
        <x:v>Jul 2026</x:v>
      </x:c>
      <x:c r="E852" s="19" t="n">
        <x:v>27</x:v>
      </x:c>
      <x:c r="F852" s="19" t="str">
        <x:v>2meetup.in</x:v>
      </x:c>
      <x:c r="G852" s="19" t="str">
        <x:v>Computers Electronics and Technology</x:v>
      </x:c>
      <x:c r="H852" s="19" t="str">
        <x:v>通用数字产品与技术服务</x:v>
      </x:c>
      <x:c r="I852" s="19" t="str">
        <x:v>Similarweb 行业映射</x:v>
      </x:c>
      <x:c r="J852" s="19" t="n">
        <x:v>1864416</x:v>
      </x:c>
      <x:c r="K852" s="20" t="n">
        <x:v>0.0044</x:v>
      </x:c>
      <x:c r="L852" s="19" t="str">
        <x:v>新出现</x:v>
      </x:c>
      <x:c r="M852" s="20"/>
      <x:c r="N852" s="21" t="n">
        <x:v>111963</x:v>
      </x:c>
      <x:c r="O852" s="21" t="n">
        <x:v>493</x:v>
      </x:c>
      <x:c r="P852" s="21" t="n">
        <x:f>ROUND(N852*K852,0)</x:f>
        <x:v>493</x:v>
      </x:c>
      <x:c r="Q852" s="19" t="str">
        <x:v>否</x:v>
      </x:c>
      <x:c r="R852" s="19" t="str"/>
      <x:c r="S852" s="19" t="n">
        <x:f>IF(Q852="是",0,MIN(10,2+IF(C852="高",2,1)+IF(K852&gt;=3%,3,IF(K852&gt;=1%,2,1))+IF(L852="新出现",2,IF(M852&gt;=100%,3,IF(M852&gt;0,2,0)))))</x:f>
        <x:v>6</x:v>
      </x:c>
      <x:c r="T852" s="21"/>
      <x:c r="U852" s="20"/>
      <x:c r="V852" s="19" t="str">
        <x:v>http://2meetup.in/</x:v>
      </x:c>
      <x:c r="W852" s="19" t="str">
        <x:v>https://pro.similarweb.com/#/digitalsuite/websiteanalysis/referrals/*/999/1m?webSource=Total&amp;selectedTab=incomingTraffic&amp;key=yookassa.ru</x:v>
      </x:c>
      <x:c r="X852" s="20" t="n">
        <x:f>IF(Q852="是",0,IFERROR(P852/SUMIFS($P$2:$P$964,$A$2:$A$964,A852,$Q$2:$Q$964,"否"),0))</x:f>
        <x:v>0.010535989057958625</x:v>
      </x:c>
      <x:c r="Y852" s="22" t="str">
        <x:f>IF(OR(M852="",U852=""),"未交叉",IF(M852*U852&gt;0,"同向",IF(M852*U852&lt;0,"背离","一侧持平")))</x:f>
        <x:v>未交叉</x:v>
      </x:c>
    </x:row>
    <x:row r="853">
      <x:c r="A853" s="18" t="str">
        <x:v>yookassa.ru</x:v>
      </x:c>
      <x:c r="B853" s="19" t="str">
        <x:v>支付商主域（混合流量）</x:v>
      </x:c>
      <x:c r="C853" s="19" t="str">
        <x:v>中</x:v>
      </x:c>
      <x:c r="D853" s="19" t="str">
        <x:v>Jul 2026</x:v>
      </x:c>
      <x:c r="E853" s="19" t="n">
        <x:v>28</x:v>
      </x:c>
      <x:c r="F853" s="19" t="str">
        <x:v>failory.com</x:v>
      </x:c>
      <x:c r="G853" s="19" t="str">
        <x:v>Computers Electronics and Technology</x:v>
      </x:c>
      <x:c r="H853" s="19" t="str">
        <x:v>通用数字产品与技术服务</x:v>
      </x:c>
      <x:c r="I853" s="19" t="str">
        <x:v>Similarweb 行业映射</x:v>
      </x:c>
      <x:c r="J853" s="19" t="n">
        <x:v>209082</x:v>
      </x:c>
      <x:c r="K853" s="20" t="n">
        <x:v>0.004</x:v>
      </x:c>
      <x:c r="L853" s="19" t="str">
        <x:v>新出现</x:v>
      </x:c>
      <x:c r="M853" s="20"/>
      <x:c r="N853" s="21" t="n">
        <x:v>111963</x:v>
      </x:c>
      <x:c r="O853" s="21" t="n">
        <x:v>448</x:v>
      </x:c>
      <x:c r="P853" s="21" t="n">
        <x:f>ROUND(N853*K853,0)</x:f>
        <x:v>448</x:v>
      </x:c>
      <x:c r="Q853" s="19" t="str">
        <x:v>否</x:v>
      </x:c>
      <x:c r="R853" s="19" t="str"/>
      <x:c r="S853" s="19" t="n">
        <x:f>IF(Q853="是",0,MIN(10,2+IF(C853="高",2,1)+IF(K853&gt;=3%,3,IF(K853&gt;=1%,2,1))+IF(L853="新出现",2,IF(M853&gt;=100%,3,IF(M853&gt;0,2,0)))))</x:f>
        <x:v>6</x:v>
      </x:c>
      <x:c r="T853" s="21"/>
      <x:c r="U853" s="20"/>
      <x:c r="V853" s="19" t="str">
        <x:v>http://failory.com/</x:v>
      </x:c>
      <x:c r="W853" s="19" t="str">
        <x:v>https://pro.similarweb.com/#/digitalsuite/websiteanalysis/referrals/*/999/1m?webSource=Total&amp;selectedTab=incomingTraffic&amp;key=yookassa.ru</x:v>
      </x:c>
      <x:c r="X853" s="20" t="n">
        <x:f>IF(Q853="是",0,IFERROR(P853/SUMIFS($P$2:$P$964,$A$2:$A$964,A853,$Q$2:$Q$964,"否"),0))</x:f>
        <x:v>0.009574286202769703</x:v>
      </x:c>
      <x:c r="Y853" s="22" t="str">
        <x:f>IF(OR(M853="",U853=""),"未交叉",IF(M853*U853&gt;0,"同向",IF(M853*U853&lt;0,"背离","一侧持平")))</x:f>
        <x:v>未交叉</x:v>
      </x:c>
    </x:row>
    <x:row r="854">
      <x:c r="A854" s="18" t="str">
        <x:v>yookassa.ru</x:v>
      </x:c>
      <x:c r="B854" s="19" t="str">
        <x:v>支付商主域（混合流量）</x:v>
      </x:c>
      <x:c r="C854" s="19" t="str">
        <x:v>中</x:v>
      </x:c>
      <x:c r="D854" s="19" t="str">
        <x:v>Jul 2026</x:v>
      </x:c>
      <x:c r="E854" s="19" t="n">
        <x:v>29</x:v>
      </x:c>
      <x:c r="F854" s="19" t="str">
        <x:v>app.kuliskin.ru</x:v>
      </x:c>
      <x:c r="G854" s="19" t="str">
        <x:v>Unknown</x:v>
      </x:c>
      <x:c r="H854" s="19" t="str">
        <x:v>其他/待核查</x:v>
      </x:c>
      <x:c r="I854" s="19" t="str">
        <x:v>Similarweb 未分类</x:v>
      </x:c>
      <x:c r="J854" s="19"/>
      <x:c r="K854" s="20" t="n">
        <x:v>0.0038</x:v>
      </x:c>
      <x:c r="L854" s="19" t="str">
        <x:v>新出现</x:v>
      </x:c>
      <x:c r="M854" s="20"/>
      <x:c r="N854" s="21" t="n">
        <x:v>111963</x:v>
      </x:c>
      <x:c r="O854" s="21" t="n">
        <x:v>425</x:v>
      </x:c>
      <x:c r="P854" s="21" t="n">
        <x:f>ROUND(N854*K854,0)</x:f>
        <x:v>425</x:v>
      </x:c>
      <x:c r="Q854" s="19" t="str">
        <x:v>否</x:v>
      </x:c>
      <x:c r="R854" s="19" t="str"/>
      <x:c r="S854" s="19" t="n">
        <x:f>IF(Q854="是",0,MIN(10,2+IF(C854="高",2,1)+IF(K854&gt;=3%,3,IF(K854&gt;=1%,2,1))+IF(L854="新出现",2,IF(M854&gt;=100%,3,IF(M854&gt;0,2,0)))))</x:f>
        <x:v>6</x:v>
      </x:c>
      <x:c r="T854" s="21"/>
      <x:c r="U854" s="20"/>
      <x:c r="V854" s="19" t="str">
        <x:v>http://app.kuliskin.ru/</x:v>
      </x:c>
      <x:c r="W854" s="19" t="str">
        <x:v>https://pro.similarweb.com/#/digitalsuite/websiteanalysis/referrals/*/999/1m?webSource=Total&amp;selectedTab=incomingTraffic&amp;key=yookassa.ru</x:v>
      </x:c>
      <x:c r="X854" s="20" t="n">
        <x:f>IF(Q854="是",0,IFERROR(P854/SUMIFS($P$2:$P$964,$A$2:$A$964,A854,$Q$2:$Q$964,"否"),0))</x:f>
        <x:v>0.009082749187895367</x:v>
      </x:c>
      <x:c r="Y854" s="22" t="str">
        <x:f>IF(OR(M854="",U854=""),"未交叉",IF(M854*U854&gt;0,"同向",IF(M854*U854&lt;0,"背离","一侧持平")))</x:f>
        <x:v>未交叉</x:v>
      </x:c>
    </x:row>
    <x:row r="855">
      <x:c r="A855" s="18" t="str">
        <x:v>yookassa.ru</x:v>
      </x:c>
      <x:c r="B855" s="19" t="str">
        <x:v>支付商主域（混合流量）</x:v>
      </x:c>
      <x:c r="C855" s="19" t="str">
        <x:v>中</x:v>
      </x:c>
      <x:c r="D855" s="19" t="str">
        <x:v>Jul 2026</x:v>
      </x:c>
      <x:c r="E855" s="19" t="n">
        <x:v>30</x:v>
      </x:c>
      <x:c r="F855" s="19" t="str">
        <x:v>account.carcarlauncher.com</x:v>
      </x:c>
      <x:c r="G855" s="19" t="str">
        <x:v>Unknown</x:v>
      </x:c>
      <x:c r="H855" s="19" t="str">
        <x:v>其他/待核查</x:v>
      </x:c>
      <x:c r="I855" s="19" t="str">
        <x:v>Similarweb 未分类</x:v>
      </x:c>
      <x:c r="J855" s="19"/>
      <x:c r="K855" s="20" t="n">
        <x:v>0.0034999999999999996</x:v>
      </x:c>
      <x:c r="L855" s="19" t="str">
        <x:v>新出现</x:v>
      </x:c>
      <x:c r="M855" s="20"/>
      <x:c r="N855" s="21" t="n">
        <x:v>111963</x:v>
      </x:c>
      <x:c r="O855" s="21" t="n">
        <x:v>392</x:v>
      </x:c>
      <x:c r="P855" s="21" t="n">
        <x:f>ROUND(N855*K855,0)</x:f>
        <x:v>392</x:v>
      </x:c>
      <x:c r="Q855" s="19" t="str">
        <x:v>否</x:v>
      </x:c>
      <x:c r="R855" s="19" t="str"/>
      <x:c r="S855" s="19" t="n">
        <x:f>IF(Q855="是",0,MIN(10,2+IF(C855="高",2,1)+IF(K855&gt;=3%,3,IF(K855&gt;=1%,2,1))+IF(L855="新出现",2,IF(M855&gt;=100%,3,IF(M855&gt;0,2,0)))))</x:f>
        <x:v>6</x:v>
      </x:c>
      <x:c r="T855" s="21"/>
      <x:c r="U855" s="20"/>
      <x:c r="V855" s="19" t="str">
        <x:v>http://account.carcarlauncher.com/</x:v>
      </x:c>
      <x:c r="W855" s="19" t="str">
        <x:v>https://pro.similarweb.com/#/digitalsuite/websiteanalysis/referrals/*/999/1m?webSource=Total&amp;selectedTab=incomingTraffic&amp;key=yookassa.ru</x:v>
      </x:c>
      <x:c r="X855" s="20" t="n">
        <x:f>IF(Q855="是",0,IFERROR(P855/SUMIFS($P$2:$P$964,$A$2:$A$964,A855,$Q$2:$Q$964,"否"),0))</x:f>
        <x:v>0.008377500427423492</x:v>
      </x:c>
      <x:c r="Y855" s="22" t="str">
        <x:f>IF(OR(M855="",U855=""),"未交叉",IF(M855*U855&gt;0,"同向",IF(M855*U855&lt;0,"背离","一侧持平")))</x:f>
        <x:v>未交叉</x:v>
      </x:c>
    </x:row>
    <x:row r="856">
      <x:c r="A856" s="18" t="str">
        <x:v>yookassa.ru</x:v>
      </x:c>
      <x:c r="B856" s="19" t="str">
        <x:v>支付商主域（混合流量）</x:v>
      </x:c>
      <x:c r="C856" s="19" t="str">
        <x:v>中</x:v>
      </x:c>
      <x:c r="D856" s="19" t="str">
        <x:v>Jul 2026</x:v>
      </x:c>
      <x:c r="E856" s="19" t="n">
        <x:v>31</x:v>
      </x:c>
      <x:c r="F856" s="19" t="str">
        <x:v>vetworkshop.ru</x:v>
      </x:c>
      <x:c r="G856" s="19" t="str">
        <x:v>Unknown</x:v>
      </x:c>
      <x:c r="H856" s="19" t="str">
        <x:v>其他/待核查</x:v>
      </x:c>
      <x:c r="I856" s="19" t="str">
        <x:v>Similarweb 未分类</x:v>
      </x:c>
      <x:c r="J856" s="19" t="n">
        <x:v>1345065</x:v>
      </x:c>
      <x:c r="K856" s="20" t="n">
        <x:v>0.0025</x:v>
      </x:c>
      <x:c r="L856" s="19" t="str">
        <x:v>新出现</x:v>
      </x:c>
      <x:c r="M856" s="20"/>
      <x:c r="N856" s="21" t="n">
        <x:v>111963</x:v>
      </x:c>
      <x:c r="O856" s="21" t="n">
        <x:v>280</x:v>
      </x:c>
      <x:c r="P856" s="21" t="n">
        <x:f>ROUND(N856*K856,0)</x:f>
        <x:v>280</x:v>
      </x:c>
      <x:c r="Q856" s="19" t="str">
        <x:v>否</x:v>
      </x:c>
      <x:c r="R856" s="19" t="str"/>
      <x:c r="S856" s="19" t="n">
        <x:f>IF(Q856="是",0,MIN(10,2+IF(C856="高",2,1)+IF(K856&gt;=3%,3,IF(K856&gt;=1%,2,1))+IF(L856="新出现",2,IF(M856&gt;=100%,3,IF(M856&gt;0,2,0)))))</x:f>
        <x:v>6</x:v>
      </x:c>
      <x:c r="T856" s="21"/>
      <x:c r="U856" s="20"/>
      <x:c r="V856" s="19" t="str">
        <x:v>http://vetworkshop.ru/</x:v>
      </x:c>
      <x:c r="W856" s="19" t="str">
        <x:v>https://pro.similarweb.com/#/digitalsuite/websiteanalysis/referrals/*/999/1m?webSource=Total&amp;selectedTab=incomingTraffic&amp;key=yookassa.ru</x:v>
      </x:c>
      <x:c r="X856" s="20" t="n">
        <x:f>IF(Q856="是",0,IFERROR(P856/SUMIFS($P$2:$P$964,$A$2:$A$964,A856,$Q$2:$Q$964,"否"),0))</x:f>
        <x:v>0.005983928876731065</x:v>
      </x:c>
      <x:c r="Y856" s="22" t="str">
        <x:f>IF(OR(M856="",U856=""),"未交叉",IF(M856*U856&gt;0,"同向",IF(M856*U856&lt;0,"背离","一侧持平")))</x:f>
        <x:v>未交叉</x:v>
      </x:c>
    </x:row>
    <x:row r="857">
      <x:c r="A857" s="18" t="str">
        <x:v>yookassa.ru</x:v>
      </x:c>
      <x:c r="B857" s="19" t="str">
        <x:v>支付商主域（混合流量）</x:v>
      </x:c>
      <x:c r="C857" s="19" t="str">
        <x:v>中</x:v>
      </x:c>
      <x:c r="D857" s="19" t="str">
        <x:v>Jul 2026</x:v>
      </x:c>
      <x:c r="E857" s="19" t="n">
        <x:v>32</x:v>
      </x:c>
      <x:c r="F857" s="19" t="str">
        <x:v>caravaggio-shop.ru</x:v>
      </x:c>
      <x:c r="G857" s="19" t="str">
        <x:v>Unknown</x:v>
      </x:c>
      <x:c r="H857" s="19" t="str">
        <x:v>其他/待核查</x:v>
      </x:c>
      <x:c r="I857" s="19" t="str">
        <x:v>Similarweb 未分类</x:v>
      </x:c>
      <x:c r="J857" s="19"/>
      <x:c r="K857" s="20" t="n">
        <x:v>0.0025</x:v>
      </x:c>
      <x:c r="L857" s="19" t="str">
        <x:v>新出现</x:v>
      </x:c>
      <x:c r="M857" s="20"/>
      <x:c r="N857" s="21" t="n">
        <x:v>111963</x:v>
      </x:c>
      <x:c r="O857" s="21" t="n">
        <x:v>280</x:v>
      </x:c>
      <x:c r="P857" s="21" t="n">
        <x:f>ROUND(N857*K857,0)</x:f>
        <x:v>280</x:v>
      </x:c>
      <x:c r="Q857" s="19" t="str">
        <x:v>否</x:v>
      </x:c>
      <x:c r="R857" s="19" t="str"/>
      <x:c r="S857" s="19" t="n">
        <x:f>IF(Q857="是",0,MIN(10,2+IF(C857="高",2,1)+IF(K857&gt;=3%,3,IF(K857&gt;=1%,2,1))+IF(L857="新出现",2,IF(M857&gt;=100%,3,IF(M857&gt;0,2,0)))))</x:f>
        <x:v>6</x:v>
      </x:c>
      <x:c r="T857" s="21"/>
      <x:c r="U857" s="20"/>
      <x:c r="V857" s="19" t="str">
        <x:v>http://caravaggio-shop.ru/</x:v>
      </x:c>
      <x:c r="W857" s="19" t="str">
        <x:v>https://pro.similarweb.com/#/digitalsuite/websiteanalysis/referrals/*/999/1m?webSource=Total&amp;selectedTab=incomingTraffic&amp;key=yookassa.ru</x:v>
      </x:c>
      <x:c r="X857" s="20" t="n">
        <x:f>IF(Q857="是",0,IFERROR(P857/SUMIFS($P$2:$P$964,$A$2:$A$964,A857,$Q$2:$Q$964,"否"),0))</x:f>
        <x:v>0.005983928876731065</x:v>
      </x:c>
      <x:c r="Y857" s="22" t="str">
        <x:f>IF(OR(M857="",U857=""),"未交叉",IF(M857*U857&gt;0,"同向",IF(M857*U857&lt;0,"背离","一侧持平")))</x:f>
        <x:v>未交叉</x:v>
      </x:c>
    </x:row>
    <x:row r="858">
      <x:c r="A858" s="18" t="str">
        <x:v>yookassa.ru</x:v>
      </x:c>
      <x:c r="B858" s="19" t="str">
        <x:v>支付商主域（混合流量）</x:v>
      </x:c>
      <x:c r="C858" s="19" t="str">
        <x:v>中</x:v>
      </x:c>
      <x:c r="D858" s="19" t="str">
        <x:v>Jul 2026</x:v>
      </x:c>
      <x:c r="E858" s="19" t="n">
        <x:v>33</x:v>
      </x:c>
      <x:c r="F858" s="19" t="str">
        <x:v>ya.ru</x:v>
      </x:c>
      <x:c r="G858" s="19" t="str">
        <x:v>Search Engines</x:v>
      </x:c>
      <x:c r="H858" s="19" t="str">
        <x:v>营销、生产力与商业服务</x:v>
      </x:c>
      <x:c r="I858" s="19" t="str">
        <x:v>Similarweb 行业映射</x:v>
      </x:c>
      <x:c r="J858" s="19" t="n">
        <x:v>86</x:v>
      </x:c>
      <x:c r="K858" s="20" t="n">
        <x:v>0.0025</x:v>
      </x:c>
      <x:c r="L858" s="19" t="str">
        <x:v>下降</x:v>
      </x:c>
      <x:c r="M858" s="20" t="n">
        <x:v>-0.5523</x:v>
      </x:c>
      <x:c r="N858" s="21" t="n">
        <x:v>111963</x:v>
      </x:c>
      <x:c r="O858" s="21" t="n">
        <x:v>280</x:v>
      </x:c>
      <x:c r="P858" s="21" t="n">
        <x:f>ROUND(N858*K858,0)</x:f>
        <x:v>280</x:v>
      </x:c>
      <x:c r="Q858" s="19" t="str">
        <x:v>否</x:v>
      </x:c>
      <x:c r="R858" s="19" t="str"/>
      <x:c r="S858" s="19" t="n">
        <x:f>IF(Q858="是",0,MIN(10,2+IF(C858="高",2,1)+IF(K858&gt;=3%,3,IF(K858&gt;=1%,2,1))+IF(L858="新出现",2,IF(M858&gt;=100%,3,IF(M858&gt;0,2,0)))))</x:f>
        <x:v>4</x:v>
      </x:c>
      <x:c r="T858" s="21"/>
      <x:c r="U858" s="20"/>
      <x:c r="V858" s="19" t="str">
        <x:v>http://ya.ru/</x:v>
      </x:c>
      <x:c r="W858" s="19" t="str">
        <x:v>https://pro.similarweb.com/#/digitalsuite/websiteanalysis/referrals/*/999/1m?webSource=Total&amp;selectedTab=incomingTraffic&amp;key=yookassa.ru</x:v>
      </x:c>
      <x:c r="X858" s="20" t="n">
        <x:f>IF(Q858="是",0,IFERROR(P858/SUMIFS($P$2:$P$964,$A$2:$A$964,A858,$Q$2:$Q$964,"否"),0))</x:f>
        <x:v>0.005983928876731065</x:v>
      </x:c>
      <x:c r="Y858" s="22" t="str">
        <x:f>IF(OR(M858="",U858=""),"未交叉",IF(M858*U858&gt;0,"同向",IF(M858*U858&lt;0,"背离","一侧持平")))</x:f>
        <x:v>未交叉</x:v>
      </x:c>
    </x:row>
    <x:row r="859">
      <x:c r="A859" s="18" t="str">
        <x:v>yookassa.ru</x:v>
      </x:c>
      <x:c r="B859" s="19" t="str">
        <x:v>支付商主域（混合流量）</x:v>
      </x:c>
      <x:c r="C859" s="19" t="str">
        <x:v>中</x:v>
      </x:c>
      <x:c r="D859" s="19" t="str">
        <x:v>Jul 2026</x:v>
      </x:c>
      <x:c r="E859" s="19" t="n">
        <x:v>34</x:v>
      </x:c>
      <x:c r="F859" s="19" t="str">
        <x:v>etkainfo.ru</x:v>
      </x:c>
      <x:c r="G859" s="19" t="str">
        <x:v>Automotive Industry</x:v>
      </x:c>
      <x:c r="H859" s="19" t="str">
        <x:v>其他/待核查</x:v>
      </x:c>
      <x:c r="I859" s="19" t="str">
        <x:v>保守归类</x:v>
      </x:c>
      <x:c r="J859" s="19" t="n">
        <x:v>7812657</x:v>
      </x:c>
      <x:c r="K859" s="20" t="n">
        <x:v>0.0022</x:v>
      </x:c>
      <x:c r="L859" s="19" t="str">
        <x:v>下降</x:v>
      </x:c>
      <x:c r="M859" s="20" t="n">
        <x:v>-0.0832</x:v>
      </x:c>
      <x:c r="N859" s="21" t="n">
        <x:v>111963</x:v>
      </x:c>
      <x:c r="O859" s="21" t="n">
        <x:v>246</x:v>
      </x:c>
      <x:c r="P859" s="21" t="n">
        <x:f>ROUND(N859*K859,0)</x:f>
        <x:v>246</x:v>
      </x:c>
      <x:c r="Q859" s="19" t="str">
        <x:v>否</x:v>
      </x:c>
      <x:c r="R859" s="19" t="str"/>
      <x:c r="S859" s="19" t="n">
        <x:f>IF(Q859="是",0,MIN(10,2+IF(C859="高",2,1)+IF(K859&gt;=3%,3,IF(K859&gt;=1%,2,1))+IF(L859="新出现",2,IF(M859&gt;=100%,3,IF(M859&gt;0,2,0)))))</x:f>
        <x:v>4</x:v>
      </x:c>
      <x:c r="T859" s="21"/>
      <x:c r="U859" s="20"/>
      <x:c r="V859" s="19" t="str">
        <x:v>http://etkainfo.ru/</x:v>
      </x:c>
      <x:c r="W859" s="19" t="str">
        <x:v>https://pro.similarweb.com/#/digitalsuite/websiteanalysis/referrals/*/999/1m?webSource=Total&amp;selectedTab=incomingTraffic&amp;key=yookassa.ru</x:v>
      </x:c>
      <x:c r="X859" s="20" t="n">
        <x:f>IF(Q859="是",0,IFERROR(P859/SUMIFS($P$2:$P$964,$A$2:$A$964,A859,$Q$2:$Q$964,"否"),0))</x:f>
        <x:v>0.005257308941699436</x:v>
      </x:c>
      <x:c r="Y859" s="22" t="str">
        <x:f>IF(OR(M859="",U859=""),"未交叉",IF(M859*U859&gt;0,"同向",IF(M859*U859&lt;0,"背离","一侧持平")))</x:f>
        <x:v>未交叉</x:v>
      </x:c>
    </x:row>
    <x:row r="860">
      <x:c r="A860" s="18" t="str">
        <x:v>yookassa.ru</x:v>
      </x:c>
      <x:c r="B860" s="19" t="str">
        <x:v>支付商主域（混合流量）</x:v>
      </x:c>
      <x:c r="C860" s="19" t="str">
        <x:v>中</x:v>
      </x:c>
      <x:c r="D860" s="19" t="str">
        <x:v>Jul 2026</x:v>
      </x:c>
      <x:c r="E860" s="19" t="n">
        <x:v>35</x:v>
      </x:c>
      <x:c r="F860" s="19" t="str">
        <x:v>teamline-hr.com</x:v>
      </x:c>
      <x:c r="G860" s="19" t="str">
        <x:v>Unknown</x:v>
      </x:c>
      <x:c r="H860" s="19" t="str">
        <x:v>其他/待核查</x:v>
      </x:c>
      <x:c r="I860" s="19" t="str">
        <x:v>Similarweb 未分类</x:v>
      </x:c>
      <x:c r="J860" s="19"/>
      <x:c r="K860" s="20" t="n">
        <x:v>0.0022</x:v>
      </x:c>
      <x:c r="L860" s="19" t="str">
        <x:v>新出现</x:v>
      </x:c>
      <x:c r="M860" s="20"/>
      <x:c r="N860" s="21" t="n">
        <x:v>111963</x:v>
      </x:c>
      <x:c r="O860" s="21" t="n">
        <x:v>246</x:v>
      </x:c>
      <x:c r="P860" s="21" t="n">
        <x:f>ROUND(N860*K860,0)</x:f>
        <x:v>246</x:v>
      </x:c>
      <x:c r="Q860" s="19" t="str">
        <x:v>否</x:v>
      </x:c>
      <x:c r="R860" s="19" t="str"/>
      <x:c r="S860" s="19" t="n">
        <x:f>IF(Q860="是",0,MIN(10,2+IF(C860="高",2,1)+IF(K860&gt;=3%,3,IF(K860&gt;=1%,2,1))+IF(L860="新出现",2,IF(M860&gt;=100%,3,IF(M860&gt;0,2,0)))))</x:f>
        <x:v>6</x:v>
      </x:c>
      <x:c r="T860" s="21"/>
      <x:c r="U860" s="20"/>
      <x:c r="V860" s="19" t="str">
        <x:v>http://teamline-hr.com/</x:v>
      </x:c>
      <x:c r="W860" s="19" t="str">
        <x:v>https://pro.similarweb.com/#/digitalsuite/websiteanalysis/referrals/*/999/1m?webSource=Total&amp;selectedTab=incomingTraffic&amp;key=yookassa.ru</x:v>
      </x:c>
      <x:c r="X860" s="20" t="n">
        <x:f>IF(Q860="是",0,IFERROR(P860/SUMIFS($P$2:$P$964,$A$2:$A$964,A860,$Q$2:$Q$964,"否"),0))</x:f>
        <x:v>0.005257308941699436</x:v>
      </x:c>
      <x:c r="Y860" s="22" t="str">
        <x:f>IF(OR(M860="",U860=""),"未交叉",IF(M860*U860&gt;0,"同向",IF(M860*U860&lt;0,"背离","一侧持平")))</x:f>
        <x:v>未交叉</x:v>
      </x:c>
    </x:row>
    <x:row r="861">
      <x:c r="A861" s="18" t="str">
        <x:v>yookassa.ru</x:v>
      </x:c>
      <x:c r="B861" s="19" t="str">
        <x:v>支付商主域（混合流量）</x:v>
      </x:c>
      <x:c r="C861" s="19" t="str">
        <x:v>中</x:v>
      </x:c>
      <x:c r="D861" s="19" t="str">
        <x:v>Jul 2026</x:v>
      </x:c>
      <x:c r="E861" s="19" t="n">
        <x:v>36</x:v>
      </x:c>
      <x:c r="F861" s="19" t="str">
        <x:v>confluence.soft-labs.tech</x:v>
      </x:c>
      <x:c r="G861" s="19" t="str">
        <x:v>Unknown</x:v>
      </x:c>
      <x:c r="H861" s="19" t="str">
        <x:v>其他/待核查</x:v>
      </x:c>
      <x:c r="I861" s="19" t="str">
        <x:v>Similarweb 未分类</x:v>
      </x:c>
      <x:c r="J861" s="19"/>
      <x:c r="K861" s="20" t="n">
        <x:v>0.0022</x:v>
      </x:c>
      <x:c r="L861" s="19" t="str">
        <x:v>新出现</x:v>
      </x:c>
      <x:c r="M861" s="20"/>
      <x:c r="N861" s="21" t="n">
        <x:v>111963</x:v>
      </x:c>
      <x:c r="O861" s="21" t="n">
        <x:v>246</x:v>
      </x:c>
      <x:c r="P861" s="21" t="n">
        <x:f>ROUND(N861*K861,0)</x:f>
        <x:v>246</x:v>
      </x:c>
      <x:c r="Q861" s="19" t="str">
        <x:v>否</x:v>
      </x:c>
      <x:c r="R861" s="19" t="str"/>
      <x:c r="S861" s="19" t="n">
        <x:f>IF(Q861="是",0,MIN(10,2+IF(C861="高",2,1)+IF(K861&gt;=3%,3,IF(K861&gt;=1%,2,1))+IF(L861="新出现",2,IF(M861&gt;=100%,3,IF(M861&gt;0,2,0)))))</x:f>
        <x:v>6</x:v>
      </x:c>
      <x:c r="T861" s="21"/>
      <x:c r="U861" s="20"/>
      <x:c r="V861" s="19" t="str">
        <x:v>http://confluence.soft-labs.tech/</x:v>
      </x:c>
      <x:c r="W861" s="19" t="str">
        <x:v>https://pro.similarweb.com/#/digitalsuite/websiteanalysis/referrals/*/999/1m?webSource=Total&amp;selectedTab=incomingTraffic&amp;key=yookassa.ru</x:v>
      </x:c>
      <x:c r="X861" s="20" t="n">
        <x:f>IF(Q861="是",0,IFERROR(P861/SUMIFS($P$2:$P$964,$A$2:$A$964,A861,$Q$2:$Q$964,"否"),0))</x:f>
        <x:v>0.005257308941699436</x:v>
      </x:c>
      <x:c r="Y861" s="22" t="str">
        <x:f>IF(OR(M861="",U861=""),"未交叉",IF(M861*U861&gt;0,"同向",IF(M861*U861&lt;0,"背离","一侧持平")))</x:f>
        <x:v>未交叉</x:v>
      </x:c>
    </x:row>
    <x:row r="862">
      <x:c r="A862" s="18" t="str">
        <x:v>yookassa.ru</x:v>
      </x:c>
      <x:c r="B862" s="19" t="str">
        <x:v>支付商主域（混合流量）</x:v>
      </x:c>
      <x:c r="C862" s="19" t="str">
        <x:v>中</x:v>
      </x:c>
      <x:c r="D862" s="19" t="str">
        <x:v>Jul 2026</x:v>
      </x:c>
      <x:c r="E862" s="19" t="n">
        <x:v>37</x:v>
      </x:c>
      <x:c r="F862" s="19" t="str">
        <x:v>jira.webpower.ru</x:v>
      </x:c>
      <x:c r="G862" s="19" t="str">
        <x:v>Unknown</x:v>
      </x:c>
      <x:c r="H862" s="19" t="str">
        <x:v>其他/待核查</x:v>
      </x:c>
      <x:c r="I862" s="19" t="str">
        <x:v>Similarweb 未分类</x:v>
      </x:c>
      <x:c r="J862" s="19"/>
      <x:c r="K862" s="20" t="n">
        <x:v>0.0002</x:v>
      </x:c>
      <x:c r="L862" s="19" t="str">
        <x:v>新出现</x:v>
      </x:c>
      <x:c r="M862" s="20"/>
      <x:c r="N862" s="21" t="n">
        <x:v>111963</x:v>
      </x:c>
      <x:c r="O862" s="21" t="n">
        <x:v>22</x:v>
      </x:c>
      <x:c r="P862" s="21" t="n">
        <x:f>ROUND(N862*K862,0)</x:f>
        <x:v>22</x:v>
      </x:c>
      <x:c r="Q862" s="19" t="str">
        <x:v>否</x:v>
      </x:c>
      <x:c r="R862" s="19" t="str"/>
      <x:c r="S862" s="19" t="n">
        <x:f>IF(Q862="是",0,MIN(10,2+IF(C862="高",2,1)+IF(K862&gt;=3%,3,IF(K862&gt;=1%,2,1))+IF(L862="新出现",2,IF(M862&gt;=100%,3,IF(M862&gt;0,2,0)))))</x:f>
        <x:v>6</x:v>
      </x:c>
      <x:c r="T862" s="21"/>
      <x:c r="U862" s="20"/>
      <x:c r="V862" s="19" t="str">
        <x:v>http://jira.webpower.ru/</x:v>
      </x:c>
      <x:c r="W862" s="19" t="str">
        <x:v>https://pro.similarweb.com/#/digitalsuite/websiteanalysis/referrals/*/999/1m?webSource=Total&amp;selectedTab=incomingTraffic&amp;key=yookassa.ru</x:v>
      </x:c>
      <x:c r="X862" s="20" t="n">
        <x:f>IF(Q862="是",0,IFERROR(P862/SUMIFS($P$2:$P$964,$A$2:$A$964,A862,$Q$2:$Q$964,"否"),0))</x:f>
        <x:v>0.0004701658403145837</x:v>
      </x:c>
      <x:c r="Y862" s="22" t="str">
        <x:f>IF(OR(M862="",U862=""),"未交叉",IF(M862*U862&gt;0,"同向",IF(M862*U862&lt;0,"背离","一侧持平")))</x:f>
        <x:v>未交叉</x:v>
      </x:c>
    </x:row>
    <x:row r="863">
      <x:c r="A863" s="18" t="str">
        <x:v>yookassa.ru</x:v>
      </x:c>
      <x:c r="B863" s="19" t="str">
        <x:v>支付商主域（混合流量）</x:v>
      </x:c>
      <x:c r="C863" s="19" t="str">
        <x:v>中</x:v>
      </x:c>
      <x:c r="D863" s="19" t="str">
        <x:v>Jul 2026</x:v>
      </x:c>
      <x:c r="E863" s="19" t="n">
        <x:v>38</x:v>
      </x:c>
      <x:c r="F863" s="19" t="str">
        <x:v>app.localtest.me</x:v>
      </x:c>
      <x:c r="G863" s="19" t="str">
        <x:v>Unknown</x:v>
      </x:c>
      <x:c r="H863" s="19" t="str">
        <x:v>其他/待核查</x:v>
      </x:c>
      <x:c r="I863" s="19" t="str">
        <x:v>Similarweb 未分类</x:v>
      </x:c>
      <x:c r="J863" s="19"/>
      <x:c r="K863" s="20" t="n">
        <x:v>0.0001</x:v>
      </x:c>
      <x:c r="L863" s="19" t="str">
        <x:v>新出现</x:v>
      </x:c>
      <x:c r="M863" s="20"/>
      <x:c r="N863" s="21" t="n">
        <x:v>111963</x:v>
      </x:c>
      <x:c r="O863" s="21" t="n">
        <x:v>11</x:v>
      </x:c>
      <x:c r="P863" s="21" t="n">
        <x:f>ROUND(N863*K863,0)</x:f>
        <x:v>11</x:v>
      </x:c>
      <x:c r="Q863" s="19" t="str">
        <x:v>否</x:v>
      </x:c>
      <x:c r="R863" s="19" t="str"/>
      <x:c r="S863" s="19" t="n">
        <x:f>IF(Q863="是",0,MIN(10,2+IF(C863="高",2,1)+IF(K863&gt;=3%,3,IF(K863&gt;=1%,2,1))+IF(L863="新出现",2,IF(M863&gt;=100%,3,IF(M863&gt;0,2,0)))))</x:f>
        <x:v>6</x:v>
      </x:c>
      <x:c r="T863" s="21"/>
      <x:c r="U863" s="20"/>
      <x:c r="V863" s="19" t="str">
        <x:v>http://app.localtest.me/</x:v>
      </x:c>
      <x:c r="W863" s="19" t="str">
        <x:v>https://pro.similarweb.com/#/digitalsuite/websiteanalysis/referrals/*/999/1m?webSource=Total&amp;selectedTab=incomingTraffic&amp;key=yookassa.ru</x:v>
      </x:c>
      <x:c r="X863" s="20" t="n">
        <x:f>IF(Q863="是",0,IFERROR(P863/SUMIFS($P$2:$P$964,$A$2:$A$964,A863,$Q$2:$Q$964,"否"),0))</x:f>
        <x:v>0.00023508292015729184</x:v>
      </x:c>
      <x:c r="Y863" s="22" t="str">
        <x:f>IF(OR(M863="",U863=""),"未交叉",IF(M863*U863&gt;0,"同向",IF(M863*U863&lt;0,"背离","一侧持平")))</x:f>
        <x:v>未交叉</x:v>
      </x:c>
    </x:row>
    <x:row r="864">
      <x:c r="A864" s="18" t="str">
        <x:v>yookassa.ru</x:v>
      </x:c>
      <x:c r="B864" s="19" t="str">
        <x:v>支付商主域（混合流量）</x:v>
      </x:c>
      <x:c r="C864" s="19" t="str">
        <x:v>中</x:v>
      </x:c>
      <x:c r="D864" s="19" t="str">
        <x:v>Jul 2026</x:v>
      </x:c>
      <x:c r="E864" s="19" t="n">
        <x:v>39</x:v>
      </x:c>
      <x:c r="F864" s="19" t="str">
        <x:v>alba-s.ru</x:v>
      </x:c>
      <x:c r="G864" s="19" t="str">
        <x:v>Health</x:v>
      </x:c>
      <x:c r="H864" s="19" t="str">
        <x:v>健康、生活方式与消费服务</x:v>
      </x:c>
      <x:c r="I864" s="19" t="str">
        <x:v>Similarweb 行业映射</x:v>
      </x:c>
      <x:c r="J864" s="19" t="n">
        <x:v>11547715</x:v>
      </x:c>
      <x:c r="K864" s="20" t="n">
        <x:v>0.0001</x:v>
      </x:c>
      <x:c r="L864" s="19" t="str">
        <x:v>新出现</x:v>
      </x:c>
      <x:c r="M864" s="20"/>
      <x:c r="N864" s="21" t="n">
        <x:v>111963</x:v>
      </x:c>
      <x:c r="O864" s="21" t="n">
        <x:v>11</x:v>
      </x:c>
      <x:c r="P864" s="21" t="n">
        <x:f>ROUND(N864*K864,0)</x:f>
        <x:v>11</x:v>
      </x:c>
      <x:c r="Q864" s="19" t="str">
        <x:v>否</x:v>
      </x:c>
      <x:c r="R864" s="19" t="str"/>
      <x:c r="S864" s="19" t="n">
        <x:f>IF(Q864="是",0,MIN(10,2+IF(C864="高",2,1)+IF(K864&gt;=3%,3,IF(K864&gt;=1%,2,1))+IF(L864="新出现",2,IF(M864&gt;=100%,3,IF(M864&gt;0,2,0)))))</x:f>
        <x:v>6</x:v>
      </x:c>
      <x:c r="T864" s="21"/>
      <x:c r="U864" s="20"/>
      <x:c r="V864" s="19" t="str">
        <x:v>http://alba-s.ru/</x:v>
      </x:c>
      <x:c r="W864" s="19" t="str">
        <x:v>https://pro.similarweb.com/#/digitalsuite/websiteanalysis/referrals/*/999/1m?webSource=Total&amp;selectedTab=incomingTraffic&amp;key=yookassa.ru</x:v>
      </x:c>
      <x:c r="X864" s="20" t="n">
        <x:f>IF(Q864="是",0,IFERROR(P864/SUMIFS($P$2:$P$964,$A$2:$A$964,A864,$Q$2:$Q$964,"否"),0))</x:f>
        <x:v>0.00023508292015729184</x:v>
      </x:c>
      <x:c r="Y864" s="22" t="str">
        <x:f>IF(OR(M864="",U864=""),"未交叉",IF(M864*U864&gt;0,"同向",IF(M864*U864&lt;0,"背离","一侧持平")))</x:f>
        <x:v>未交叉</x:v>
      </x:c>
    </x:row>
    <x:row r="865">
      <x:c r="A865" s="18" t="str">
        <x:v>pages.razorpay.com</x:v>
      </x:c>
      <x:c r="B865" s="19" t="str">
        <x:v>专用支付/结账入口</x:v>
      </x:c>
      <x:c r="C865" s="19" t="str">
        <x:v>高</x:v>
      </x:c>
      <x:c r="D865" s="19" t="str">
        <x:v>Jul 2026</x:v>
      </x:c>
      <x:c r="E865" s="19" t="n">
        <x:v>1</x:v>
      </x:c>
      <x:c r="F865" s="19" t="str">
        <x:v>aifilmmakers.in</x:v>
      </x:c>
      <x:c r="G865" s="19" t="str">
        <x:v>Unknown</x:v>
      </x:c>
      <x:c r="H865" s="19" t="str">
        <x:v>教育、课程与知识产品</x:v>
      </x:c>
      <x:c r="I865" s="19" t="str">
        <x:v>域名人工识别</x:v>
      </x:c>
      <x:c r="J865" s="19" t="n">
        <x:v>207937</x:v>
      </x:c>
      <x:c r="K865" s="20" t="n">
        <x:v>0.0907</x:v>
      </x:c>
      <x:c r="L865" s="19" t="str">
        <x:v>上升</x:v>
      </x:c>
      <x:c r="M865" s="20" t="n">
        <x:v>50</x:v>
      </x:c>
      <x:c r="N865" s="21" t="n">
        <x:v>1387000</x:v>
      </x:c>
      <x:c r="O865" s="21" t="n">
        <x:v>125801</x:v>
      </x:c>
      <x:c r="P865" s="21" t="n">
        <x:f>ROUND(N865*K865,0)</x:f>
        <x:v>125801</x:v>
      </x:c>
      <x:c r="Q865" s="19" t="str">
        <x:v>否</x:v>
      </x:c>
      <x:c r="R865" s="19" t="str"/>
      <x:c r="S865" s="19" t="n">
        <x:f>IF(Q865="是",0,MIN(10,2+IF(C865="高",2,1)+IF(K865&gt;=3%,3,IF(K865&gt;=1%,2,1))+IF(L865="新出现",2,IF(M865&gt;=100%,3,IF(M865&gt;0,2,0)))))</x:f>
        <x:v>10</x:v>
      </x:c>
      <x:c r="T865" s="21" t="n">
        <x:v>248016</x:v>
      </x:c>
      <x:c r="U865" s="20" t="n">
        <x:v>180.10029999999998</x:v>
      </x:c>
      <x:c r="V865" s="19" t="str">
        <x:v>http://aifilmmakers.in/</x:v>
      </x:c>
      <x:c r="W865" s="19" t="str">
        <x:v>https://pro.similarweb.com/#/digitalsuite/websiteanalysis/referrals/*/999/1m?webSource=Total&amp;selectedTab=incomingTraffic&amp;key=pages.razorpay.com</x:v>
      </x:c>
      <x:c r="X865" s="20" t="n">
        <x:f>IF(Q865="是",0,IFERROR(P865/SUMIFS($P$2:$P$964,$A$2:$A$964,A865,$Q$2:$Q$964,"否"),0))</x:f>
        <x:v>0.12918420514863768</x:v>
      </x:c>
      <x:c r="Y865" s="22" t="str">
        <x:f>IF(OR(M865="",U865=""),"未交叉",IF(M865*U865&gt;0,"同向",IF(M865*U865&lt;0,"背离","一侧持平")))</x:f>
        <x:v>同向</x:v>
      </x:c>
    </x:row>
    <x:row r="866">
      <x:c r="A866" s="18" t="str">
        <x:v>pages.razorpay.com</x:v>
      </x:c>
      <x:c r="B866" s="19" t="str">
        <x:v>专用支付/结账入口</x:v>
      </x:c>
      <x:c r="C866" s="19" t="str">
        <x:v>高</x:v>
      </x:c>
      <x:c r="D866" s="19" t="str">
        <x:v>Jul 2026</x:v>
      </x:c>
      <x:c r="E866" s="19" t="n">
        <x:v>2</x:v>
      </x:c>
      <x:c r="F866" s="19" t="str">
        <x:v>aifilmmaker.in</x:v>
      </x:c>
      <x:c r="G866" s="19" t="str">
        <x:v>Unknown</x:v>
      </x:c>
      <x:c r="H866" s="19" t="str">
        <x:v>教育、课程与知识产品</x:v>
      </x:c>
      <x:c r="I866" s="19" t="str">
        <x:v>域名人工识别</x:v>
      </x:c>
      <x:c r="J866" s="19" t="n">
        <x:v>696565</x:v>
      </x:c>
      <x:c r="K866" s="20" t="n">
        <x:v>0.08039999999999999</x:v>
      </x:c>
      <x:c r="L866" s="19" t="str">
        <x:v>上升</x:v>
      </x:c>
      <x:c r="M866" s="20" t="n">
        <x:v>6.8848</x:v>
      </x:c>
      <x:c r="N866" s="21" t="n">
        <x:v>1387000</x:v>
      </x:c>
      <x:c r="O866" s="21" t="n">
        <x:v>111515</x:v>
      </x:c>
      <x:c r="P866" s="21" t="n">
        <x:f>ROUND(N866*K866,0)</x:f>
        <x:v>111515</x:v>
      </x:c>
      <x:c r="Q866" s="19" t="str">
        <x:v>否</x:v>
      </x:c>
      <x:c r="R866" s="19" t="str"/>
      <x:c r="S866" s="19" t="n">
        <x:f>IF(Q866="是",0,MIN(10,2+IF(C866="高",2,1)+IF(K866&gt;=3%,3,IF(K866&gt;=1%,2,1))+IF(L866="新出现",2,IF(M866&gt;=100%,3,IF(M866&gt;0,2,0)))))</x:f>
        <x:v>10</x:v>
      </x:c>
      <x:c r="T866" s="21"/>
      <x:c r="U866" s="20"/>
      <x:c r="V866" s="19" t="str">
        <x:v>http://aifilmmaker.in/</x:v>
      </x:c>
      <x:c r="W866" s="19" t="str">
        <x:v>https://pro.similarweb.com/#/digitalsuite/websiteanalysis/referrals/*/999/1m?webSource=Total&amp;selectedTab=incomingTraffic&amp;key=pages.razorpay.com</x:v>
      </x:c>
      <x:c r="X866" s="20" t="n">
        <x:f>IF(Q866="是",0,IFERROR(P866/SUMIFS($P$2:$P$964,$A$2:$A$964,A866,$Q$2:$Q$964,"否"),0))</x:f>
        <x:v>0.11451400733817958</x:v>
      </x:c>
      <x:c r="Y866" s="22" t="str">
        <x:f>IF(OR(M866="",U866=""),"未交叉",IF(M866*U866&gt;0,"同向",IF(M866*U866&lt;0,"背离","一侧持平")))</x:f>
        <x:v>未交叉</x:v>
      </x:c>
    </x:row>
    <x:row r="867">
      <x:c r="A867" s="18" t="str">
        <x:v>pages.razorpay.com</x:v>
      </x:c>
      <x:c r="B867" s="19" t="str">
        <x:v>专用支付/结账入口</x:v>
      </x:c>
      <x:c r="C867" s="19" t="str">
        <x:v>高</x:v>
      </x:c>
      <x:c r="D867" s="19" t="str">
        <x:v>Jul 2026</x:v>
      </x:c>
      <x:c r="E867" s="19" t="n">
        <x:v>3</x:v>
      </x:c>
      <x:c r="F867" s="19" t="str">
        <x:v>rzp.io</x:v>
      </x:c>
      <x:c r="G867" s="19" t="str">
        <x:v>Accounting and Auditing</x:v>
      </x:c>
      <x:c r="H867" s="19" t="str">
        <x:v>其他/待核查</x:v>
      </x:c>
      <x:c r="I867" s="19" t="str">
        <x:v>保守归类</x:v>
      </x:c>
      <x:c r="J867" s="19" t="n">
        <x:v>33281</x:v>
      </x:c>
      <x:c r="K867" s="20" t="n">
        <x:v>0.07719999999999999</x:v>
      </x:c>
      <x:c r="L867" s="19" t="str">
        <x:v>新出现</x:v>
      </x:c>
      <x:c r="M867" s="20"/>
      <x:c r="N867" s="21" t="n">
        <x:v>1387000</x:v>
      </x:c>
      <x:c r="O867" s="21" t="n">
        <x:v>107076</x:v>
      </x:c>
      <x:c r="P867" s="21" t="n">
        <x:f>ROUND(N867*K867,0)</x:f>
        <x:v>107076</x:v>
      </x:c>
      <x:c r="Q867" s="19" t="str">
        <x:v>是</x:v>
      </x:c>
      <x:c r="R867" s="19" t="str">
        <x:v>支付平台、自引荐或流量中介</x:v>
      </x:c>
      <x:c r="S867" s="19" t="n">
        <x:f>IF(Q867="是",0,MIN(10,2+IF(C867="高",2,1)+IF(K867&gt;=3%,3,IF(K867&gt;=1%,2,1))+IF(L867="新出现",2,IF(M867&gt;=100%,3,IF(M867&gt;0,2,0)))))</x:f>
        <x:v>0</x:v>
      </x:c>
      <x:c r="T867" s="21"/>
      <x:c r="U867" s="20"/>
      <x:c r="V867" s="19" t="str">
        <x:v>http://rzp.io/</x:v>
      </x:c>
      <x:c r="W867" s="19" t="str">
        <x:v>https://pro.similarweb.com/#/digitalsuite/websiteanalysis/referrals/*/999/1m?webSource=Total&amp;selectedTab=incomingTraffic&amp;key=pages.razorpay.com</x:v>
      </x:c>
      <x:c r="X867" s="20" t="n">
        <x:f>IF(Q867="是",0,IFERROR(P867/SUMIFS($P$2:$P$964,$A$2:$A$964,A867,$Q$2:$Q$964,"否"),0))</x:f>
        <x:v>0</x:v>
      </x:c>
      <x:c r="Y867" s="22" t="str">
        <x:f>IF(OR(M867="",U867=""),"未交叉",IF(M867*U867&gt;0,"同向",IF(M867*U867&lt;0,"背离","一侧持平")))</x:f>
        <x:v>未交叉</x:v>
      </x:c>
    </x:row>
    <x:row r="868">
      <x:c r="A868" s="18" t="str">
        <x:v>pages.razorpay.com</x:v>
      </x:c>
      <x:c r="B868" s="19" t="str">
        <x:v>专用支付/结账入口</x:v>
      </x:c>
      <x:c r="C868" s="19" t="str">
        <x:v>高</x:v>
      </x:c>
      <x:c r="D868" s="19" t="str">
        <x:v>Jul 2026</x:v>
      </x:c>
      <x:c r="E868" s="19" t="n">
        <x:v>4</x:v>
      </x:c>
      <x:c r="F868" s="19" t="str">
        <x:v>Referral</x:v>
      </x:c>
      <x:c r="G868" s="19" t="str">
        <x:v>Unknown</x:v>
      </x:c>
      <x:c r="H868" s="19" t="str">
        <x:v>其他/待核查</x:v>
      </x:c>
      <x:c r="I868" s="19" t="str">
        <x:v>Similarweb 未分类</x:v>
      </x:c>
      <x:c r="J868" s="19"/>
      <x:c r="K868" s="20" t="n">
        <x:v>0.0692</x:v>
      </x:c>
      <x:c r="L868" s="19" t="str">
        <x:v>上升</x:v>
      </x:c>
      <x:c r="M868" s="20" t="n">
        <x:v>0.20579999999999998</x:v>
      </x:c>
      <x:c r="N868" s="21" t="n">
        <x:v>1387000</x:v>
      </x:c>
      <x:c r="O868" s="21" t="n">
        <x:v>95980</x:v>
      </x:c>
      <x:c r="P868" s="21" t="n">
        <x:f>ROUND(N868*K868,0)</x:f>
        <x:v>95980</x:v>
      </x:c>
      <x:c r="Q868" s="19" t="str">
        <x:v>是</x:v>
      </x:c>
      <x:c r="R868" s="19" t="str">
        <x:v>无效/聚合标签</x:v>
      </x:c>
      <x:c r="S868" s="19" t="n">
        <x:f>IF(Q868="是",0,MIN(10,2+IF(C868="高",2,1)+IF(K868&gt;=3%,3,IF(K868&gt;=1%,2,1))+IF(L868="新出现",2,IF(M868&gt;=100%,3,IF(M868&gt;0,2,0)))))</x:f>
        <x:v>0</x:v>
      </x:c>
      <x:c r="T868" s="21"/>
      <x:c r="U868" s="20"/>
      <x:c r="V868" s="19" t="str">
        <x:v>http://referral/</x:v>
      </x:c>
      <x:c r="W868" s="19" t="str">
        <x:v>https://pro.similarweb.com/#/digitalsuite/websiteanalysis/referrals/*/999/1m?webSource=Total&amp;selectedTab=incomingTraffic&amp;key=pages.razorpay.com</x:v>
      </x:c>
      <x:c r="X868" s="20" t="n">
        <x:f>IF(Q868="是",0,IFERROR(P868/SUMIFS($P$2:$P$964,$A$2:$A$964,A868,$Q$2:$Q$964,"否"),0))</x:f>
        <x:v>0</x:v>
      </x:c>
      <x:c r="Y868" s="22" t="str">
        <x:f>IF(OR(M868="",U868=""),"未交叉",IF(M868*U868&gt;0,"同向",IF(M868*U868&lt;0,"背离","一侧持平")))</x:f>
        <x:v>未交叉</x:v>
      </x:c>
    </x:row>
    <x:row r="869">
      <x:c r="A869" s="18" t="str">
        <x:v>pages.razorpay.com</x:v>
      </x:c>
      <x:c r="B869" s="19" t="str">
        <x:v>专用支付/结账入口</x:v>
      </x:c>
      <x:c r="C869" s="19" t="str">
        <x:v>高</x:v>
      </x:c>
      <x:c r="D869" s="19" t="str">
        <x:v>Jul 2026</x:v>
      </x:c>
      <x:c r="E869" s="19" t="n">
        <x:v>5</x:v>
      </x:c>
      <x:c r="F869" s="19" t="str">
        <x:v>webinar.abhinavvdubeyy.com</x:v>
      </x:c>
      <x:c r="G869" s="19" t="str">
        <x:v>Computers Electronics and Technology</x:v>
      </x:c>
      <x:c r="H869" s="19" t="str">
        <x:v>教育、课程与知识产品</x:v>
      </x:c>
      <x:c r="I869" s="19" t="str">
        <x:v>域名人工识别</x:v>
      </x:c>
      <x:c r="J869" s="19"/>
      <x:c r="K869" s="20" t="n">
        <x:v>0.06559999999999999</x:v>
      </x:c>
      <x:c r="L869" s="19" t="str">
        <x:v>上升</x:v>
      </x:c>
      <x:c r="M869" s="20" t="n">
        <x:v>1.1934</x:v>
      </x:c>
      <x:c r="N869" s="21" t="n">
        <x:v>1387000</x:v>
      </x:c>
      <x:c r="O869" s="21" t="n">
        <x:v>90987</x:v>
      </x:c>
      <x:c r="P869" s="21" t="n">
        <x:f>ROUND(N869*K869,0)</x:f>
        <x:v>90987</x:v>
      </x:c>
      <x:c r="Q869" s="19" t="str">
        <x:v>否</x:v>
      </x:c>
      <x:c r="R869" s="19" t="str"/>
      <x:c r="S869" s="19" t="n">
        <x:f>IF(Q869="是",0,MIN(10,2+IF(C869="高",2,1)+IF(K869&gt;=3%,3,IF(K869&gt;=1%,2,1))+IF(L869="新出现",2,IF(M869&gt;=100%,3,IF(M869&gt;0,2,0)))))</x:f>
        <x:v>10</x:v>
      </x:c>
      <x:c r="T869" s="21"/>
      <x:c r="U869" s="20"/>
      <x:c r="V869" s="19" t="str">
        <x:v>http://webinar.abhinavvdubeyy.com/</x:v>
      </x:c>
      <x:c r="W869" s="19" t="str">
        <x:v>https://pro.similarweb.com/#/digitalsuite/websiteanalysis/referrals/*/999/1m?webSource=Total&amp;selectedTab=incomingTraffic&amp;key=pages.razorpay.com</x:v>
      </x:c>
      <x:c r="X869" s="20" t="n">
        <x:f>IF(Q869="是",0,IFERROR(P869/SUMIFS($P$2:$P$964,$A$2:$A$964,A869,$Q$2:$Q$964,"否"),0))</x:f>
        <x:v>0.09343394149378062</x:v>
      </x:c>
      <x:c r="Y869" s="22" t="str">
        <x:f>IF(OR(M869="",U869=""),"未交叉",IF(M869*U869&gt;0,"同向",IF(M869*U869&lt;0,"背离","一侧持平")))</x:f>
        <x:v>未交叉</x:v>
      </x:c>
    </x:row>
    <x:row r="870">
      <x:c r="A870" s="18" t="str">
        <x:v>pages.razorpay.com</x:v>
      </x:c>
      <x:c r="B870" s="19" t="str">
        <x:v>专用支付/结账入口</x:v>
      </x:c>
      <x:c r="C870" s="19" t="str">
        <x:v>高</x:v>
      </x:c>
      <x:c r="D870" s="19" t="str">
        <x:v>Jul 2026</x:v>
      </x:c>
      <x:c r="E870" s="19" t="n">
        <x:v>6</x:v>
      </x:c>
      <x:c r="F870" s="19" t="str">
        <x:v>swadinstitute.com</x:v>
      </x:c>
      <x:c r="G870" s="19" t="str">
        <x:v>Restaurants and Delivery</x:v>
      </x:c>
      <x:c r="H870" s="19" t="str">
        <x:v>教育、课程与知识产品</x:v>
      </x:c>
      <x:c r="I870" s="19" t="str">
        <x:v>域名人工识别</x:v>
      </x:c>
      <x:c r="J870" s="19" t="n">
        <x:v>141786</x:v>
      </x:c>
      <x:c r="K870" s="20" t="n">
        <x:v>0.0352</x:v>
      </x:c>
      <x:c r="L870" s="19" t="str">
        <x:v>上升</x:v>
      </x:c>
      <x:c r="M870" s="20" t="n">
        <x:v>9.4275</x:v>
      </x:c>
      <x:c r="N870" s="21" t="n">
        <x:v>1387000</x:v>
      </x:c>
      <x:c r="O870" s="21" t="n">
        <x:v>48822</x:v>
      </x:c>
      <x:c r="P870" s="21" t="n">
        <x:f>ROUND(N870*K870,0)</x:f>
        <x:v>48822</x:v>
      </x:c>
      <x:c r="Q870" s="19" t="str">
        <x:v>否</x:v>
      </x:c>
      <x:c r="R870" s="19" t="str"/>
      <x:c r="S870" s="19" t="n">
        <x:f>IF(Q870="是",0,MIN(10,2+IF(C870="高",2,1)+IF(K870&gt;=3%,3,IF(K870&gt;=1%,2,1))+IF(L870="新出现",2,IF(M870&gt;=100%,3,IF(M870&gt;0,2,0)))))</x:f>
        <x:v>10</x:v>
      </x:c>
      <x:c r="T870" s="21"/>
      <x:c r="U870" s="20"/>
      <x:c r="V870" s="19" t="str">
        <x:v>http://swadinstitute.com/</x:v>
      </x:c>
      <x:c r="W870" s="19" t="str">
        <x:v>https://pro.similarweb.com/#/digitalsuite/websiteanalysis/referrals/*/999/1m?webSource=Total&amp;selectedTab=incomingTraffic&amp;key=pages.razorpay.com</x:v>
      </x:c>
      <x:c r="X870" s="20" t="n">
        <x:f>IF(Q870="是",0,IFERROR(P870/SUMIFS($P$2:$P$964,$A$2:$A$964,A870,$Q$2:$Q$964,"否"),0))</x:f>
        <x:v>0.05013498512545042</x:v>
      </x:c>
      <x:c r="Y870" s="22" t="str">
        <x:f>IF(OR(M870="",U870=""),"未交叉",IF(M870*U870&gt;0,"同向",IF(M870*U870&lt;0,"背离","一侧持平")))</x:f>
        <x:v>未交叉</x:v>
      </x:c>
    </x:row>
    <x:row r="871">
      <x:c r="A871" s="18" t="str">
        <x:v>pages.razorpay.com</x:v>
      </x:c>
      <x:c r="B871" s="19" t="str">
        <x:v>专用支付/结账入口</x:v>
      </x:c>
      <x:c r="C871" s="19" t="str">
        <x:v>高</x:v>
      </x:c>
      <x:c r="D871" s="19" t="str">
        <x:v>Jul 2026</x:v>
      </x:c>
      <x:c r="E871" s="19" t="n">
        <x:v>7</x:v>
      </x:c>
      <x:c r="F871" s="19" t="str">
        <x:v>systeme.io</x:v>
      </x:c>
      <x:c r="G871" s="19" t="str">
        <x:v>Computers Electronics and Technology</x:v>
      </x:c>
      <x:c r="H871" s="19" t="str">
        <x:v>营销、电商与商业 SaaS</x:v>
      </x:c>
      <x:c r="I871" s="19" t="str">
        <x:v>域名人工识别</x:v>
      </x:c>
      <x:c r="J871" s="19" t="n">
        <x:v>7856</x:v>
      </x:c>
      <x:c r="K871" s="20" t="n">
        <x:v>0.0321</x:v>
      </x:c>
      <x:c r="L871" s="19" t="str">
        <x:v>上升</x:v>
      </x:c>
      <x:c r="M871" s="20" t="n">
        <x:v>0.20629999999999998</x:v>
      </x:c>
      <x:c r="N871" s="21" t="n">
        <x:v>1387000</x:v>
      </x:c>
      <x:c r="O871" s="21" t="n">
        <x:v>44523</x:v>
      </x:c>
      <x:c r="P871" s="21" t="n">
        <x:f>ROUND(N871*K871,0)</x:f>
        <x:v>44523</x:v>
      </x:c>
      <x:c r="Q871" s="19" t="str">
        <x:v>否</x:v>
      </x:c>
      <x:c r="R871" s="19" t="str"/>
      <x:c r="S871" s="19" t="n">
        <x:f>IF(Q871="是",0,MIN(10,2+IF(C871="高",2,1)+IF(K871&gt;=3%,3,IF(K871&gt;=1%,2,1))+IF(L871="新出现",2,IF(M871&gt;=100%,3,IF(M871&gt;0,2,0)))))</x:f>
        <x:v>9</x:v>
      </x:c>
      <x:c r="T871" s="21"/>
      <x:c r="U871" s="20"/>
      <x:c r="V871" s="19" t="str">
        <x:v>http://systeme.io/</x:v>
      </x:c>
      <x:c r="W871" s="19" t="str">
        <x:v>https://pro.similarweb.com/#/digitalsuite/websiteanalysis/referrals/*/999/1m?webSource=Total&amp;selectedTab=incomingTraffic&amp;key=pages.razorpay.com</x:v>
      </x:c>
      <x:c r="X871" s="20" t="n">
        <x:f>IF(Q871="是",0,IFERROR(P871/SUMIFS($P$2:$P$964,$A$2:$A$964,A871,$Q$2:$Q$964,"否"),0))</x:f>
        <x:v>0.04572037079063596</x:v>
      </x:c>
      <x:c r="Y871" s="22" t="str">
        <x:f>IF(OR(M871="",U871=""),"未交叉",IF(M871*U871&gt;0,"同向",IF(M871*U871&lt;0,"背离","一侧持平")))</x:f>
        <x:v>未交叉</x:v>
      </x:c>
    </x:row>
    <x:row r="872">
      <x:c r="A872" s="18" t="str">
        <x:v>pages.razorpay.com</x:v>
      </x:c>
      <x:c r="B872" s="19" t="str">
        <x:v>专用支付/结账入口</x:v>
      </x:c>
      <x:c r="C872" s="19" t="str">
        <x:v>高</x:v>
      </x:c>
      <x:c r="D872" s="19" t="str">
        <x:v>Jul 2026</x:v>
      </x:c>
      <x:c r="E872" s="19" t="n">
        <x:v>8</x:v>
      </x:c>
      <x:c r="F872" s="19" t="str">
        <x:v>eastindiatour.com</x:v>
      </x:c>
      <x:c r="G872" s="19" t="str">
        <x:v>Unknown</x:v>
      </x:c>
      <x:c r="H872" s="19" t="str">
        <x:v>其他/待核查</x:v>
      </x:c>
      <x:c r="I872" s="19" t="str">
        <x:v>Similarweb 未分类</x:v>
      </x:c>
      <x:c r="J872" s="19" t="n">
        <x:v>2592625</x:v>
      </x:c>
      <x:c r="K872" s="20" t="n">
        <x:v>0.0184</x:v>
      </x:c>
      <x:c r="L872" s="19" t="str">
        <x:v>下降</x:v>
      </x:c>
      <x:c r="M872" s="20" t="n">
        <x:v>-0.3221</x:v>
      </x:c>
      <x:c r="N872" s="21" t="n">
        <x:v>1387000</x:v>
      </x:c>
      <x:c r="O872" s="21" t="n">
        <x:v>25521</x:v>
      </x:c>
      <x:c r="P872" s="21" t="n">
        <x:f>ROUND(N872*K872,0)</x:f>
        <x:v>25521</x:v>
      </x:c>
      <x:c r="Q872" s="19" t="str">
        <x:v>否</x:v>
      </x:c>
      <x:c r="R872" s="19" t="str"/>
      <x:c r="S872" s="19" t="n">
        <x:f>IF(Q872="是",0,MIN(10,2+IF(C872="高",2,1)+IF(K872&gt;=3%,3,IF(K872&gt;=1%,2,1))+IF(L872="新出现",2,IF(M872&gt;=100%,3,IF(M872&gt;0,2,0)))))</x:f>
        <x:v>6</x:v>
      </x:c>
      <x:c r="T872" s="21"/>
      <x:c r="U872" s="20"/>
      <x:c r="V872" s="19" t="str">
        <x:v>http://eastindiatour.com/</x:v>
      </x:c>
      <x:c r="W872" s="19" t="str">
        <x:v>https://pro.similarweb.com/#/digitalsuite/websiteanalysis/referrals/*/999/1m?webSource=Total&amp;selectedTab=incomingTraffic&amp;key=pages.razorpay.com</x:v>
      </x:c>
      <x:c r="X872" s="20" t="n">
        <x:f>IF(Q872="是",0,IFERROR(P872/SUMIFS($P$2:$P$964,$A$2:$A$964,A872,$Q$2:$Q$964,"否"),0))</x:f>
        <x:v>0.026207344135566347</x:v>
      </x:c>
      <x:c r="Y872" s="22" t="str">
        <x:f>IF(OR(M872="",U872=""),"未交叉",IF(M872*U872&gt;0,"同向",IF(M872*U872&lt;0,"背离","一侧持平")))</x:f>
        <x:v>未交叉</x:v>
      </x:c>
    </x:row>
    <x:row r="873">
      <x:c r="A873" s="18" t="str">
        <x:v>pages.razorpay.com</x:v>
      </x:c>
      <x:c r="B873" s="19" t="str">
        <x:v>专用支付/结账入口</x:v>
      </x:c>
      <x:c r="C873" s="19" t="str">
        <x:v>高</x:v>
      </x:c>
      <x:c r="D873" s="19" t="str">
        <x:v>Jul 2026</x:v>
      </x:c>
      <x:c r="E873" s="19" t="n">
        <x:v>9</x:v>
      </x:c>
      <x:c r="F873" s="19" t="str">
        <x:v>zozoconnect.com</x:v>
      </x:c>
      <x:c r="G873" s="19" t="str">
        <x:v>Unknown</x:v>
      </x:c>
      <x:c r="H873" s="19" t="str">
        <x:v>其他/待核查</x:v>
      </x:c>
      <x:c r="I873" s="19" t="str">
        <x:v>Similarweb 未分类</x:v>
      </x:c>
      <x:c r="J873" s="19" t="n">
        <x:v>1291083</x:v>
      </x:c>
      <x:c r="K873" s="20" t="n">
        <x:v>0.0147</x:v>
      </x:c>
      <x:c r="L873" s="19" t="str">
        <x:v>上升</x:v>
      </x:c>
      <x:c r="M873" s="20" t="n">
        <x:v>50</x:v>
      </x:c>
      <x:c r="N873" s="21" t="n">
        <x:v>1387000</x:v>
      </x:c>
      <x:c r="O873" s="21" t="n">
        <x:v>20389</x:v>
      </x:c>
      <x:c r="P873" s="21" t="n">
        <x:f>ROUND(N873*K873,0)</x:f>
        <x:v>20389</x:v>
      </x:c>
      <x:c r="Q873" s="19" t="str">
        <x:v>否</x:v>
      </x:c>
      <x:c r="R873" s="19" t="str"/>
      <x:c r="S873" s="19" t="n">
        <x:f>IF(Q873="是",0,MIN(10,2+IF(C873="高",2,1)+IF(K873&gt;=3%,3,IF(K873&gt;=1%,2,1))+IF(L873="新出现",2,IF(M873&gt;=100%,3,IF(M873&gt;0,2,0)))))</x:f>
        <x:v>9</x:v>
      </x:c>
      <x:c r="T873" s="21"/>
      <x:c r="U873" s="20"/>
      <x:c r="V873" s="19" t="str">
        <x:v>http://zozoconnect.com/</x:v>
      </x:c>
      <x:c r="W873" s="19" t="str">
        <x:v>https://pro.similarweb.com/#/digitalsuite/websiteanalysis/referrals/*/999/1m?webSource=Total&amp;selectedTab=incomingTraffic&amp;key=pages.razorpay.com</x:v>
      </x:c>
      <x:c r="X873" s="20" t="n">
        <x:f>IF(Q873="是",0,IFERROR(P873/SUMIFS($P$2:$P$964,$A$2:$A$964,A873,$Q$2:$Q$964,"否"),0))</x:f>
        <x:v>0.020937327674466606</x:v>
      </x:c>
      <x:c r="Y873" s="22" t="str">
        <x:f>IF(OR(M873="",U873=""),"未交叉",IF(M873*U873&gt;0,"同向",IF(M873*U873&lt;0,"背离","一侧持平")))</x:f>
        <x:v>未交叉</x:v>
      </x:c>
    </x:row>
    <x:row r="874">
      <x:c r="A874" s="18" t="str">
        <x:v>pages.razorpay.com</x:v>
      </x:c>
      <x:c r="B874" s="19" t="str">
        <x:v>专用支付/结账入口</x:v>
      </x:c>
      <x:c r="C874" s="19" t="str">
        <x:v>高</x:v>
      </x:c>
      <x:c r="D874" s="19" t="str">
        <x:v>Jul 2026</x:v>
      </x:c>
      <x:c r="E874" s="19" t="n">
        <x:v>10</x:v>
      </x:c>
      <x:c r="F874" s="19" t="str">
        <x:v>wellness.gonatureclassrooms.com</x:v>
      </x:c>
      <x:c r="G874" s="19" t="str">
        <x:v>Fish and Aquaria</x:v>
      </x:c>
      <x:c r="H874" s="19" t="str">
        <x:v>其他/待核查</x:v>
      </x:c>
      <x:c r="I874" s="19" t="str">
        <x:v>保守归类</x:v>
      </x:c>
      <x:c r="J874" s="19"/>
      <x:c r="K874" s="20" t="n">
        <x:v>0.013500000000000002</x:v>
      </x:c>
      <x:c r="L874" s="19" t="str">
        <x:v>下降</x:v>
      </x:c>
      <x:c r="M874" s="20" t="n">
        <x:v>-0.6979000000000001</x:v>
      </x:c>
      <x:c r="N874" s="21" t="n">
        <x:v>1387000</x:v>
      </x:c>
      <x:c r="O874" s="21" t="n">
        <x:v>18725</x:v>
      </x:c>
      <x:c r="P874" s="21" t="n">
        <x:f>ROUND(N874*K874,0)</x:f>
        <x:v>18725</x:v>
      </x:c>
      <x:c r="Q874" s="19" t="str">
        <x:v>否</x:v>
      </x:c>
      <x:c r="R874" s="19" t="str"/>
      <x:c r="S874" s="19" t="n">
        <x:f>IF(Q874="是",0,MIN(10,2+IF(C874="高",2,1)+IF(K874&gt;=3%,3,IF(K874&gt;=1%,2,1))+IF(L874="新出现",2,IF(M874&gt;=100%,3,IF(M874&gt;0,2,0)))))</x:f>
        <x:v>6</x:v>
      </x:c>
      <x:c r="T874" s="21"/>
      <x:c r="U874" s="20"/>
      <x:c r="V874" s="19" t="str">
        <x:v>http://wellness.gonatureclassrooms.com/</x:v>
      </x:c>
      <x:c r="W874" s="19" t="str">
        <x:v>https://pro.similarweb.com/#/digitalsuite/websiteanalysis/referrals/*/999/1m?webSource=Total&amp;selectedTab=incomingTraffic&amp;key=pages.razorpay.com</x:v>
      </x:c>
      <x:c r="X874" s="20" t="n">
        <x:f>IF(Q874="是",0,IFERROR(P874/SUMIFS($P$2:$P$964,$A$2:$A$964,A874,$Q$2:$Q$964,"否"),0))</x:f>
        <x:v>0.019228577208513765</x:v>
      </x:c>
      <x:c r="Y874" s="22" t="str">
        <x:f>IF(OR(M874="",U874=""),"未交叉",IF(M874*U874&gt;0,"同向",IF(M874*U874&lt;0,"背离","一侧持平")))</x:f>
        <x:v>未交叉</x:v>
      </x:c>
    </x:row>
    <x:row r="875">
      <x:c r="A875" s="18" t="str">
        <x:v>pages.razorpay.com</x:v>
      </x:c>
      <x:c r="B875" s="19" t="str">
        <x:v>专用支付/结账入口</x:v>
      </x:c>
      <x:c r="C875" s="19" t="str">
        <x:v>高</x:v>
      </x:c>
      <x:c r="D875" s="19" t="str">
        <x:v>Jul 2026</x:v>
      </x:c>
      <x:c r="E875" s="19" t="n">
        <x:v>11</x:v>
      </x:c>
      <x:c r="F875" s="19" t="str">
        <x:v>bit.ly</x:v>
      </x:c>
      <x:c r="G875" s="19" t="str">
        <x:v>Unknown</x:v>
      </x:c>
      <x:c r="H875" s="19" t="str">
        <x:v>其他/待核查</x:v>
      </x:c>
      <x:c r="I875" s="19" t="str">
        <x:v>Similarweb 未分类</x:v>
      </x:c>
      <x:c r="J875" s="19"/>
      <x:c r="K875" s="20" t="n">
        <x:v>0.0126</x:v>
      </x:c>
      <x:c r="L875" s="19" t="str">
        <x:v>下降</x:v>
      </x:c>
      <x:c r="M875" s="20" t="n">
        <x:v>-0.4336</x:v>
      </x:c>
      <x:c r="N875" s="21" t="n">
        <x:v>1387000</x:v>
      </x:c>
      <x:c r="O875" s="21" t="n">
        <x:v>17476</x:v>
      </x:c>
      <x:c r="P875" s="21" t="n">
        <x:f>ROUND(N875*K875,0)</x:f>
        <x:v>17476</x:v>
      </x:c>
      <x:c r="Q875" s="19" t="str">
        <x:v>是</x:v>
      </x:c>
      <x:c r="R875" s="19" t="str">
        <x:v>支付平台、自引荐或流量中介</x:v>
      </x:c>
      <x:c r="S875" s="19" t="n">
        <x:f>IF(Q875="是",0,MIN(10,2+IF(C875="高",2,1)+IF(K875&gt;=3%,3,IF(K875&gt;=1%,2,1))+IF(L875="新出现",2,IF(M875&gt;=100%,3,IF(M875&gt;0,2,0)))))</x:f>
        <x:v>0</x:v>
      </x:c>
      <x:c r="T875" s="21"/>
      <x:c r="U875" s="20"/>
      <x:c r="V875" s="19" t="str">
        <x:v>http://bit.ly/</x:v>
      </x:c>
      <x:c r="W875" s="19" t="str">
        <x:v>https://pro.similarweb.com/#/digitalsuite/websiteanalysis/referrals/*/999/1m?webSource=Total&amp;selectedTab=incomingTraffic&amp;key=pages.razorpay.com</x:v>
      </x:c>
      <x:c r="X875" s="20" t="n">
        <x:f>IF(Q875="是",0,IFERROR(P875/SUMIFS($P$2:$P$964,$A$2:$A$964,A875,$Q$2:$Q$964,"否"),0))</x:f>
        <x:v>0</x:v>
      </x:c>
      <x:c r="Y875" s="22" t="str">
        <x:f>IF(OR(M875="",U875=""),"未交叉",IF(M875*U875&gt;0,"同向",IF(M875*U875&lt;0,"背离","一侧持平")))</x:f>
        <x:v>未交叉</x:v>
      </x:c>
    </x:row>
    <x:row r="876">
      <x:c r="A876" s="18" t="str">
        <x:v>pages.razorpay.com</x:v>
      </x:c>
      <x:c r="B876" s="19" t="str">
        <x:v>专用支付/结账入口</x:v>
      </x:c>
      <x:c r="C876" s="19" t="str">
        <x:v>高</x:v>
      </x:c>
      <x:c r="D876" s="19" t="str">
        <x:v>Jul 2026</x:v>
      </x:c>
      <x:c r="E876" s="19" t="n">
        <x:v>12</x:v>
      </x:c>
      <x:c r="F876" s="19" t="str">
        <x:v>digitaldhanu.com</x:v>
      </x:c>
      <x:c r="G876" s="19" t="str">
        <x:v>Online Marketing</x:v>
      </x:c>
      <x:c r="H876" s="19" t="str">
        <x:v>营销、生产力与商业服务</x:v>
      </x:c>
      <x:c r="I876" s="19" t="str">
        <x:v>Similarweb 行业映射</x:v>
      </x:c>
      <x:c r="J876" s="19" t="n">
        <x:v>2411791</x:v>
      </x:c>
      <x:c r="K876" s="20" t="n">
        <x:v>0.0123</x:v>
      </x:c>
      <x:c r="L876" s="19" t="str">
        <x:v>上升</x:v>
      </x:c>
      <x:c r="M876" s="20" t="n">
        <x:v>40.3029</x:v>
      </x:c>
      <x:c r="N876" s="21" t="n">
        <x:v>1387000</x:v>
      </x:c>
      <x:c r="O876" s="21" t="n">
        <x:v>17060</x:v>
      </x:c>
      <x:c r="P876" s="21" t="n">
        <x:f>ROUND(N876*K876,0)</x:f>
        <x:v>17060</x:v>
      </x:c>
      <x:c r="Q876" s="19" t="str">
        <x:v>否</x:v>
      </x:c>
      <x:c r="R876" s="19" t="str"/>
      <x:c r="S876" s="19" t="n">
        <x:f>IF(Q876="是",0,MIN(10,2+IF(C876="高",2,1)+IF(K876&gt;=3%,3,IF(K876&gt;=1%,2,1))+IF(L876="新出现",2,IF(M876&gt;=100%,3,IF(M876&gt;0,2,0)))))</x:f>
        <x:v>9</x:v>
      </x:c>
      <x:c r="T876" s="21"/>
      <x:c r="U876" s="20"/>
      <x:c r="V876" s="19" t="str">
        <x:v>http://digitaldhanu.com/</x:v>
      </x:c>
      <x:c r="W876" s="19" t="str">
        <x:v>https://pro.similarweb.com/#/digitalsuite/websiteanalysis/referrals/*/999/1m?webSource=Total&amp;selectedTab=incomingTraffic&amp;key=pages.razorpay.com</x:v>
      </x:c>
      <x:c r="X876" s="20" t="n">
        <x:f>IF(Q876="是",0,IFERROR(P876/SUMIFS($P$2:$P$964,$A$2:$A$964,A876,$Q$2:$Q$964,"否"),0))</x:f>
        <x:v>0.017518799849252063</x:v>
      </x:c>
      <x:c r="Y876" s="22" t="str">
        <x:f>IF(OR(M876="",U876=""),"未交叉",IF(M876*U876&gt;0,"同向",IF(M876*U876&lt;0,"背离","一侧持平")))</x:f>
        <x:v>未交叉</x:v>
      </x:c>
    </x:row>
    <x:row r="877">
      <x:c r="A877" s="18" t="str">
        <x:v>pages.razorpay.com</x:v>
      </x:c>
      <x:c r="B877" s="19" t="str">
        <x:v>专用支付/结账入口</x:v>
      </x:c>
      <x:c r="C877" s="19" t="str">
        <x:v>高</x:v>
      </x:c>
      <x:c r="D877" s="19" t="str">
        <x:v>Jul 2026</x:v>
      </x:c>
      <x:c r="E877" s="19" t="n">
        <x:v>13</x:v>
      </x:c>
      <x:c r="F877" s="19" t="str">
        <x:v>vivekmishra.academy</x:v>
      </x:c>
      <x:c r="G877" s="19" t="str">
        <x:v>Unknown</x:v>
      </x:c>
      <x:c r="H877" s="19" t="str">
        <x:v>其他/待核查</x:v>
      </x:c>
      <x:c r="I877" s="19" t="str">
        <x:v>Similarweb 未分类</x:v>
      </x:c>
      <x:c r="J877" s="19" t="n">
        <x:v>482506</x:v>
      </x:c>
      <x:c r="K877" s="20" t="n">
        <x:v>0.010700000000000001</x:v>
      </x:c>
      <x:c r="L877" s="19" t="str">
        <x:v>新出现</x:v>
      </x:c>
      <x:c r="M877" s="20"/>
      <x:c r="N877" s="21" t="n">
        <x:v>1387000</x:v>
      </x:c>
      <x:c r="O877" s="21" t="n">
        <x:v>14841</x:v>
      </x:c>
      <x:c r="P877" s="21" t="n">
        <x:f>ROUND(N877*K877,0)</x:f>
        <x:v>14841</x:v>
      </x:c>
      <x:c r="Q877" s="19" t="str">
        <x:v>否</x:v>
      </x:c>
      <x:c r="R877" s="19" t="str"/>
      <x:c r="S877" s="19" t="n">
        <x:f>IF(Q877="是",0,MIN(10,2+IF(C877="高",2,1)+IF(K877&gt;=3%,3,IF(K877&gt;=1%,2,1))+IF(L877="新出现",2,IF(M877&gt;=100%,3,IF(M877&gt;0,2,0)))))</x:f>
        <x:v>8</x:v>
      </x:c>
      <x:c r="T877" s="21"/>
      <x:c r="U877" s="20"/>
      <x:c r="V877" s="19" t="str">
        <x:v>http://vivekmishra.academy/</x:v>
      </x:c>
      <x:c r="W877" s="19" t="str">
        <x:v>https://pro.similarweb.com/#/digitalsuite/websiteanalysis/referrals/*/999/1m?webSource=Total&amp;selectedTab=incomingTraffic&amp;key=pages.razorpay.com</x:v>
      </x:c>
      <x:c r="X877" s="20" t="n">
        <x:f>IF(Q877="是",0,IFERROR(P877/SUMIFS($P$2:$P$964,$A$2:$A$964,A877,$Q$2:$Q$964,"否"),0))</x:f>
        <x:v>0.015240123596878655</x:v>
      </x:c>
      <x:c r="Y877" s="22" t="str">
        <x:f>IF(OR(M877="",U877=""),"未交叉",IF(M877*U877&gt;0,"同向",IF(M877*U877&lt;0,"背离","一侧持平")))</x:f>
        <x:v>未交叉</x:v>
      </x:c>
    </x:row>
    <x:row r="878">
      <x:c r="A878" s="18" t="str">
        <x:v>pages.razorpay.com</x:v>
      </x:c>
      <x:c r="B878" s="19" t="str">
        <x:v>专用支付/结账入口</x:v>
      </x:c>
      <x:c r="C878" s="19" t="str">
        <x:v>高</x:v>
      </x:c>
      <x:c r="D878" s="19" t="str">
        <x:v>Jul 2026</x:v>
      </x:c>
      <x:c r="E878" s="19" t="n">
        <x:v>14</x:v>
      </x:c>
      <x:c r="F878" s="19" t="str">
        <x:v>personalityrich.com</x:v>
      </x:c>
      <x:c r="G878" s="19" t="str">
        <x:v>Marketing and Advertising</x:v>
      </x:c>
      <x:c r="H878" s="19" t="str">
        <x:v>其他/待核查</x:v>
      </x:c>
      <x:c r="I878" s="19" t="str">
        <x:v>保守归类</x:v>
      </x:c>
      <x:c r="J878" s="19" t="n">
        <x:v>392235</x:v>
      </x:c>
      <x:c r="K878" s="20" t="n">
        <x:v>0.0104</x:v>
      </x:c>
      <x:c r="L878" s="19" t="str">
        <x:v>上升</x:v>
      </x:c>
      <x:c r="M878" s="20" t="n">
        <x:v>23.97</x:v>
      </x:c>
      <x:c r="N878" s="21" t="n">
        <x:v>1387000</x:v>
      </x:c>
      <x:c r="O878" s="21" t="n">
        <x:v>14425</x:v>
      </x:c>
      <x:c r="P878" s="21" t="n">
        <x:f>ROUND(N878*K878,0)</x:f>
        <x:v>14425</x:v>
      </x:c>
      <x:c r="Q878" s="19" t="str">
        <x:v>否</x:v>
      </x:c>
      <x:c r="R878" s="19" t="str"/>
      <x:c r="S878" s="19" t="n">
        <x:f>IF(Q878="是",0,MIN(10,2+IF(C878="高",2,1)+IF(K878&gt;=3%,3,IF(K878&gt;=1%,2,1))+IF(L878="新出现",2,IF(M878&gt;=100%,3,IF(M878&gt;0,2,0)))))</x:f>
        <x:v>9</x:v>
      </x:c>
      <x:c r="T878" s="21"/>
      <x:c r="U878" s="20"/>
      <x:c r="V878" s="19" t="str">
        <x:v>http://personalityrich.com/</x:v>
      </x:c>
      <x:c r="W878" s="19" t="str">
        <x:v>https://pro.similarweb.com/#/digitalsuite/websiteanalysis/referrals/*/999/1m?webSource=Total&amp;selectedTab=incomingTraffic&amp;key=pages.razorpay.com</x:v>
      </x:c>
      <x:c r="X878" s="20" t="n">
        <x:f>IF(Q878="是",0,IFERROR(P878/SUMIFS($P$2:$P$964,$A$2:$A$964,A878,$Q$2:$Q$964,"否"),0))</x:f>
        <x:v>0.014812935980390445</x:v>
      </x:c>
      <x:c r="Y878" s="22" t="str">
        <x:f>IF(OR(M878="",U878=""),"未交叉",IF(M878*U878&gt;0,"同向",IF(M878*U878&lt;0,"背离","一侧持平")))</x:f>
        <x:v>未交叉</x:v>
      </x:c>
    </x:row>
    <x:row r="879">
      <x:c r="A879" s="18" t="str">
        <x:v>pages.razorpay.com</x:v>
      </x:c>
      <x:c r="B879" s="19" t="str">
        <x:v>专用支付/结账入口</x:v>
      </x:c>
      <x:c r="C879" s="19" t="str">
        <x:v>高</x:v>
      </x:c>
      <x:c r="D879" s="19" t="str">
        <x:v>Jul 2026</x:v>
      </x:c>
      <x:c r="E879" s="19" t="n">
        <x:v>15</x:v>
      </x:c>
      <x:c r="F879" s="19" t="str">
        <x:v>ttceducation.org</x:v>
      </x:c>
      <x:c r="G879" s="19" t="str">
        <x:v>Education</x:v>
      </x:c>
      <x:c r="H879" s="19" t="str">
        <x:v>教育、知识与考试服务</x:v>
      </x:c>
      <x:c r="I879" s="19" t="str">
        <x:v>Similarweb 行业映射</x:v>
      </x:c>
      <x:c r="J879" s="19" t="n">
        <x:v>2017660</x:v>
      </x:c>
      <x:c r="K879" s="20" t="n">
        <x:v>0.0104</x:v>
      </x:c>
      <x:c r="L879" s="19" t="str">
        <x:v>下降</x:v>
      </x:c>
      <x:c r="M879" s="20" t="n">
        <x:v>-0.2782</x:v>
      </x:c>
      <x:c r="N879" s="21" t="n">
        <x:v>1387000</x:v>
      </x:c>
      <x:c r="O879" s="21" t="n">
        <x:v>14425</x:v>
      </x:c>
      <x:c r="P879" s="21" t="n">
        <x:f>ROUND(N879*K879,0)</x:f>
        <x:v>14425</x:v>
      </x:c>
      <x:c r="Q879" s="19" t="str">
        <x:v>否</x:v>
      </x:c>
      <x:c r="R879" s="19" t="str"/>
      <x:c r="S879" s="19" t="n">
        <x:f>IF(Q879="是",0,MIN(10,2+IF(C879="高",2,1)+IF(K879&gt;=3%,3,IF(K879&gt;=1%,2,1))+IF(L879="新出现",2,IF(M879&gt;=100%,3,IF(M879&gt;0,2,0)))))</x:f>
        <x:v>6</x:v>
      </x:c>
      <x:c r="T879" s="21"/>
      <x:c r="U879" s="20"/>
      <x:c r="V879" s="19" t="str">
        <x:v>http://ttceducation.org/</x:v>
      </x:c>
      <x:c r="W879" s="19" t="str">
        <x:v>https://pro.similarweb.com/#/digitalsuite/websiteanalysis/referrals/*/999/1m?webSource=Total&amp;selectedTab=incomingTraffic&amp;key=pages.razorpay.com</x:v>
      </x:c>
      <x:c r="X879" s="20" t="n">
        <x:f>IF(Q879="是",0,IFERROR(P879/SUMIFS($P$2:$P$964,$A$2:$A$964,A879,$Q$2:$Q$964,"否"),0))</x:f>
        <x:v>0.014812935980390445</x:v>
      </x:c>
      <x:c r="Y879" s="22" t="str">
        <x:f>IF(OR(M879="",U879=""),"未交叉",IF(M879*U879&gt;0,"同向",IF(M879*U879&lt;0,"背离","一侧持平")))</x:f>
        <x:v>未交叉</x:v>
      </x:c>
    </x:row>
    <x:row r="880">
      <x:c r="A880" s="18" t="str">
        <x:v>pages.razorpay.com</x:v>
      </x:c>
      <x:c r="B880" s="19" t="str">
        <x:v>专用支付/结账入口</x:v>
      </x:c>
      <x:c r="C880" s="19" t="str">
        <x:v>高</x:v>
      </x:c>
      <x:c r="D880" s="19" t="str">
        <x:v>Jul 2026</x:v>
      </x:c>
      <x:c r="E880" s="19" t="n">
        <x:v>16</x:v>
      </x:c>
      <x:c r="F880" s="19" t="str">
        <x:v>learn.coachmanjunath.com</x:v>
      </x:c>
      <x:c r="G880" s="19" t="str">
        <x:v>Unknown</x:v>
      </x:c>
      <x:c r="H880" s="19" t="str">
        <x:v>其他/待核查</x:v>
      </x:c>
      <x:c r="I880" s="19" t="str">
        <x:v>Similarweb 未分类</x:v>
      </x:c>
      <x:c r="J880" s="19"/>
      <x:c r="K880" s="20" t="n">
        <x:v>0.0103</x:v>
      </x:c>
      <x:c r="L880" s="19" t="str">
        <x:v>新出现</x:v>
      </x:c>
      <x:c r="M880" s="20"/>
      <x:c r="N880" s="21" t="n">
        <x:v>1387000</x:v>
      </x:c>
      <x:c r="O880" s="21" t="n">
        <x:v>14286</x:v>
      </x:c>
      <x:c r="P880" s="21" t="n">
        <x:f>ROUND(N880*K880,0)</x:f>
        <x:v>14286</x:v>
      </x:c>
      <x:c r="Q880" s="19" t="str">
        <x:v>否</x:v>
      </x:c>
      <x:c r="R880" s="19" t="str"/>
      <x:c r="S880" s="19" t="n">
        <x:f>IF(Q880="是",0,MIN(10,2+IF(C880="高",2,1)+IF(K880&gt;=3%,3,IF(K880&gt;=1%,2,1))+IF(L880="新出现",2,IF(M880&gt;=100%,3,IF(M880&gt;0,2,0)))))</x:f>
        <x:v>8</x:v>
      </x:c>
      <x:c r="T880" s="21"/>
      <x:c r="U880" s="20"/>
      <x:c r="V880" s="19" t="str">
        <x:v>http://learn.coachmanjunath.com/</x:v>
      </x:c>
      <x:c r="W880" s="19" t="str">
        <x:v>https://pro.similarweb.com/#/digitalsuite/websiteanalysis/referrals/*/999/1m?webSource=Total&amp;selectedTab=incomingTraffic&amp;key=pages.razorpay.com</x:v>
      </x:c>
      <x:c r="X880" s="20" t="n">
        <x:f>IF(Q880="是",0,IFERROR(P880/SUMIFS($P$2:$P$964,$A$2:$A$964,A880,$Q$2:$Q$964,"否"),0))</x:f>
        <x:v>0.014670197810458087</x:v>
      </x:c>
      <x:c r="Y880" s="22" t="str">
        <x:f>IF(OR(M880="",U880=""),"未交叉",IF(M880*U880&gt;0,"同向",IF(M880*U880&lt;0,"背离","一侧持平")))</x:f>
        <x:v>未交叉</x:v>
      </x:c>
    </x:row>
    <x:row r="881">
      <x:c r="A881" s="18" t="str">
        <x:v>pages.razorpay.com</x:v>
      </x:c>
      <x:c r="B881" s="19" t="str">
        <x:v>专用支付/结账入口</x:v>
      </x:c>
      <x:c r="C881" s="19" t="str">
        <x:v>高</x:v>
      </x:c>
      <x:c r="D881" s="19" t="str">
        <x:v>Jul 2026</x:v>
      </x:c>
      <x:c r="E881" s="19" t="n">
        <x:v>17</x:v>
      </x:c>
      <x:c r="F881" s="19" t="str">
        <x:v>getfit.paybycal.com</x:v>
      </x:c>
      <x:c r="G881" s="19" t="str">
        <x:v>Unknown</x:v>
      </x:c>
      <x:c r="H881" s="19" t="str">
        <x:v>其他/待核查</x:v>
      </x:c>
      <x:c r="I881" s="19" t="str">
        <x:v>Similarweb 未分类</x:v>
      </x:c>
      <x:c r="J881" s="19"/>
      <x:c r="K881" s="20" t="n">
        <x:v>0.0103</x:v>
      </x:c>
      <x:c r="L881" s="19" t="str">
        <x:v>新出现</x:v>
      </x:c>
      <x:c r="M881" s="20"/>
      <x:c r="N881" s="21" t="n">
        <x:v>1387000</x:v>
      </x:c>
      <x:c r="O881" s="21" t="n">
        <x:v>14286</x:v>
      </x:c>
      <x:c r="P881" s="21" t="n">
        <x:f>ROUND(N881*K881,0)</x:f>
        <x:v>14286</x:v>
      </x:c>
      <x:c r="Q881" s="19" t="str">
        <x:v>否</x:v>
      </x:c>
      <x:c r="R881" s="19" t="str"/>
      <x:c r="S881" s="19" t="n">
        <x:f>IF(Q881="是",0,MIN(10,2+IF(C881="高",2,1)+IF(K881&gt;=3%,3,IF(K881&gt;=1%,2,1))+IF(L881="新出现",2,IF(M881&gt;=100%,3,IF(M881&gt;0,2,0)))))</x:f>
        <x:v>8</x:v>
      </x:c>
      <x:c r="T881" s="21"/>
      <x:c r="U881" s="20"/>
      <x:c r="V881" s="19" t="str">
        <x:v>http://getfit.paybycal.com/</x:v>
      </x:c>
      <x:c r="W881" s="19" t="str">
        <x:v>https://pro.similarweb.com/#/digitalsuite/websiteanalysis/referrals/*/999/1m?webSource=Total&amp;selectedTab=incomingTraffic&amp;key=pages.razorpay.com</x:v>
      </x:c>
      <x:c r="X881" s="20" t="n">
        <x:f>IF(Q881="是",0,IFERROR(P881/SUMIFS($P$2:$P$964,$A$2:$A$964,A881,$Q$2:$Q$964,"否"),0))</x:f>
        <x:v>0.014670197810458087</x:v>
      </x:c>
      <x:c r="Y881" s="22" t="str">
        <x:f>IF(OR(M881="",U881=""),"未交叉",IF(M881*U881&gt;0,"同向",IF(M881*U881&lt;0,"背离","一侧持平")))</x:f>
        <x:v>未交叉</x:v>
      </x:c>
    </x:row>
    <x:row r="882">
      <x:c r="A882" s="18" t="str">
        <x:v>pages.razorpay.com</x:v>
      </x:c>
      <x:c r="B882" s="19" t="str">
        <x:v>专用支付/结账入口</x:v>
      </x:c>
      <x:c r="C882" s="19" t="str">
        <x:v>高</x:v>
      </x:c>
      <x:c r="D882" s="19" t="str">
        <x:v>Jul 2026</x:v>
      </x:c>
      <x:c r="E882" s="19" t="n">
        <x:v>18</x:v>
      </x:c>
      <x:c r="F882" s="19" t="str">
        <x:v>niranjanchina.com</x:v>
      </x:c>
      <x:c r="G882" s="19" t="str">
        <x:v>Unknown</x:v>
      </x:c>
      <x:c r="H882" s="19" t="str">
        <x:v>其他/待核查</x:v>
      </x:c>
      <x:c r="I882" s="19" t="str">
        <x:v>Similarweb 未分类</x:v>
      </x:c>
      <x:c r="J882" s="19" t="n">
        <x:v>635222</x:v>
      </x:c>
      <x:c r="K882" s="20" t="n">
        <x:v>0.0102</x:v>
      </x:c>
      <x:c r="L882" s="19" t="str">
        <x:v>上升</x:v>
      </x:c>
      <x:c r="M882" s="20" t="n">
        <x:v>0.0504</x:v>
      </x:c>
      <x:c r="N882" s="21" t="n">
        <x:v>1387000</x:v>
      </x:c>
      <x:c r="O882" s="21" t="n">
        <x:v>14147</x:v>
      </x:c>
      <x:c r="P882" s="21" t="n">
        <x:f>ROUND(N882*K882,0)</x:f>
        <x:v>14147</x:v>
      </x:c>
      <x:c r="Q882" s="19" t="str">
        <x:v>否</x:v>
      </x:c>
      <x:c r="R882" s="19" t="str"/>
      <x:c r="S882" s="19" t="n">
        <x:f>IF(Q882="是",0,MIN(10,2+IF(C882="高",2,1)+IF(K882&gt;=3%,3,IF(K882&gt;=1%,2,1))+IF(L882="新出现",2,IF(M882&gt;=100%,3,IF(M882&gt;0,2,0)))))</x:f>
        <x:v>8</x:v>
      </x:c>
      <x:c r="T882" s="21"/>
      <x:c r="U882" s="20"/>
      <x:c r="V882" s="19" t="str">
        <x:v>http://niranjanchina.com/</x:v>
      </x:c>
      <x:c r="W882" s="19" t="str">
        <x:v>https://pro.similarweb.com/#/digitalsuite/websiteanalysis/referrals/*/999/1m?webSource=Total&amp;selectedTab=incomingTraffic&amp;key=pages.razorpay.com</x:v>
      </x:c>
      <x:c r="X882" s="20" t="n">
        <x:f>IF(Q882="是",0,IFERROR(P882/SUMIFS($P$2:$P$964,$A$2:$A$964,A882,$Q$2:$Q$964,"否"),0))</x:f>
        <x:v>0.014527459640525727</x:v>
      </x:c>
      <x:c r="Y882" s="22" t="str">
        <x:f>IF(OR(M882="",U882=""),"未交叉",IF(M882*U882&gt;0,"同向",IF(M882*U882&lt;0,"背离","一侧持平")))</x:f>
        <x:v>未交叉</x:v>
      </x:c>
    </x:row>
    <x:row r="883">
      <x:c r="A883" s="18" t="str">
        <x:v>pages.razorpay.com</x:v>
      </x:c>
      <x:c r="B883" s="19" t="str">
        <x:v>专用支付/结账入口</x:v>
      </x:c>
      <x:c r="C883" s="19" t="str">
        <x:v>高</x:v>
      </x:c>
      <x:c r="D883" s="19" t="str">
        <x:v>Jul 2026</x:v>
      </x:c>
      <x:c r="E883" s="19" t="n">
        <x:v>19</x:v>
      </x:c>
      <x:c r="F883" s="19" t="str">
        <x:v>learnmize.in</x:v>
      </x:c>
      <x:c r="G883" s="19" t="str">
        <x:v>Graphics Multimedia and Web Design</x:v>
      </x:c>
      <x:c r="H883" s="19" t="str">
        <x:v>创作、设计与多媒体工具</x:v>
      </x:c>
      <x:c r="I883" s="19" t="str">
        <x:v>Similarweb 行业映射</x:v>
      </x:c>
      <x:c r="J883" s="19" t="n">
        <x:v>1752530</x:v>
      </x:c>
      <x:c r="K883" s="20" t="n">
        <x:v>0.009399999999999999</x:v>
      </x:c>
      <x:c r="L883" s="19" t="str">
        <x:v>上升</x:v>
      </x:c>
      <x:c r="M883" s="20" t="n">
        <x:v>50</x:v>
      </x:c>
      <x:c r="N883" s="21" t="n">
        <x:v>1387000</x:v>
      </x:c>
      <x:c r="O883" s="21" t="n">
        <x:v>13038</x:v>
      </x:c>
      <x:c r="P883" s="21" t="n">
        <x:f>ROUND(N883*K883,0)</x:f>
        <x:v>13038</x:v>
      </x:c>
      <x:c r="Q883" s="19" t="str">
        <x:v>否</x:v>
      </x:c>
      <x:c r="R883" s="19" t="str"/>
      <x:c r="S883" s="19" t="n">
        <x:f>IF(Q883="是",0,MIN(10,2+IF(C883="高",2,1)+IF(K883&gt;=3%,3,IF(K883&gt;=1%,2,1))+IF(L883="新出现",2,IF(M883&gt;=100%,3,IF(M883&gt;0,2,0)))))</x:f>
        <x:v>8</x:v>
      </x:c>
      <x:c r="T883" s="21"/>
      <x:c r="U883" s="20"/>
      <x:c r="V883" s="19" t="str">
        <x:v>http://learnmize.in/</x:v>
      </x:c>
      <x:c r="W883" s="19" t="str">
        <x:v>https://pro.similarweb.com/#/digitalsuite/websiteanalysis/referrals/*/999/1m?webSource=Total&amp;selectedTab=incomingTraffic&amp;key=pages.razorpay.com</x:v>
      </x:c>
      <x:c r="X883" s="20" t="n">
        <x:f>IF(Q883="是",0,IFERROR(P883/SUMIFS($P$2:$P$964,$A$2:$A$964,A883,$Q$2:$Q$964,"否"),0))</x:f>
        <x:v>0.013388634960993458</x:v>
      </x:c>
      <x:c r="Y883" s="22" t="str">
        <x:f>IF(OR(M883="",U883=""),"未交叉",IF(M883*U883&gt;0,"同向",IF(M883*U883&lt;0,"背离","一侧持平")))</x:f>
        <x:v>未交叉</x:v>
      </x:c>
    </x:row>
    <x:row r="884">
      <x:c r="A884" s="18" t="str">
        <x:v>pages.razorpay.com</x:v>
      </x:c>
      <x:c r="B884" s="19" t="str">
        <x:v>专用支付/结账入口</x:v>
      </x:c>
      <x:c r="C884" s="19" t="str">
        <x:v>高</x:v>
      </x:c>
      <x:c r="D884" s="19" t="str">
        <x:v>Jul 2026</x:v>
      </x:c>
      <x:c r="E884" s="19" t="n">
        <x:v>20</x:v>
      </x:c>
      <x:c r="F884" s="19" t="str">
        <x:v>39bg.in</x:v>
      </x:c>
      <x:c r="G884" s="19" t="str">
        <x:v>Unknown</x:v>
      </x:c>
      <x:c r="H884" s="19" t="str">
        <x:v>其他/待核查</x:v>
      </x:c>
      <x:c r="I884" s="19" t="str">
        <x:v>Similarweb 未分类</x:v>
      </x:c>
      <x:c r="J884" s="19" t="n">
        <x:v>1222310</x:v>
      </x:c>
      <x:c r="K884" s="20" t="n">
        <x:v>0.009300000000000001</x:v>
      </x:c>
      <x:c r="L884" s="19" t="str">
        <x:v>上升</x:v>
      </x:c>
      <x:c r="M884" s="20" t="n">
        <x:v>0.5023</x:v>
      </x:c>
      <x:c r="N884" s="21" t="n">
        <x:v>1387000</x:v>
      </x:c>
      <x:c r="O884" s="21" t="n">
        <x:v>12899</x:v>
      </x:c>
      <x:c r="P884" s="21" t="n">
        <x:f>ROUND(N884*K884,0)</x:f>
        <x:v>12899</x:v>
      </x:c>
      <x:c r="Q884" s="19" t="str">
        <x:v>否</x:v>
      </x:c>
      <x:c r="R884" s="19" t="str"/>
      <x:c r="S884" s="19" t="n">
        <x:f>IF(Q884="是",0,MIN(10,2+IF(C884="高",2,1)+IF(K884&gt;=3%,3,IF(K884&gt;=1%,2,1))+IF(L884="新出现",2,IF(M884&gt;=100%,3,IF(M884&gt;0,2,0)))))</x:f>
        <x:v>7</x:v>
      </x:c>
      <x:c r="T884" s="21"/>
      <x:c r="U884" s="20"/>
      <x:c r="V884" s="19" t="str">
        <x:v>http://39bg.in/</x:v>
      </x:c>
      <x:c r="W884" s="19" t="str">
        <x:v>https://pro.similarweb.com/#/digitalsuite/websiteanalysis/referrals/*/999/1m?webSource=Total&amp;selectedTab=incomingTraffic&amp;key=pages.razorpay.com</x:v>
      </x:c>
      <x:c r="X884" s="20" t="n">
        <x:f>IF(Q884="是",0,IFERROR(P884/SUMIFS($P$2:$P$964,$A$2:$A$964,A884,$Q$2:$Q$964,"否"),0))</x:f>
        <x:v>0.013245896791061099</x:v>
      </x:c>
      <x:c r="Y884" s="22" t="str">
        <x:f>IF(OR(M884="",U884=""),"未交叉",IF(M884*U884&gt;0,"同向",IF(M884*U884&lt;0,"背离","一侧持平")))</x:f>
        <x:v>未交叉</x:v>
      </x:c>
    </x:row>
    <x:row r="885">
      <x:c r="A885" s="18" t="str">
        <x:v>pages.razorpay.com</x:v>
      </x:c>
      <x:c r="B885" s="19" t="str">
        <x:v>专用支付/结账入口</x:v>
      </x:c>
      <x:c r="C885" s="19" t="str">
        <x:v>高</x:v>
      </x:c>
      <x:c r="D885" s="19" t="str">
        <x:v>Jul 2026</x:v>
      </x:c>
      <x:c r="E885" s="19" t="n">
        <x:v>21</x:v>
      </x:c>
      <x:c r="F885" s="19" t="str">
        <x:v>thebatraanumerology.net</x:v>
      </x:c>
      <x:c r="G885" s="19" t="str">
        <x:v>Faith and Beliefs</x:v>
      </x:c>
      <x:c r="H885" s="19" t="str">
        <x:v>教育、知识与考试服务</x:v>
      </x:c>
      <x:c r="I885" s="19" t="str">
        <x:v>Similarweb 行业映射</x:v>
      </x:c>
      <x:c r="J885" s="19" t="n">
        <x:v>454719</x:v>
      </x:c>
      <x:c r="K885" s="20" t="n">
        <x:v>0.009300000000000001</x:v>
      </x:c>
      <x:c r="L885" s="19" t="str">
        <x:v>上升</x:v>
      </x:c>
      <x:c r="M885" s="20" t="n">
        <x:v>0.105</x:v>
      </x:c>
      <x:c r="N885" s="21" t="n">
        <x:v>1387000</x:v>
      </x:c>
      <x:c r="O885" s="21" t="n">
        <x:v>12899</x:v>
      </x:c>
      <x:c r="P885" s="21" t="n">
        <x:f>ROUND(N885*K885,0)</x:f>
        <x:v>12899</x:v>
      </x:c>
      <x:c r="Q885" s="19" t="str">
        <x:v>否</x:v>
      </x:c>
      <x:c r="R885" s="19" t="str"/>
      <x:c r="S885" s="19" t="n">
        <x:f>IF(Q885="是",0,MIN(10,2+IF(C885="高",2,1)+IF(K885&gt;=3%,3,IF(K885&gt;=1%,2,1))+IF(L885="新出现",2,IF(M885&gt;=100%,3,IF(M885&gt;0,2,0)))))</x:f>
        <x:v>7</x:v>
      </x:c>
      <x:c r="T885" s="21"/>
      <x:c r="U885" s="20"/>
      <x:c r="V885" s="19" t="str">
        <x:v>http://thebatraanumerology.net/</x:v>
      </x:c>
      <x:c r="W885" s="19" t="str">
        <x:v>https://pro.similarweb.com/#/digitalsuite/websiteanalysis/referrals/*/999/1m?webSource=Total&amp;selectedTab=incomingTraffic&amp;key=pages.razorpay.com</x:v>
      </x:c>
      <x:c r="X885" s="20" t="n">
        <x:f>IF(Q885="是",0,IFERROR(P885/SUMIFS($P$2:$P$964,$A$2:$A$964,A885,$Q$2:$Q$964,"否"),0))</x:f>
        <x:v>0.013245896791061099</x:v>
      </x:c>
      <x:c r="Y885" s="22" t="str">
        <x:f>IF(OR(M885="",U885=""),"未交叉",IF(M885*U885&gt;0,"同向",IF(M885*U885&lt;0,"背离","一侧持平")))</x:f>
        <x:v>未交叉</x:v>
      </x:c>
    </x:row>
    <x:row r="886">
      <x:c r="A886" s="18" t="str">
        <x:v>pages.razorpay.com</x:v>
      </x:c>
      <x:c r="B886" s="19" t="str">
        <x:v>专用支付/结账入口</x:v>
      </x:c>
      <x:c r="C886" s="19" t="str">
        <x:v>高</x:v>
      </x:c>
      <x:c r="D886" s="19" t="str">
        <x:v>Jul 2026</x:v>
      </x:c>
      <x:c r="E886" s="19" t="n">
        <x:v>22</x:v>
      </x:c>
      <x:c r="F886" s="19" t="str">
        <x:v>apnacollege.in</x:v>
      </x:c>
      <x:c r="G886" s="19" t="str">
        <x:v>Romance and Relationships</x:v>
      </x:c>
      <x:c r="H886" s="19" t="str">
        <x:v>健康、生活方式与消费服务</x:v>
      </x:c>
      <x:c r="I886" s="19" t="str">
        <x:v>Similarweb 行业映射</x:v>
      </x:c>
      <x:c r="J886" s="19" t="n">
        <x:v>32897</x:v>
      </x:c>
      <x:c r="K886" s="20" t="n">
        <x:v>0.0089</x:v>
      </x:c>
      <x:c r="L886" s="19" t="str">
        <x:v>上升</x:v>
      </x:c>
      <x:c r="M886" s="20" t="n">
        <x:v>0.1414</x:v>
      </x:c>
      <x:c r="N886" s="21" t="n">
        <x:v>1387000</x:v>
      </x:c>
      <x:c r="O886" s="21" t="n">
        <x:v>12344</x:v>
      </x:c>
      <x:c r="P886" s="21" t="n">
        <x:f>ROUND(N886*K886,0)</x:f>
        <x:v>12344</x:v>
      </x:c>
      <x:c r="Q886" s="19" t="str">
        <x:v>否</x:v>
      </x:c>
      <x:c r="R886" s="19" t="str"/>
      <x:c r="S886" s="19" t="n">
        <x:f>IF(Q886="是",0,MIN(10,2+IF(C886="高",2,1)+IF(K886&gt;=3%,3,IF(K886&gt;=1%,2,1))+IF(L886="新出现",2,IF(M886&gt;=100%,3,IF(M886&gt;0,2,0)))))</x:f>
        <x:v>7</x:v>
      </x:c>
      <x:c r="T886" s="21"/>
      <x:c r="U886" s="20"/>
      <x:c r="V886" s="19" t="str">
        <x:v>http://apnacollege.in/</x:v>
      </x:c>
      <x:c r="W886" s="19" t="str">
        <x:v>https://pro.similarweb.com/#/digitalsuite/websiteanalysis/referrals/*/999/1m?webSource=Total&amp;selectedTab=incomingTraffic&amp;key=pages.razorpay.com</x:v>
      </x:c>
      <x:c r="X886" s="20" t="n">
        <x:f>IF(Q886="是",0,IFERROR(P886/SUMIFS($P$2:$P$964,$A$2:$A$964,A886,$Q$2:$Q$964,"否"),0))</x:f>
        <x:v>0.01267597100464053</x:v>
      </x:c>
      <x:c r="Y886" s="22" t="str">
        <x:f>IF(OR(M886="",U886=""),"未交叉",IF(M886*U886&gt;0,"同向",IF(M886*U886&lt;0,"背离","一侧持平")))</x:f>
        <x:v>未交叉</x:v>
      </x:c>
    </x:row>
    <x:row r="887">
      <x:c r="A887" s="18" t="str">
        <x:v>pages.razorpay.com</x:v>
      </x:c>
      <x:c r="B887" s="19" t="str">
        <x:v>专用支付/结账入口</x:v>
      </x:c>
      <x:c r="C887" s="19" t="str">
        <x:v>高</x:v>
      </x:c>
      <x:c r="D887" s="19" t="str">
        <x:v>Jul 2026</x:v>
      </x:c>
      <x:c r="E887" s="19" t="n">
        <x:v>23</x:v>
      </x:c>
      <x:c r="F887" s="19" t="str">
        <x:v>tracker.atishmathur.com</x:v>
      </x:c>
      <x:c r="G887" s="19" t="str">
        <x:v>Government</x:v>
      </x:c>
      <x:c r="H887" s="19" t="str">
        <x:v>其他/待核查</x:v>
      </x:c>
      <x:c r="I887" s="19" t="str">
        <x:v>保守归类</x:v>
      </x:c>
      <x:c r="J887" s="19"/>
      <x:c r="K887" s="20" t="n">
        <x:v>0.0079</x:v>
      </x:c>
      <x:c r="L887" s="19" t="str">
        <x:v>下降</x:v>
      </x:c>
      <x:c r="M887" s="20" t="n">
        <x:v>-0.6559999999999999</x:v>
      </x:c>
      <x:c r="N887" s="21" t="n">
        <x:v>1387000</x:v>
      </x:c>
      <x:c r="O887" s="21" t="n">
        <x:v>10957</x:v>
      </x:c>
      <x:c r="P887" s="21" t="n">
        <x:f>ROUND(N887*K887,0)</x:f>
        <x:v>10957</x:v>
      </x:c>
      <x:c r="Q887" s="19" t="str">
        <x:v>否</x:v>
      </x:c>
      <x:c r="R887" s="19" t="str"/>
      <x:c r="S887" s="19" t="n">
        <x:f>IF(Q887="是",0,MIN(10,2+IF(C887="高",2,1)+IF(K887&gt;=3%,3,IF(K887&gt;=1%,2,1))+IF(L887="新出现",2,IF(M887&gt;=100%,3,IF(M887&gt;0,2,0)))))</x:f>
        <x:v>5</x:v>
      </x:c>
      <x:c r="T887" s="21"/>
      <x:c r="U887" s="20"/>
      <x:c r="V887" s="19" t="str">
        <x:v>http://tracker.atishmathur.com/</x:v>
      </x:c>
      <x:c r="W887" s="19" t="str">
        <x:v>https://pro.similarweb.com/#/digitalsuite/websiteanalysis/referrals/*/999/1m?webSource=Total&amp;selectedTab=incomingTraffic&amp;key=pages.razorpay.com</x:v>
      </x:c>
      <x:c r="X887" s="20" t="n">
        <x:f>IF(Q887="是",0,IFERROR(P887/SUMIFS($P$2:$P$964,$A$2:$A$964,A887,$Q$2:$Q$964,"否"),0))</x:f>
        <x:v>0.011251669985243544</x:v>
      </x:c>
      <x:c r="Y887" s="22" t="str">
        <x:f>IF(OR(M887="",U887=""),"未交叉",IF(M887*U887&gt;0,"同向",IF(M887*U887&lt;0,"背离","一侧持平")))</x:f>
        <x:v>未交叉</x:v>
      </x:c>
    </x:row>
    <x:row r="888">
      <x:c r="A888" s="18" t="str">
        <x:v>pages.razorpay.com</x:v>
      </x:c>
      <x:c r="B888" s="19" t="str">
        <x:v>专用支付/结账入口</x:v>
      </x:c>
      <x:c r="C888" s="19" t="str">
        <x:v>高</x:v>
      </x:c>
      <x:c r="D888" s="19" t="str">
        <x:v>Jul 2026</x:v>
      </x:c>
      <x:c r="E888" s="19" t="n">
        <x:v>24</x:v>
      </x:c>
      <x:c r="F888" s="19" t="str">
        <x:v>vikaschaudhary.lpages.co</x:v>
      </x:c>
      <x:c r="G888" s="19" t="str">
        <x:v>Reference Materials</x:v>
      </x:c>
      <x:c r="H888" s="19" t="str">
        <x:v>其他/待核查</x:v>
      </x:c>
      <x:c r="I888" s="19" t="str">
        <x:v>保守归类</x:v>
      </x:c>
      <x:c r="J888" s="19"/>
      <x:c r="K888" s="20" t="n">
        <x:v>0.0077</x:v>
      </x:c>
      <x:c r="L888" s="19" t="str">
        <x:v>下降</x:v>
      </x:c>
      <x:c r="M888" s="20" t="n">
        <x:v>-0.8348</x:v>
      </x:c>
      <x:c r="N888" s="21" t="n">
        <x:v>1387000</x:v>
      </x:c>
      <x:c r="O888" s="21" t="n">
        <x:v>10680</x:v>
      </x:c>
      <x:c r="P888" s="21" t="n">
        <x:f>ROUND(N888*K888,0)</x:f>
        <x:v>10680</x:v>
      </x:c>
      <x:c r="Q888" s="19" t="str">
        <x:v>否</x:v>
      </x:c>
      <x:c r="R888" s="19" t="str"/>
      <x:c r="S888" s="19" t="n">
        <x:f>IF(Q888="是",0,MIN(10,2+IF(C888="高",2,1)+IF(K888&gt;=3%,3,IF(K888&gt;=1%,2,1))+IF(L888="新出现",2,IF(M888&gt;=100%,3,IF(M888&gt;0,2,0)))))</x:f>
        <x:v>5</x:v>
      </x:c>
      <x:c r="T888" s="21"/>
      <x:c r="U888" s="20"/>
      <x:c r="V888" s="19" t="str">
        <x:v>http://vikaschaudhary.lpages.co/</x:v>
      </x:c>
      <x:c r="W888" s="19" t="str">
        <x:v>https://pro.similarweb.com/#/digitalsuite/websiteanalysis/referrals/*/999/1m?webSource=Total&amp;selectedTab=incomingTraffic&amp;key=pages.razorpay.com</x:v>
      </x:c>
      <x:c r="X888" s="20" t="n">
        <x:f>IF(Q888="是",0,IFERROR(P888/SUMIFS($P$2:$P$964,$A$2:$A$964,A888,$Q$2:$Q$964,"否"),0))</x:f>
        <x:v>0.010967220538687691</x:v>
      </x:c>
      <x:c r="Y888" s="22" t="str">
        <x:f>IF(OR(M888="",U888=""),"未交叉",IF(M888*U888&gt;0,"同向",IF(M888*U888&lt;0,"背离","一侧持平")))</x:f>
        <x:v>未交叉</x:v>
      </x:c>
    </x:row>
    <x:row r="889">
      <x:c r="A889" s="18" t="str">
        <x:v>pages.razorpay.com</x:v>
      </x:c>
      <x:c r="B889" s="19" t="str">
        <x:v>专用支付/结账入口</x:v>
      </x:c>
      <x:c r="C889" s="19" t="str">
        <x:v>高</x:v>
      </x:c>
      <x:c r="D889" s="19" t="str">
        <x:v>Jul 2026</x:v>
      </x:c>
      <x:c r="E889" s="19" t="n">
        <x:v>25</x:v>
      </x:c>
      <x:c r="F889" s="19" t="str">
        <x:v>andwemet.com</x:v>
      </x:c>
      <x:c r="G889" s="19" t="str">
        <x:v>Jobs and Employment</x:v>
      </x:c>
      <x:c r="H889" s="19" t="str">
        <x:v>营销、生产力与商业服务</x:v>
      </x:c>
      <x:c r="I889" s="19" t="str">
        <x:v>Similarweb 行业映射</x:v>
      </x:c>
      <x:c r="J889" s="19" t="n">
        <x:v>1744334</x:v>
      </x:c>
      <x:c r="K889" s="20" t="n">
        <x:v>0.0076</x:v>
      </x:c>
      <x:c r="L889" s="19" t="str">
        <x:v>新出现</x:v>
      </x:c>
      <x:c r="M889" s="20"/>
      <x:c r="N889" s="21" t="n">
        <x:v>1387000</x:v>
      </x:c>
      <x:c r="O889" s="21" t="n">
        <x:v>10541</x:v>
      </x:c>
      <x:c r="P889" s="21" t="n">
        <x:f>ROUND(N889*K889,0)</x:f>
        <x:v>10541</x:v>
      </x:c>
      <x:c r="Q889" s="19" t="str">
        <x:v>否</x:v>
      </x:c>
      <x:c r="R889" s="19" t="str"/>
      <x:c r="S889" s="19" t="n">
        <x:f>IF(Q889="是",0,MIN(10,2+IF(C889="高",2,1)+IF(K889&gt;=3%,3,IF(K889&gt;=1%,2,1))+IF(L889="新出现",2,IF(M889&gt;=100%,3,IF(M889&gt;0,2,0)))))</x:f>
        <x:v>7</x:v>
      </x:c>
      <x:c r="T889" s="21"/>
      <x:c r="U889" s="20"/>
      <x:c r="V889" s="19" t="str">
        <x:v>http://andwemet.com/</x:v>
      </x:c>
      <x:c r="W889" s="19" t="str">
        <x:v>https://pro.similarweb.com/#/digitalsuite/websiteanalysis/referrals/*/999/1m?webSource=Total&amp;selectedTab=incomingTraffic&amp;key=pages.razorpay.com</x:v>
      </x:c>
      <x:c r="X889" s="20" t="n">
        <x:f>IF(Q889="是",0,IFERROR(P889/SUMIFS($P$2:$P$964,$A$2:$A$964,A889,$Q$2:$Q$964,"否"),0))</x:f>
        <x:v>0.010824482368755333</x:v>
      </x:c>
      <x:c r="Y889" s="22" t="str">
        <x:f>IF(OR(M889="",U889=""),"未交叉",IF(M889*U889&gt;0,"同向",IF(M889*U889&lt;0,"背离","一侧持平")))</x:f>
        <x:v>未交叉</x:v>
      </x:c>
    </x:row>
    <x:row r="890">
      <x:c r="A890" s="18" t="str">
        <x:v>pages.razorpay.com</x:v>
      </x:c>
      <x:c r="B890" s="19" t="str">
        <x:v>专用支付/结账入口</x:v>
      </x:c>
      <x:c r="C890" s="19" t="str">
        <x:v>高</x:v>
      </x:c>
      <x:c r="D890" s="19" t="str">
        <x:v>Jul 2026</x:v>
      </x:c>
      <x:c r="E890" s="19" t="n">
        <x:v>26</x:v>
      </x:c>
      <x:c r="F890" s="19" t="str">
        <x:v>sandeepdas.academy</x:v>
      </x:c>
      <x:c r="G890" s="19" t="str">
        <x:v>Unknown</x:v>
      </x:c>
      <x:c r="H890" s="19" t="str">
        <x:v>其他/待核查</x:v>
      </x:c>
      <x:c r="I890" s="19" t="str">
        <x:v>Similarweb 未分类</x:v>
      </x:c>
      <x:c r="J890" s="19" t="n">
        <x:v>485383</x:v>
      </x:c>
      <x:c r="K890" s="20" t="n">
        <x:v>0.0075</x:v>
      </x:c>
      <x:c r="L890" s="19" t="str">
        <x:v>上升</x:v>
      </x:c>
      <x:c r="M890" s="20" t="n">
        <x:v>0.1387</x:v>
      </x:c>
      <x:c r="N890" s="21" t="n">
        <x:v>1387000</x:v>
      </x:c>
      <x:c r="O890" s="21" t="n">
        <x:v>10403</x:v>
      </x:c>
      <x:c r="P890" s="21" t="n">
        <x:f>ROUND(N890*K890,0)</x:f>
        <x:v>10403</x:v>
      </x:c>
      <x:c r="Q890" s="19" t="str">
        <x:v>否</x:v>
      </x:c>
      <x:c r="R890" s="19" t="str"/>
      <x:c r="S890" s="19" t="n">
        <x:f>IF(Q890="是",0,MIN(10,2+IF(C890="高",2,1)+IF(K890&gt;=3%,3,IF(K890&gt;=1%,2,1))+IF(L890="新出现",2,IF(M890&gt;=100%,3,IF(M890&gt;0,2,0)))))</x:f>
        <x:v>7</x:v>
      </x:c>
      <x:c r="T890" s="21"/>
      <x:c r="U890" s="20"/>
      <x:c r="V890" s="19" t="str">
        <x:v>http://sandeepdas.academy/</x:v>
      </x:c>
      <x:c r="W890" s="19" t="str">
        <x:v>https://pro.similarweb.com/#/digitalsuite/websiteanalysis/referrals/*/999/1m?webSource=Total&amp;selectedTab=incomingTraffic&amp;key=pages.razorpay.com</x:v>
      </x:c>
      <x:c r="X890" s="20" t="n">
        <x:f>IF(Q890="是",0,IFERROR(P890/SUMIFS($P$2:$P$964,$A$2:$A$964,A890,$Q$2:$Q$964,"否"),0))</x:f>
        <x:v>0.010682771092131841</x:v>
      </x:c>
      <x:c r="Y890" s="22" t="str">
        <x:f>IF(OR(M890="",U890=""),"未交叉",IF(M890*U890&gt;0,"同向",IF(M890*U890&lt;0,"背离","一侧持平")))</x:f>
        <x:v>未交叉</x:v>
      </x:c>
    </x:row>
    <x:row r="891">
      <x:c r="A891" s="18" t="str">
        <x:v>pages.razorpay.com</x:v>
      </x:c>
      <x:c r="B891" s="19" t="str">
        <x:v>专用支付/结账入口</x:v>
      </x:c>
      <x:c r="C891" s="19" t="str">
        <x:v>高</x:v>
      </x:c>
      <x:c r="D891" s="19" t="str">
        <x:v>Jul 2026</x:v>
      </x:c>
      <x:c r="E891" s="19" t="n">
        <x:v>27</x:v>
      </x:c>
      <x:c r="F891" s="19" t="str">
        <x:v>surshyam.co</x:v>
      </x:c>
      <x:c r="G891" s="19" t="str">
        <x:v>Unknown</x:v>
      </x:c>
      <x:c r="H891" s="19" t="str">
        <x:v>其他/待核查</x:v>
      </x:c>
      <x:c r="I891" s="19" t="str">
        <x:v>Similarweb 未分类</x:v>
      </x:c>
      <x:c r="J891" s="19" t="n">
        <x:v>1090809</x:v>
      </x:c>
      <x:c r="K891" s="20" t="n">
        <x:v>0.0063</x:v>
      </x:c>
      <x:c r="L891" s="19" t="str">
        <x:v>上升</x:v>
      </x:c>
      <x:c r="M891" s="20" t="n">
        <x:v>3.6914</x:v>
      </x:c>
      <x:c r="N891" s="21" t="n">
        <x:v>1387000</x:v>
      </x:c>
      <x:c r="O891" s="21" t="n">
        <x:v>8738</x:v>
      </x:c>
      <x:c r="P891" s="21" t="n">
        <x:f>ROUND(N891*K891,0)</x:f>
        <x:v>8738</x:v>
      </x:c>
      <x:c r="Q891" s="19" t="str">
        <x:v>否</x:v>
      </x:c>
      <x:c r="R891" s="19" t="str"/>
      <x:c r="S891" s="19" t="n">
        <x:f>IF(Q891="是",0,MIN(10,2+IF(C891="高",2,1)+IF(K891&gt;=3%,3,IF(K891&gt;=1%,2,1))+IF(L891="新出现",2,IF(M891&gt;=100%,3,IF(M891&gt;0,2,0)))))</x:f>
        <x:v>8</x:v>
      </x:c>
      <x:c r="T891" s="21"/>
      <x:c r="U891" s="20"/>
      <x:c r="V891" s="19" t="str">
        <x:v>http://surshyam.co/</x:v>
      </x:c>
      <x:c r="W891" s="19" t="str">
        <x:v>https://pro.similarweb.com/#/digitalsuite/websiteanalysis/referrals/*/999/1m?webSource=Total&amp;selectedTab=incomingTraffic&amp;key=pages.razorpay.com</x:v>
      </x:c>
      <x:c r="X891" s="20" t="n">
        <x:f>IF(Q891="是",0,IFERROR(P891/SUMIFS($P$2:$P$964,$A$2:$A$964,A891,$Q$2:$Q$964,"否"),0))</x:f>
        <x:v>0.008972993732870136</x:v>
      </x:c>
      <x:c r="Y891" s="22" t="str">
        <x:f>IF(OR(M891="",U891=""),"未交叉",IF(M891*U891&gt;0,"同向",IF(M891*U891&lt;0,"背离","一侧持平")))</x:f>
        <x:v>未交叉</x:v>
      </x:c>
    </x:row>
    <x:row r="892">
      <x:c r="A892" s="18" t="str">
        <x:v>pages.razorpay.com</x:v>
      </x:c>
      <x:c r="B892" s="19" t="str">
        <x:v>专用支付/结账入口</x:v>
      </x:c>
      <x:c r="C892" s="19" t="str">
        <x:v>高</x:v>
      </x:c>
      <x:c r="D892" s="19" t="str">
        <x:v>Jul 2026</x:v>
      </x:c>
      <x:c r="E892" s="19" t="n">
        <x:v>28</x:v>
      </x:c>
      <x:c r="F892" s="19" t="str">
        <x:v>jeesociety.in</x:v>
      </x:c>
      <x:c r="G892" s="19" t="str">
        <x:v>Education</x:v>
      </x:c>
      <x:c r="H892" s="19" t="str">
        <x:v>教育、知识与考试服务</x:v>
      </x:c>
      <x:c r="I892" s="19" t="str">
        <x:v>Similarweb 行业映射</x:v>
      </x:c>
      <x:c r="J892" s="19" t="n">
        <x:v>387926</x:v>
      </x:c>
      <x:c r="K892" s="20" t="n">
        <x:v>0.0059</x:v>
      </x:c>
      <x:c r="L892" s="19" t="str">
        <x:v>下降</x:v>
      </x:c>
      <x:c r="M892" s="20" t="n">
        <x:v>-0.46799999999999997</x:v>
      </x:c>
      <x:c r="N892" s="21" t="n">
        <x:v>1387000</x:v>
      </x:c>
      <x:c r="O892" s="21" t="n">
        <x:v>8183</x:v>
      </x:c>
      <x:c r="P892" s="21" t="n">
        <x:f>ROUND(N892*K892,0)</x:f>
        <x:v>8183</x:v>
      </x:c>
      <x:c r="Q892" s="19" t="str">
        <x:v>否</x:v>
      </x:c>
      <x:c r="R892" s="19" t="str"/>
      <x:c r="S892" s="19" t="n">
        <x:f>IF(Q892="是",0,MIN(10,2+IF(C892="高",2,1)+IF(K892&gt;=3%,3,IF(K892&gt;=1%,2,1))+IF(L892="新出现",2,IF(M892&gt;=100%,3,IF(M892&gt;0,2,0)))))</x:f>
        <x:v>5</x:v>
      </x:c>
      <x:c r="T892" s="21"/>
      <x:c r="U892" s="20"/>
      <x:c r="V892" s="19" t="str">
        <x:v>http://jeesociety.in/</x:v>
      </x:c>
      <x:c r="W892" s="19" t="str">
        <x:v>https://pro.similarweb.com/#/digitalsuite/websiteanalysis/referrals/*/999/1m?webSource=Total&amp;selectedTab=incomingTraffic&amp;key=pages.razorpay.com</x:v>
      </x:c>
      <x:c r="X892" s="20" t="n">
        <x:f>IF(Q892="是",0,IFERROR(P892/SUMIFS($P$2:$P$964,$A$2:$A$964,A892,$Q$2:$Q$964,"否"),0))</x:f>
        <x:v>0.008403067946449568</x:v>
      </x:c>
      <x:c r="Y892" s="22" t="str">
        <x:f>IF(OR(M892="",U892=""),"未交叉",IF(M892*U892&gt;0,"同向",IF(M892*U892&lt;0,"背离","一侧持平")))</x:f>
        <x:v>未交叉</x:v>
      </x:c>
    </x:row>
    <x:row r="893">
      <x:c r="A893" s="18" t="str">
        <x:v>pages.razorpay.com</x:v>
      </x:c>
      <x:c r="B893" s="19" t="str">
        <x:v>专用支付/结账入口</x:v>
      </x:c>
      <x:c r="C893" s="19" t="str">
        <x:v>高</x:v>
      </x:c>
      <x:c r="D893" s="19" t="str">
        <x:v>Jul 2026</x:v>
      </x:c>
      <x:c r="E893" s="19" t="n">
        <x:v>29</x:v>
      </x:c>
      <x:c r="F893" s="19" t="str">
        <x:v>sumitpareek.in</x:v>
      </x:c>
      <x:c r="G893" s="19" t="str">
        <x:v>Unknown</x:v>
      </x:c>
      <x:c r="H893" s="19" t="str">
        <x:v>其他/待核查</x:v>
      </x:c>
      <x:c r="I893" s="19" t="str">
        <x:v>Similarweb 未分类</x:v>
      </x:c>
      <x:c r="J893" s="19" t="n">
        <x:v>1811287</x:v>
      </x:c>
      <x:c r="K893" s="20" t="n">
        <x:v>0.005600000000000001</x:v>
      </x:c>
      <x:c r="L893" s="19" t="str">
        <x:v>下降</x:v>
      </x:c>
      <x:c r="M893" s="20" t="n">
        <x:v>-0.7142000000000001</x:v>
      </x:c>
      <x:c r="N893" s="21" t="n">
        <x:v>1387000</x:v>
      </x:c>
      <x:c r="O893" s="21" t="n">
        <x:v>7767</x:v>
      </x:c>
      <x:c r="P893" s="21" t="n">
        <x:f>ROUND(N893*K893,0)</x:f>
        <x:v>7767</x:v>
      </x:c>
      <x:c r="Q893" s="19" t="str">
        <x:v>否</x:v>
      </x:c>
      <x:c r="R893" s="19" t="str"/>
      <x:c r="S893" s="19" t="n">
        <x:f>IF(Q893="是",0,MIN(10,2+IF(C893="高",2,1)+IF(K893&gt;=3%,3,IF(K893&gt;=1%,2,1))+IF(L893="新出现",2,IF(M893&gt;=100%,3,IF(M893&gt;0,2,0)))))</x:f>
        <x:v>5</x:v>
      </x:c>
      <x:c r="T893" s="21"/>
      <x:c r="U893" s="20"/>
      <x:c r="V893" s="19" t="str">
        <x:v>http://sumitpareek.in/</x:v>
      </x:c>
      <x:c r="W893" s="19" t="str">
        <x:v>https://pro.similarweb.com/#/digitalsuite/websiteanalysis/referrals/*/999/1m?webSource=Total&amp;selectedTab=incomingTraffic&amp;key=pages.razorpay.com</x:v>
      </x:c>
      <x:c r="X893" s="20" t="n">
        <x:f>IF(Q893="是",0,IFERROR(P893/SUMIFS($P$2:$P$964,$A$2:$A$964,A893,$Q$2:$Q$964,"否"),0))</x:f>
        <x:v>0.007975880329961358</x:v>
      </x:c>
      <x:c r="Y893" s="22" t="str">
        <x:f>IF(OR(M893="",U893=""),"未交叉",IF(M893*U893&gt;0,"同向",IF(M893*U893&lt;0,"背离","一侧持平")))</x:f>
        <x:v>未交叉</x:v>
      </x:c>
    </x:row>
    <x:row r="894">
      <x:c r="A894" s="18" t="str">
        <x:v>pages.razorpay.com</x:v>
      </x:c>
      <x:c r="B894" s="19" t="str">
        <x:v>专用支付/结账入口</x:v>
      </x:c>
      <x:c r="C894" s="19" t="str">
        <x:v>高</x:v>
      </x:c>
      <x:c r="D894" s="19" t="str">
        <x:v>Jul 2026</x:v>
      </x:c>
      <x:c r="E894" s="19" t="n">
        <x:v>30</x:v>
      </x:c>
      <x:c r="F894" s="19" t="str">
        <x:v>preppyq.in</x:v>
      </x:c>
      <x:c r="G894" s="19" t="str">
        <x:v>Education</x:v>
      </x:c>
      <x:c r="H894" s="19" t="str">
        <x:v>教育、知识与考试服务</x:v>
      </x:c>
      <x:c r="I894" s="19" t="str">
        <x:v>Similarweb 行业映射</x:v>
      </x:c>
      <x:c r="J894" s="19" t="n">
        <x:v>296520</x:v>
      </x:c>
      <x:c r="K894" s="20" t="n">
        <x:v>0.0054</x:v>
      </x:c>
      <x:c r="L894" s="19" t="str">
        <x:v>上升</x:v>
      </x:c>
      <x:c r="M894" s="20" t="n">
        <x:v>0.2169</x:v>
      </x:c>
      <x:c r="N894" s="21" t="n">
        <x:v>1387000</x:v>
      </x:c>
      <x:c r="O894" s="21" t="n">
        <x:v>7490</x:v>
      </x:c>
      <x:c r="P894" s="21" t="n">
        <x:f>ROUND(N894*K894,0)</x:f>
        <x:v>7490</x:v>
      </x:c>
      <x:c r="Q894" s="19" t="str">
        <x:v>否</x:v>
      </x:c>
      <x:c r="R894" s="19" t="str"/>
      <x:c r="S894" s="19" t="n">
        <x:f>IF(Q894="是",0,MIN(10,2+IF(C894="高",2,1)+IF(K894&gt;=3%,3,IF(K894&gt;=1%,2,1))+IF(L894="新出现",2,IF(M894&gt;=100%,3,IF(M894&gt;0,2,0)))))</x:f>
        <x:v>7</x:v>
      </x:c>
      <x:c r="T894" s="21"/>
      <x:c r="U894" s="20"/>
      <x:c r="V894" s="19" t="str">
        <x:v>http://preppyq.in/</x:v>
      </x:c>
      <x:c r="W894" s="19" t="str">
        <x:v>https://pro.similarweb.com/#/digitalsuite/websiteanalysis/referrals/*/999/1m?webSource=Total&amp;selectedTab=incomingTraffic&amp;key=pages.razorpay.com</x:v>
      </x:c>
      <x:c r="X894" s="20" t="n">
        <x:f>IF(Q894="是",0,IFERROR(P894/SUMIFS($P$2:$P$964,$A$2:$A$964,A894,$Q$2:$Q$964,"否"),0))</x:f>
        <x:v>0.007691430883405507</x:v>
      </x:c>
      <x:c r="Y894" s="22" t="str">
        <x:f>IF(OR(M894="",U894=""),"未交叉",IF(M894*U894&gt;0,"同向",IF(M894*U894&lt;0,"背离","一侧持平")))</x:f>
        <x:v>未交叉</x:v>
      </x:c>
    </x:row>
    <x:row r="895">
      <x:c r="A895" s="18" t="str">
        <x:v>pages.razorpay.com</x:v>
      </x:c>
      <x:c r="B895" s="19" t="str">
        <x:v>专用支付/结账入口</x:v>
      </x:c>
      <x:c r="C895" s="19" t="str">
        <x:v>高</x:v>
      </x:c>
      <x:c r="D895" s="19" t="str">
        <x:v>Jul 2026</x:v>
      </x:c>
      <x:c r="E895" s="19" t="n">
        <x:v>31</x:v>
      </x:c>
      <x:c r="F895" s="19" t="str">
        <x:v>aleenarais.com</x:v>
      </x:c>
      <x:c r="G895" s="19" t="str">
        <x:v>Accounting and Auditing</x:v>
      </x:c>
      <x:c r="H895" s="19" t="str">
        <x:v>其他/待核查</x:v>
      </x:c>
      <x:c r="I895" s="19" t="str">
        <x:v>保守归类</x:v>
      </x:c>
      <x:c r="J895" s="19" t="n">
        <x:v>359866</x:v>
      </x:c>
      <x:c r="K895" s="20" t="n">
        <x:v>0.0052</x:v>
      </x:c>
      <x:c r="L895" s="19" t="str">
        <x:v>上升</x:v>
      </x:c>
      <x:c r="M895" s="20" t="n">
        <x:v>1.6257</x:v>
      </x:c>
      <x:c r="N895" s="21" t="n">
        <x:v>1387000</x:v>
      </x:c>
      <x:c r="O895" s="21" t="n">
        <x:v>7212</x:v>
      </x:c>
      <x:c r="P895" s="21" t="n">
        <x:f>ROUND(N895*K895,0)</x:f>
        <x:v>7212</x:v>
      </x:c>
      <x:c r="Q895" s="19" t="str">
        <x:v>否</x:v>
      </x:c>
      <x:c r="R895" s="19" t="str"/>
      <x:c r="S895" s="19" t="n">
        <x:f>IF(Q895="是",0,MIN(10,2+IF(C895="高",2,1)+IF(K895&gt;=3%,3,IF(K895&gt;=1%,2,1))+IF(L895="新出现",2,IF(M895&gt;=100%,3,IF(M895&gt;0,2,0)))))</x:f>
        <x:v>8</x:v>
      </x:c>
      <x:c r="T895" s="21"/>
      <x:c r="U895" s="20"/>
      <x:c r="V895" s="19" t="str">
        <x:v>http://aleenarais.com/</x:v>
      </x:c>
      <x:c r="W895" s="19" t="str">
        <x:v>https://pro.similarweb.com/#/digitalsuite/websiteanalysis/referrals/*/999/1m?webSource=Total&amp;selectedTab=incomingTraffic&amp;key=pages.razorpay.com</x:v>
      </x:c>
      <x:c r="X895" s="20" t="n">
        <x:f>IF(Q895="是",0,IFERROR(P895/SUMIFS($P$2:$P$964,$A$2:$A$964,A895,$Q$2:$Q$964,"否"),0))</x:f>
        <x:v>0.00740595454354079</x:v>
      </x:c>
      <x:c r="Y895" s="22" t="str">
        <x:f>IF(OR(M895="",U895=""),"未交叉",IF(M895*U895&gt;0,"同向",IF(M895*U895&lt;0,"背离","一侧持平")))</x:f>
        <x:v>未交叉</x:v>
      </x:c>
    </x:row>
    <x:row r="896">
      <x:c r="A896" s="18" t="str">
        <x:v>pages.razorpay.com</x:v>
      </x:c>
      <x:c r="B896" s="19" t="str">
        <x:v>专用支付/结账入口</x:v>
      </x:c>
      <x:c r="C896" s="19" t="str">
        <x:v>高</x:v>
      </x:c>
      <x:c r="D896" s="19" t="str">
        <x:v>Jul 2026</x:v>
      </x:c>
      <x:c r="E896" s="19" t="n">
        <x:v>32</x:v>
      </x:c>
      <x:c r="F896" s="19" t="str">
        <x:v>er.askvalarrmathi.com</x:v>
      </x:c>
      <x:c r="G896" s="19" t="str">
        <x:v>Unknown</x:v>
      </x:c>
      <x:c r="H896" s="19" t="str">
        <x:v>其他/待核查</x:v>
      </x:c>
      <x:c r="I896" s="19" t="str">
        <x:v>Similarweb 未分类</x:v>
      </x:c>
      <x:c r="J896" s="19"/>
      <x:c r="K896" s="20" t="n">
        <x:v>0.005</x:v>
      </x:c>
      <x:c r="L896" s="19" t="str">
        <x:v>新出现</x:v>
      </x:c>
      <x:c r="M896" s="20"/>
      <x:c r="N896" s="21" t="n">
        <x:v>1387000</x:v>
      </x:c>
      <x:c r="O896" s="21" t="n">
        <x:v>6935</x:v>
      </x:c>
      <x:c r="P896" s="21" t="n">
        <x:f>ROUND(N896*K896,0)</x:f>
        <x:v>6935</x:v>
      </x:c>
      <x:c r="Q896" s="19" t="str">
        <x:v>否</x:v>
      </x:c>
      <x:c r="R896" s="19" t="str"/>
      <x:c r="S896" s="19" t="n">
        <x:f>IF(Q896="是",0,MIN(10,2+IF(C896="高",2,1)+IF(K896&gt;=3%,3,IF(K896&gt;=1%,2,1))+IF(L896="新出现",2,IF(M896&gt;=100%,3,IF(M896&gt;0,2,0)))))</x:f>
        <x:v>7</x:v>
      </x:c>
      <x:c r="T896" s="21"/>
      <x:c r="U896" s="20"/>
      <x:c r="V896" s="19" t="str">
        <x:v>http://er.askvalarrmathi.com/</x:v>
      </x:c>
      <x:c r="W896" s="19" t="str">
        <x:v>https://pro.similarweb.com/#/digitalsuite/websiteanalysis/referrals/*/999/1m?webSource=Total&amp;selectedTab=incomingTraffic&amp;key=pages.razorpay.com</x:v>
      </x:c>
      <x:c r="X896" s="20" t="n">
        <x:f>IF(Q896="是",0,IFERROR(P896/SUMIFS($P$2:$P$964,$A$2:$A$964,A896,$Q$2:$Q$964,"否"),0))</x:f>
        <x:v>0.0071215050969849385</x:v>
      </x:c>
      <x:c r="Y896" s="22" t="str">
        <x:f>IF(OR(M896="",U896=""),"未交叉",IF(M896*U896&gt;0,"同向",IF(M896*U896&lt;0,"背离","一侧持平")))</x:f>
        <x:v>未交叉</x:v>
      </x:c>
    </x:row>
    <x:row r="897">
      <x:c r="A897" s="18" t="str">
        <x:v>pages.razorpay.com</x:v>
      </x:c>
      <x:c r="B897" s="19" t="str">
        <x:v>专用支付/结账入口</x:v>
      </x:c>
      <x:c r="C897" s="19" t="str">
        <x:v>高</x:v>
      </x:c>
      <x:c r="D897" s="19" t="str">
        <x:v>Jul 2026</x:v>
      </x:c>
      <x:c r="E897" s="19" t="n">
        <x:v>33</x:v>
      </x:c>
      <x:c r="F897" s="19" t="str">
        <x:v>framer.website</x:v>
      </x:c>
      <x:c r="G897" s="19" t="str">
        <x:v>Graphics Multimedia and Web Design</x:v>
      </x:c>
      <x:c r="H897" s="19" t="str">
        <x:v>创作、设计与多媒体工具</x:v>
      </x:c>
      <x:c r="I897" s="19" t="str">
        <x:v>Similarweb 行业映射</x:v>
      </x:c>
      <x:c r="J897" s="19" t="n">
        <x:v>12432</x:v>
      </x:c>
      <x:c r="K897" s="20" t="n">
        <x:v>0.005</x:v>
      </x:c>
      <x:c r="L897" s="19" t="str">
        <x:v>上升</x:v>
      </x:c>
      <x:c r="M897" s="20" t="n">
        <x:v>4.5588999999999995</x:v>
      </x:c>
      <x:c r="N897" s="21" t="n">
        <x:v>1387000</x:v>
      </x:c>
      <x:c r="O897" s="21" t="n">
        <x:v>6935</x:v>
      </x:c>
      <x:c r="P897" s="21" t="n">
        <x:f>ROUND(N897*K897,0)</x:f>
        <x:v>6935</x:v>
      </x:c>
      <x:c r="Q897" s="19" t="str">
        <x:v>否</x:v>
      </x:c>
      <x:c r="R897" s="19" t="str"/>
      <x:c r="S897" s="19" t="n">
        <x:f>IF(Q897="是",0,MIN(10,2+IF(C897="高",2,1)+IF(K897&gt;=3%,3,IF(K897&gt;=1%,2,1))+IF(L897="新出现",2,IF(M897&gt;=100%,3,IF(M897&gt;0,2,0)))))</x:f>
        <x:v>8</x:v>
      </x:c>
      <x:c r="T897" s="21"/>
      <x:c r="U897" s="20"/>
      <x:c r="V897" s="19" t="str">
        <x:v>http://framer.website/</x:v>
      </x:c>
      <x:c r="W897" s="19" t="str">
        <x:v>https://pro.similarweb.com/#/digitalsuite/websiteanalysis/referrals/*/999/1m?webSource=Total&amp;selectedTab=incomingTraffic&amp;key=pages.razorpay.com</x:v>
      </x:c>
      <x:c r="X897" s="20" t="n">
        <x:f>IF(Q897="是",0,IFERROR(P897/SUMIFS($P$2:$P$964,$A$2:$A$964,A897,$Q$2:$Q$964,"否"),0))</x:f>
        <x:v>0.0071215050969849385</x:v>
      </x:c>
      <x:c r="Y897" s="22" t="str">
        <x:f>IF(OR(M897="",U897=""),"未交叉",IF(M897*U897&gt;0,"同向",IF(M897*U897&lt;0,"背离","一侧持平")))</x:f>
        <x:v>未交叉</x:v>
      </x:c>
    </x:row>
    <x:row r="898">
      <x:c r="A898" s="18" t="str">
        <x:v>pages.razorpay.com</x:v>
      </x:c>
      <x:c r="B898" s="19" t="str">
        <x:v>专用支付/结账入口</x:v>
      </x:c>
      <x:c r="C898" s="19" t="str">
        <x:v>高</x:v>
      </x:c>
      <x:c r="D898" s="19" t="str">
        <x:v>Jul 2026</x:v>
      </x:c>
      <x:c r="E898" s="19" t="n">
        <x:v>34</x:v>
      </x:c>
      <x:c r="F898" s="19" t="str">
        <x:v>workshop.digitalscholar.in</x:v>
      </x:c>
      <x:c r="G898" s="19" t="str">
        <x:v>Graphics Multimedia and Web Design</x:v>
      </x:c>
      <x:c r="H898" s="19" t="str">
        <x:v>创作、设计与多媒体工具</x:v>
      </x:c>
      <x:c r="I898" s="19" t="str">
        <x:v>Similarweb 行业映射</x:v>
      </x:c>
      <x:c r="J898" s="19"/>
      <x:c r="K898" s="20" t="n">
        <x:v>0.005</x:v>
      </x:c>
      <x:c r="L898" s="19" t="str">
        <x:v>新出现</x:v>
      </x:c>
      <x:c r="M898" s="20"/>
      <x:c r="N898" s="21" t="n">
        <x:v>1387000</x:v>
      </x:c>
      <x:c r="O898" s="21" t="n">
        <x:v>6935</x:v>
      </x:c>
      <x:c r="P898" s="21" t="n">
        <x:f>ROUND(N898*K898,0)</x:f>
        <x:v>6935</x:v>
      </x:c>
      <x:c r="Q898" s="19" t="str">
        <x:v>否</x:v>
      </x:c>
      <x:c r="R898" s="19" t="str"/>
      <x:c r="S898" s="19" t="n">
        <x:f>IF(Q898="是",0,MIN(10,2+IF(C898="高",2,1)+IF(K898&gt;=3%,3,IF(K898&gt;=1%,2,1))+IF(L898="新出现",2,IF(M898&gt;=100%,3,IF(M898&gt;0,2,0)))))</x:f>
        <x:v>7</x:v>
      </x:c>
      <x:c r="T898" s="21"/>
      <x:c r="U898" s="20"/>
      <x:c r="V898" s="19" t="str">
        <x:v>http://workshop.digitalscholar.in/</x:v>
      </x:c>
      <x:c r="W898" s="19" t="str">
        <x:v>https://pro.similarweb.com/#/digitalsuite/websiteanalysis/referrals/*/999/1m?webSource=Total&amp;selectedTab=incomingTraffic&amp;key=pages.razorpay.com</x:v>
      </x:c>
      <x:c r="X898" s="20" t="n">
        <x:f>IF(Q898="是",0,IFERROR(P898/SUMIFS($P$2:$P$964,$A$2:$A$964,A898,$Q$2:$Q$964,"否"),0))</x:f>
        <x:v>0.0071215050969849385</x:v>
      </x:c>
      <x:c r="Y898" s="22" t="str">
        <x:f>IF(OR(M898="",U898=""),"未交叉",IF(M898*U898&gt;0,"同向",IF(M898*U898&lt;0,"背离","一侧持平")))</x:f>
        <x:v>未交叉</x:v>
      </x:c>
    </x:row>
    <x:row r="899">
      <x:c r="A899" s="18" t="str">
        <x:v>pages.razorpay.com</x:v>
      </x:c>
      <x:c r="B899" s="19" t="str">
        <x:v>专用支付/结账入口</x:v>
      </x:c>
      <x:c r="C899" s="19" t="str">
        <x:v>高</x:v>
      </x:c>
      <x:c r="D899" s="19" t="str">
        <x:v>Jul 2026</x:v>
      </x:c>
      <x:c r="E899" s="19" t="n">
        <x:v>35</x:v>
      </x:c>
      <x:c r="F899" s="19" t="str">
        <x:v>jumaani.com</x:v>
      </x:c>
      <x:c r="G899" s="19" t="str">
        <x:v>Faith and Beliefs</x:v>
      </x:c>
      <x:c r="H899" s="19" t="str">
        <x:v>教育、知识与考试服务</x:v>
      </x:c>
      <x:c r="I899" s="19" t="str">
        <x:v>Similarweb 行业映射</x:v>
      </x:c>
      <x:c r="J899" s="19" t="n">
        <x:v>1056740</x:v>
      </x:c>
      <x:c r="K899" s="20" t="n">
        <x:v>0.0049</x:v>
      </x:c>
      <x:c r="L899" s="19" t="str">
        <x:v>上升</x:v>
      </x:c>
      <x:c r="M899" s="20" t="n">
        <x:v>0.0725</x:v>
      </x:c>
      <x:c r="N899" s="21" t="n">
        <x:v>1387000</x:v>
      </x:c>
      <x:c r="O899" s="21" t="n">
        <x:v>6796</x:v>
      </x:c>
      <x:c r="P899" s="21" t="n">
        <x:f>ROUND(N899*K899,0)</x:f>
        <x:v>6796</x:v>
      </x:c>
      <x:c r="Q899" s="19" t="str">
        <x:v>否</x:v>
      </x:c>
      <x:c r="R899" s="19" t="str"/>
      <x:c r="S899" s="19" t="n">
        <x:f>IF(Q899="是",0,MIN(10,2+IF(C899="高",2,1)+IF(K899&gt;=3%,3,IF(K899&gt;=1%,2,1))+IF(L899="新出现",2,IF(M899&gt;=100%,3,IF(M899&gt;0,2,0)))))</x:f>
        <x:v>7</x:v>
      </x:c>
      <x:c r="T899" s="21"/>
      <x:c r="U899" s="20"/>
      <x:c r="V899" s="19" t="str">
        <x:v>http://jumaani.com/</x:v>
      </x:c>
      <x:c r="W899" s="19" t="str">
        <x:v>https://pro.similarweb.com/#/digitalsuite/websiteanalysis/referrals/*/999/1m?webSource=Total&amp;selectedTab=incomingTraffic&amp;key=pages.razorpay.com</x:v>
      </x:c>
      <x:c r="X899" s="20" t="n">
        <x:f>IF(Q899="是",0,IFERROR(P899/SUMIFS($P$2:$P$964,$A$2:$A$964,A899,$Q$2:$Q$964,"否"),0))</x:f>
        <x:v>0.00697876692705258</x:v>
      </x:c>
      <x:c r="Y899" s="22" t="str">
        <x:f>IF(OR(M899="",U899=""),"未交叉",IF(M899*U899&gt;0,"同向",IF(M899*U899&lt;0,"背离","一侧持平")))</x:f>
        <x:v>未交叉</x:v>
      </x:c>
    </x:row>
    <x:row r="900">
      <x:c r="A900" s="18" t="str">
        <x:v>pages.razorpay.com</x:v>
      </x:c>
      <x:c r="B900" s="19" t="str">
        <x:v>专用支付/结账入口</x:v>
      </x:c>
      <x:c r="C900" s="19" t="str">
        <x:v>高</x:v>
      </x:c>
      <x:c r="D900" s="19" t="str">
        <x:v>Jul 2026</x:v>
      </x:c>
      <x:c r="E900" s="19" t="n">
        <x:v>36</x:v>
      </x:c>
      <x:c r="F900" s="19" t="str">
        <x:v>achosenson.com</x:v>
      </x:c>
      <x:c r="G900" s="19" t="str">
        <x:v>Faith and Beliefs</x:v>
      </x:c>
      <x:c r="H900" s="19" t="str">
        <x:v>教育、知识与考试服务</x:v>
      </x:c>
      <x:c r="I900" s="19" t="str">
        <x:v>Similarweb 行业映射</x:v>
      </x:c>
      <x:c r="J900" s="19" t="n">
        <x:v>1226922</x:v>
      </x:c>
      <x:c r="K900" s="20" t="n">
        <x:v>0.004699999999999999</x:v>
      </x:c>
      <x:c r="L900" s="19" t="str">
        <x:v>新出现</x:v>
      </x:c>
      <x:c r="M900" s="20"/>
      <x:c r="N900" s="21" t="n">
        <x:v>1387000</x:v>
      </x:c>
      <x:c r="O900" s="21" t="n">
        <x:v>6519</x:v>
      </x:c>
      <x:c r="P900" s="21" t="n">
        <x:f>ROUND(N900*K900,0)</x:f>
        <x:v>6519</x:v>
      </x:c>
      <x:c r="Q900" s="19" t="str">
        <x:v>否</x:v>
      </x:c>
      <x:c r="R900" s="19" t="str"/>
      <x:c r="S900" s="19" t="n">
        <x:f>IF(Q900="是",0,MIN(10,2+IF(C900="高",2,1)+IF(K900&gt;=3%,3,IF(K900&gt;=1%,2,1))+IF(L900="新出现",2,IF(M900&gt;=100%,3,IF(M900&gt;0,2,0)))))</x:f>
        <x:v>7</x:v>
      </x:c>
      <x:c r="T900" s="21"/>
      <x:c r="U900" s="20"/>
      <x:c r="V900" s="19" t="str">
        <x:v>http://achosenson.com/</x:v>
      </x:c>
      <x:c r="W900" s="19" t="str">
        <x:v>https://pro.similarweb.com/#/digitalsuite/websiteanalysis/referrals/*/999/1m?webSource=Total&amp;selectedTab=incomingTraffic&amp;key=pages.razorpay.com</x:v>
      </x:c>
      <x:c r="X900" s="20" t="n">
        <x:f>IF(Q900="是",0,IFERROR(P900/SUMIFS($P$2:$P$964,$A$2:$A$964,A900,$Q$2:$Q$964,"否"),0))</x:f>
        <x:v>0.006694317480496729</x:v>
      </x:c>
      <x:c r="Y900" s="22" t="str">
        <x:f>IF(OR(M900="",U900=""),"未交叉",IF(M900*U900&gt;0,"同向",IF(M900*U900&lt;0,"背离","一侧持平")))</x:f>
        <x:v>未交叉</x:v>
      </x:c>
    </x:row>
    <x:row r="901">
      <x:c r="A901" s="18" t="str">
        <x:v>pages.razorpay.com</x:v>
      </x:c>
      <x:c r="B901" s="19" t="str">
        <x:v>专用支付/结账入口</x:v>
      </x:c>
      <x:c r="C901" s="19" t="str">
        <x:v>高</x:v>
      </x:c>
      <x:c r="D901" s="19" t="str">
        <x:v>Jul 2026</x:v>
      </x:c>
      <x:c r="E901" s="19" t="n">
        <x:v>37</x:v>
      </x:c>
      <x:c r="F901" s="19" t="str">
        <x:v>hometutors.in</x:v>
      </x:c>
      <x:c r="G901" s="19" t="str">
        <x:v>Education</x:v>
      </x:c>
      <x:c r="H901" s="19" t="str">
        <x:v>教育、知识与考试服务</x:v>
      </x:c>
      <x:c r="I901" s="19" t="str">
        <x:v>Similarweb 行业映射</x:v>
      </x:c>
      <x:c r="J901" s="19" t="n">
        <x:v>1205143</x:v>
      </x:c>
      <x:c r="K901" s="20" t="n">
        <x:v>0.0046</x:v>
      </x:c>
      <x:c r="L901" s="19" t="str">
        <x:v>新出现</x:v>
      </x:c>
      <x:c r="M901" s="20"/>
      <x:c r="N901" s="21" t="n">
        <x:v>1387000</x:v>
      </x:c>
      <x:c r="O901" s="21" t="n">
        <x:v>6380</x:v>
      </x:c>
      <x:c r="P901" s="21" t="n">
        <x:f>ROUND(N901*K901,0)</x:f>
        <x:v>6380</x:v>
      </x:c>
      <x:c r="Q901" s="19" t="str">
        <x:v>否</x:v>
      </x:c>
      <x:c r="R901" s="19" t="str"/>
      <x:c r="S901" s="19" t="n">
        <x:f>IF(Q901="是",0,MIN(10,2+IF(C901="高",2,1)+IF(K901&gt;=3%,3,IF(K901&gt;=1%,2,1))+IF(L901="新出现",2,IF(M901&gt;=100%,3,IF(M901&gt;0,2,0)))))</x:f>
        <x:v>7</x:v>
      </x:c>
      <x:c r="T901" s="21"/>
      <x:c r="U901" s="20"/>
      <x:c r="V901" s="19" t="str">
        <x:v>http://hometutors.in/</x:v>
      </x:c>
      <x:c r="W901" s="19" t="str">
        <x:v>https://pro.similarweb.com/#/digitalsuite/websiteanalysis/referrals/*/999/1m?webSource=Total&amp;selectedTab=incomingTraffic&amp;key=pages.razorpay.com</x:v>
      </x:c>
      <x:c r="X901" s="20" t="n">
        <x:f>IF(Q901="是",0,IFERROR(P901/SUMIFS($P$2:$P$964,$A$2:$A$964,A901,$Q$2:$Q$964,"否"),0))</x:f>
        <x:v>0.00655157931056437</x:v>
      </x:c>
      <x:c r="Y901" s="22" t="str">
        <x:f>IF(OR(M901="",U901=""),"未交叉",IF(M901*U901&gt;0,"同向",IF(M901*U901&lt;0,"背离","一侧持平")))</x:f>
        <x:v>未交叉</x:v>
      </x:c>
    </x:row>
    <x:row r="902">
      <x:c r="A902" s="18" t="str">
        <x:v>pages.razorpay.com</x:v>
      </x:c>
      <x:c r="B902" s="19" t="str">
        <x:v>专用支付/结账入口</x:v>
      </x:c>
      <x:c r="C902" s="19" t="str">
        <x:v>高</x:v>
      </x:c>
      <x:c r="D902" s="19" t="str">
        <x:v>Jul 2026</x:v>
      </x:c>
      <x:c r="E902" s="19" t="n">
        <x:v>38</x:v>
      </x:c>
      <x:c r="F902" s="19" t="str">
        <x:v>hardikraja.com</x:v>
      </x:c>
      <x:c r="G902" s="19" t="str">
        <x:v>Faith and Beliefs</x:v>
      </x:c>
      <x:c r="H902" s="19" t="str">
        <x:v>教育、知识与考试服务</x:v>
      </x:c>
      <x:c r="I902" s="19" t="str">
        <x:v>Similarweb 行业映射</x:v>
      </x:c>
      <x:c r="J902" s="19" t="n">
        <x:v>252414</x:v>
      </x:c>
      <x:c r="K902" s="20" t="n">
        <x:v>0.0044</x:v>
      </x:c>
      <x:c r="L902" s="19" t="str">
        <x:v>新出现</x:v>
      </x:c>
      <x:c r="M902" s="20"/>
      <x:c r="N902" s="21" t="n">
        <x:v>1387000</x:v>
      </x:c>
      <x:c r="O902" s="21" t="n">
        <x:v>6103</x:v>
      </x:c>
      <x:c r="P902" s="21" t="n">
        <x:f>ROUND(N902*K902,0)</x:f>
        <x:v>6103</x:v>
      </x:c>
      <x:c r="Q902" s="19" t="str">
        <x:v>否</x:v>
      </x:c>
      <x:c r="R902" s="19" t="str"/>
      <x:c r="S902" s="19" t="n">
        <x:f>IF(Q902="是",0,MIN(10,2+IF(C902="高",2,1)+IF(K902&gt;=3%,3,IF(K902&gt;=1%,2,1))+IF(L902="新出现",2,IF(M902&gt;=100%,3,IF(M902&gt;0,2,0)))))</x:f>
        <x:v>7</x:v>
      </x:c>
      <x:c r="T902" s="21"/>
      <x:c r="U902" s="20"/>
      <x:c r="V902" s="19" t="str">
        <x:v>http://hardikraja.com/</x:v>
      </x:c>
      <x:c r="W902" s="19" t="str">
        <x:v>https://pro.similarweb.com/#/digitalsuite/websiteanalysis/referrals/*/999/1m?webSource=Total&amp;selectedTab=incomingTraffic&amp;key=pages.razorpay.com</x:v>
      </x:c>
      <x:c r="X902" s="20" t="n">
        <x:f>IF(Q902="是",0,IFERROR(P902/SUMIFS($P$2:$P$964,$A$2:$A$964,A902,$Q$2:$Q$964,"否"),0))</x:f>
        <x:v>0.006267129864008519</x:v>
      </x:c>
      <x:c r="Y902" s="22" t="str">
        <x:f>IF(OR(M902="",U902=""),"未交叉",IF(M902*U902&gt;0,"同向",IF(M902*U902&lt;0,"背离","一侧持平")))</x:f>
        <x:v>未交叉</x:v>
      </x:c>
    </x:row>
    <x:row r="903">
      <x:c r="A903" s="18" t="str">
        <x:v>pages.razorpay.com</x:v>
      </x:c>
      <x:c r="B903" s="19" t="str">
        <x:v>专用支付/结账入口</x:v>
      </x:c>
      <x:c r="C903" s="19" t="str">
        <x:v>高</x:v>
      </x:c>
      <x:c r="D903" s="19" t="str">
        <x:v>Jul 2026</x:v>
      </x:c>
      <x:c r="E903" s="19" t="n">
        <x:v>39</x:v>
      </x:c>
      <x:c r="F903" s="19" t="str">
        <x:v>theonelife.social</x:v>
      </x:c>
      <x:c r="G903" s="19" t="str">
        <x:v>Unknown</x:v>
      </x:c>
      <x:c r="H903" s="19" t="str">
        <x:v>其他/待核查</x:v>
      </x:c>
      <x:c r="I903" s="19" t="str">
        <x:v>Similarweb 未分类</x:v>
      </x:c>
      <x:c r="J903" s="19" t="n">
        <x:v>505726</x:v>
      </x:c>
      <x:c r="K903" s="20" t="n">
        <x:v>0.0042</x:v>
      </x:c>
      <x:c r="L903" s="19" t="str">
        <x:v>下降</x:v>
      </x:c>
      <x:c r="M903" s="20" t="n">
        <x:v>-0.4941</x:v>
      </x:c>
      <x:c r="N903" s="21" t="n">
        <x:v>1387000</x:v>
      </x:c>
      <x:c r="O903" s="21" t="n">
        <x:v>5825</x:v>
      </x:c>
      <x:c r="P903" s="21" t="n">
        <x:f>ROUND(N903*K903,0)</x:f>
        <x:v>5825</x:v>
      </x:c>
      <x:c r="Q903" s="19" t="str">
        <x:v>否</x:v>
      </x:c>
      <x:c r="R903" s="19" t="str"/>
      <x:c r="S903" s="19" t="n">
        <x:f>IF(Q903="是",0,MIN(10,2+IF(C903="高",2,1)+IF(K903&gt;=3%,3,IF(K903&gt;=1%,2,1))+IF(L903="新出现",2,IF(M903&gt;=100%,3,IF(M903&gt;0,2,0)))))</x:f>
        <x:v>5</x:v>
      </x:c>
      <x:c r="T903" s="21"/>
      <x:c r="U903" s="20"/>
      <x:c r="V903" s="19" t="str">
        <x:v>http://theonelife.social/</x:v>
      </x:c>
      <x:c r="W903" s="19" t="str">
        <x:v>https://pro.similarweb.com/#/digitalsuite/websiteanalysis/referrals/*/999/1m?webSource=Total&amp;selectedTab=incomingTraffic&amp;key=pages.razorpay.com</x:v>
      </x:c>
      <x:c r="X903" s="20" t="n">
        <x:f>IF(Q903="是",0,IFERROR(P903/SUMIFS($P$2:$P$964,$A$2:$A$964,A903,$Q$2:$Q$964,"否"),0))</x:f>
        <x:v>0.005981653524143802</x:v>
      </x:c>
      <x:c r="Y903" s="22" t="str">
        <x:f>IF(OR(M903="",U903=""),"未交叉",IF(M903*U903&gt;0,"同向",IF(M903*U903&lt;0,"背离","一侧持平")))</x:f>
        <x:v>未交叉</x:v>
      </x:c>
    </x:row>
    <x:row r="904">
      <x:c r="A904" s="18" t="str">
        <x:v>pages.razorpay.com</x:v>
      </x:c>
      <x:c r="B904" s="19" t="str">
        <x:v>专用支付/结账入口</x:v>
      </x:c>
      <x:c r="C904" s="19" t="str">
        <x:v>高</x:v>
      </x:c>
      <x:c r="D904" s="19" t="str">
        <x:v>Jul 2026</x:v>
      </x:c>
      <x:c r="E904" s="19" t="n">
        <x:v>40</x:v>
      </x:c>
      <x:c r="F904" s="19" t="str">
        <x:v>globaleximinstitute.in</x:v>
      </x:c>
      <x:c r="G904" s="19" t="str">
        <x:v>Business Services</x:v>
      </x:c>
      <x:c r="H904" s="19" t="str">
        <x:v>营销、生产力与商业服务</x:v>
      </x:c>
      <x:c r="I904" s="19" t="str">
        <x:v>Similarweb 行业映射</x:v>
      </x:c>
      <x:c r="J904" s="19" t="n">
        <x:v>909233</x:v>
      </x:c>
      <x:c r="K904" s="20" t="n">
        <x:v>0.0042</x:v>
      </x:c>
      <x:c r="L904" s="19" t="str">
        <x:v>新出现</x:v>
      </x:c>
      <x:c r="M904" s="20"/>
      <x:c r="N904" s="21" t="n">
        <x:v>1387000</x:v>
      </x:c>
      <x:c r="O904" s="21" t="n">
        <x:v>5825</x:v>
      </x:c>
      <x:c r="P904" s="21" t="n">
        <x:f>ROUND(N904*K904,0)</x:f>
        <x:v>5825</x:v>
      </x:c>
      <x:c r="Q904" s="19" t="str">
        <x:v>否</x:v>
      </x:c>
      <x:c r="R904" s="19" t="str"/>
      <x:c r="S904" s="19" t="n">
        <x:f>IF(Q904="是",0,MIN(10,2+IF(C904="高",2,1)+IF(K904&gt;=3%,3,IF(K904&gt;=1%,2,1))+IF(L904="新出现",2,IF(M904&gt;=100%,3,IF(M904&gt;0,2,0)))))</x:f>
        <x:v>7</x:v>
      </x:c>
      <x:c r="T904" s="21"/>
      <x:c r="U904" s="20"/>
      <x:c r="V904" s="19" t="str">
        <x:v>http://globaleximinstitute.in/</x:v>
      </x:c>
      <x:c r="W904" s="19" t="str">
        <x:v>https://pro.similarweb.com/#/digitalsuite/websiteanalysis/referrals/*/999/1m?webSource=Total&amp;selectedTab=incomingTraffic&amp;key=pages.razorpay.com</x:v>
      </x:c>
      <x:c r="X904" s="20" t="n">
        <x:f>IF(Q904="是",0,IFERROR(P904/SUMIFS($P$2:$P$964,$A$2:$A$964,A904,$Q$2:$Q$964,"否"),0))</x:f>
        <x:v>0.005981653524143802</x:v>
      </x:c>
      <x:c r="Y904" s="22" t="str">
        <x:f>IF(OR(M904="",U904=""),"未交叉",IF(M904*U904&gt;0,"同向",IF(M904*U904&lt;0,"背离","一侧持平")))</x:f>
        <x:v>未交叉</x:v>
      </x:c>
    </x:row>
    <x:row r="905">
      <x:c r="A905" s="18" t="str">
        <x:v>pages.razorpay.com</x:v>
      </x:c>
      <x:c r="B905" s="19" t="str">
        <x:v>专用支付/结账入口</x:v>
      </x:c>
      <x:c r="C905" s="19" t="str">
        <x:v>高</x:v>
      </x:c>
      <x:c r="D905" s="19" t="str">
        <x:v>Jul 2026</x:v>
      </x:c>
      <x:c r="E905" s="19" t="n">
        <x:v>41</x:v>
      </x:c>
      <x:c r="F905" s="19" t="str">
        <x:v>nseindia.com</x:v>
      </x:c>
      <x:c r="G905" s="19" t="str">
        <x:v>Investing</x:v>
      </x:c>
      <x:c r="H905" s="19" t="str">
        <x:v>金融、支付与交易服务</x:v>
      </x:c>
      <x:c r="I905" s="19" t="str">
        <x:v>Similarweb 行业映射</x:v>
      </x:c>
      <x:c r="J905" s="19" t="n">
        <x:v>2695</x:v>
      </x:c>
      <x:c r="K905" s="20" t="n">
        <x:v>0.0042</x:v>
      </x:c>
      <x:c r="L905" s="19" t="str">
        <x:v>下降</x:v>
      </x:c>
      <x:c r="M905" s="20" t="n">
        <x:v>-0.21899999999999997</x:v>
      </x:c>
      <x:c r="N905" s="21" t="n">
        <x:v>1387000</x:v>
      </x:c>
      <x:c r="O905" s="21" t="n">
        <x:v>5825</x:v>
      </x:c>
      <x:c r="P905" s="21" t="n">
        <x:f>ROUND(N905*K905,0)</x:f>
        <x:v>5825</x:v>
      </x:c>
      <x:c r="Q905" s="19" t="str">
        <x:v>否</x:v>
      </x:c>
      <x:c r="R905" s="19" t="str"/>
      <x:c r="S905" s="19" t="n">
        <x:f>IF(Q905="是",0,MIN(10,2+IF(C905="高",2,1)+IF(K905&gt;=3%,3,IF(K905&gt;=1%,2,1))+IF(L905="新出现",2,IF(M905&gt;=100%,3,IF(M905&gt;0,2,0)))))</x:f>
        <x:v>5</x:v>
      </x:c>
      <x:c r="T905" s="21"/>
      <x:c r="U905" s="20"/>
      <x:c r="V905" s="19" t="str">
        <x:v>http://nseindia.com/</x:v>
      </x:c>
      <x:c r="W905" s="19" t="str">
        <x:v>https://pro.similarweb.com/#/digitalsuite/websiteanalysis/referrals/*/999/1m?webSource=Total&amp;selectedTab=incomingTraffic&amp;key=pages.razorpay.com</x:v>
      </x:c>
      <x:c r="X905" s="20" t="n">
        <x:f>IF(Q905="是",0,IFERROR(P905/SUMIFS($P$2:$P$964,$A$2:$A$964,A905,$Q$2:$Q$964,"否"),0))</x:f>
        <x:v>0.005981653524143802</x:v>
      </x:c>
      <x:c r="Y905" s="22" t="str">
        <x:f>IF(OR(M905="",U905=""),"未交叉",IF(M905*U905&gt;0,"同向",IF(M905*U905&lt;0,"背离","一侧持平")))</x:f>
        <x:v>未交叉</x:v>
      </x:c>
    </x:row>
    <x:row r="906">
      <x:c r="A906" s="18" t="str">
        <x:v>pages.razorpay.com</x:v>
      </x:c>
      <x:c r="B906" s="19" t="str">
        <x:v>专用支付/结账入口</x:v>
      </x:c>
      <x:c r="C906" s="19" t="str">
        <x:v>高</x:v>
      </x:c>
      <x:c r="D906" s="19" t="str">
        <x:v>Jul 2026</x:v>
      </x:c>
      <x:c r="E906" s="19" t="n">
        <x:v>42</x:v>
      </x:c>
      <x:c r="F906" s="19" t="str">
        <x:v>cdcachess.com</x:v>
      </x:c>
      <x:c r="G906" s="19" t="str">
        <x:v>Unknown</x:v>
      </x:c>
      <x:c r="H906" s="19" t="str">
        <x:v>其他/待核查</x:v>
      </x:c>
      <x:c r="I906" s="19" t="str">
        <x:v>Similarweb 未分类</x:v>
      </x:c>
      <x:c r="J906" s="19" t="n">
        <x:v>531730</x:v>
      </x:c>
      <x:c r="K906" s="20" t="n">
        <x:v>0.004</x:v>
      </x:c>
      <x:c r="L906" s="19" t="str">
        <x:v>新出现</x:v>
      </x:c>
      <x:c r="M906" s="20"/>
      <x:c r="N906" s="21" t="n">
        <x:v>1387000</x:v>
      </x:c>
      <x:c r="O906" s="21" t="n">
        <x:v>5548</x:v>
      </x:c>
      <x:c r="P906" s="21" t="n">
        <x:f>ROUND(N906*K906,0)</x:f>
        <x:v>5548</x:v>
      </x:c>
      <x:c r="Q906" s="19" t="str">
        <x:v>否</x:v>
      </x:c>
      <x:c r="R906" s="19" t="str"/>
      <x:c r="S906" s="19" t="n">
        <x:f>IF(Q906="是",0,MIN(10,2+IF(C906="高",2,1)+IF(K906&gt;=3%,3,IF(K906&gt;=1%,2,1))+IF(L906="新出现",2,IF(M906&gt;=100%,3,IF(M906&gt;0,2,0)))))</x:f>
        <x:v>7</x:v>
      </x:c>
      <x:c r="T906" s="21"/>
      <x:c r="U906" s="20"/>
      <x:c r="V906" s="19" t="str">
        <x:v>http://cdcachess.com/</x:v>
      </x:c>
      <x:c r="W906" s="19" t="str">
        <x:v>https://pro.similarweb.com/#/digitalsuite/websiteanalysis/referrals/*/999/1m?webSource=Total&amp;selectedTab=incomingTraffic&amp;key=pages.razorpay.com</x:v>
      </x:c>
      <x:c r="X906" s="20" t="n">
        <x:f>IF(Q906="是",0,IFERROR(P906/SUMIFS($P$2:$P$964,$A$2:$A$964,A906,$Q$2:$Q$964,"否"),0))</x:f>
        <x:v>0.005697204077587951</x:v>
      </x:c>
      <x:c r="Y906" s="22" t="str">
        <x:f>IF(OR(M906="",U906=""),"未交叉",IF(M906*U906&gt;0,"同向",IF(M906*U906&lt;0,"背离","一侧持平")))</x:f>
        <x:v>未交叉</x:v>
      </x:c>
    </x:row>
    <x:row r="907">
      <x:c r="A907" s="18" t="str">
        <x:v>pages.razorpay.com</x:v>
      </x:c>
      <x:c r="B907" s="19" t="str">
        <x:v>专用支付/结账入口</x:v>
      </x:c>
      <x:c r="C907" s="19" t="str">
        <x:v>高</x:v>
      </x:c>
      <x:c r="D907" s="19" t="str">
        <x:v>Jul 2026</x:v>
      </x:c>
      <x:c r="E907" s="19" t="n">
        <x:v>43</x:v>
      </x:c>
      <x:c r="F907" s="19" t="str">
        <x:v>upscpath.com</x:v>
      </x:c>
      <x:c r="G907" s="19" t="str">
        <x:v>Government</x:v>
      </x:c>
      <x:c r="H907" s="19" t="str">
        <x:v>其他/待核查</x:v>
      </x:c>
      <x:c r="I907" s="19" t="str">
        <x:v>保守归类</x:v>
      </x:c>
      <x:c r="J907" s="19" t="n">
        <x:v>171466</x:v>
      </x:c>
      <x:c r="K907" s="20" t="n">
        <x:v>0.004</x:v>
      </x:c>
      <x:c r="L907" s="19" t="str">
        <x:v>下降</x:v>
      </x:c>
      <x:c r="M907" s="20" t="n">
        <x:v>-0.6059</x:v>
      </x:c>
      <x:c r="N907" s="21" t="n">
        <x:v>1387000</x:v>
      </x:c>
      <x:c r="O907" s="21" t="n">
        <x:v>5548</x:v>
      </x:c>
      <x:c r="P907" s="21" t="n">
        <x:f>ROUND(N907*K907,0)</x:f>
        <x:v>5548</x:v>
      </x:c>
      <x:c r="Q907" s="19" t="str">
        <x:v>否</x:v>
      </x:c>
      <x:c r="R907" s="19" t="str"/>
      <x:c r="S907" s="19" t="n">
        <x:f>IF(Q907="是",0,MIN(10,2+IF(C907="高",2,1)+IF(K907&gt;=3%,3,IF(K907&gt;=1%,2,1))+IF(L907="新出现",2,IF(M907&gt;=100%,3,IF(M907&gt;0,2,0)))))</x:f>
        <x:v>5</x:v>
      </x:c>
      <x:c r="T907" s="21"/>
      <x:c r="U907" s="20"/>
      <x:c r="V907" s="19" t="str">
        <x:v>http://upscpath.com/</x:v>
      </x:c>
      <x:c r="W907" s="19" t="str">
        <x:v>https://pro.similarweb.com/#/digitalsuite/websiteanalysis/referrals/*/999/1m?webSource=Total&amp;selectedTab=incomingTraffic&amp;key=pages.razorpay.com</x:v>
      </x:c>
      <x:c r="X907" s="20" t="n">
        <x:f>IF(Q907="是",0,IFERROR(P907/SUMIFS($P$2:$P$964,$A$2:$A$964,A907,$Q$2:$Q$964,"否"),0))</x:f>
        <x:v>0.005697204077587951</x:v>
      </x:c>
      <x:c r="Y907" s="22" t="str">
        <x:f>IF(OR(M907="",U907=""),"未交叉",IF(M907*U907&gt;0,"同向",IF(M907*U907&lt;0,"背离","一侧持平")))</x:f>
        <x:v>未交叉</x:v>
      </x:c>
    </x:row>
    <x:row r="908">
      <x:c r="A908" s="18" t="str">
        <x:v>pages.razorpay.com</x:v>
      </x:c>
      <x:c r="B908" s="19" t="str">
        <x:v>专用支付/结账入口</x:v>
      </x:c>
      <x:c r="C908" s="19" t="str">
        <x:v>高</x:v>
      </x:c>
      <x:c r="D908" s="19" t="str">
        <x:v>Jul 2026</x:v>
      </x:c>
      <x:c r="E908" s="19" t="n">
        <x:v>44</x:v>
      </x:c>
      <x:c r="F908" s="19" t="str">
        <x:v>lp.drysr.in</x:v>
      </x:c>
      <x:c r="G908" s="19" t="str">
        <x:v>Unknown</x:v>
      </x:c>
      <x:c r="H908" s="19" t="str">
        <x:v>其他/待核查</x:v>
      </x:c>
      <x:c r="I908" s="19" t="str">
        <x:v>Similarweb 未分类</x:v>
      </x:c>
      <x:c r="J908" s="19"/>
      <x:c r="K908" s="20" t="n">
        <x:v>0.0036</x:v>
      </x:c>
      <x:c r="L908" s="19" t="str">
        <x:v>下降</x:v>
      </x:c>
      <x:c r="M908" s="20" t="n">
        <x:v>-0.67</x:v>
      </x:c>
      <x:c r="N908" s="21" t="n">
        <x:v>1387000</x:v>
      </x:c>
      <x:c r="O908" s="21" t="n">
        <x:v>4993</x:v>
      </x:c>
      <x:c r="P908" s="21" t="n">
        <x:f>ROUND(N908*K908,0)</x:f>
        <x:v>4993</x:v>
      </x:c>
      <x:c r="Q908" s="19" t="str">
        <x:v>否</x:v>
      </x:c>
      <x:c r="R908" s="19" t="str"/>
      <x:c r="S908" s="19" t="n">
        <x:f>IF(Q908="是",0,MIN(10,2+IF(C908="高",2,1)+IF(K908&gt;=3%,3,IF(K908&gt;=1%,2,1))+IF(L908="新出现",2,IF(M908&gt;=100%,3,IF(M908&gt;0,2,0)))))</x:f>
        <x:v>5</x:v>
      </x:c>
      <x:c r="T908" s="21"/>
      <x:c r="U908" s="20"/>
      <x:c r="V908" s="19" t="str">
        <x:v>http://lp.drysr.in/</x:v>
      </x:c>
      <x:c r="W908" s="19" t="str">
        <x:v>https://pro.similarweb.com/#/digitalsuite/websiteanalysis/referrals/*/999/1m?webSource=Total&amp;selectedTab=incomingTraffic&amp;key=pages.razorpay.com</x:v>
      </x:c>
      <x:c r="X908" s="20" t="n">
        <x:f>IF(Q908="是",0,IFERROR(P908/SUMIFS($P$2:$P$964,$A$2:$A$964,A908,$Q$2:$Q$964,"否"),0))</x:f>
        <x:v>0.005127278291167383</x:v>
      </x:c>
      <x:c r="Y908" s="22" t="str">
        <x:f>IF(OR(M908="",U908=""),"未交叉",IF(M908*U908&gt;0,"同向",IF(M908*U908&lt;0,"背离","一侧持平")))</x:f>
        <x:v>未交叉</x:v>
      </x:c>
    </x:row>
    <x:row r="909">
      <x:c r="A909" s="18" t="str">
        <x:v>pages.razorpay.com</x:v>
      </x:c>
      <x:c r="B909" s="19" t="str">
        <x:v>专用支付/结账入口</x:v>
      </x:c>
      <x:c r="C909" s="19" t="str">
        <x:v>高</x:v>
      </x:c>
      <x:c r="D909" s="19" t="str">
        <x:v>Jul 2026</x:v>
      </x:c>
      <x:c r="E909" s="19" t="n">
        <x:v>45</x:v>
      </x:c>
      <x:c r="F909" s="19" t="str">
        <x:v>jyotishvedanghub.com</x:v>
      </x:c>
      <x:c r="G909" s="19" t="str">
        <x:v>Faith and Beliefs</x:v>
      </x:c>
      <x:c r="H909" s="19" t="str">
        <x:v>教育、知识与考试服务</x:v>
      </x:c>
      <x:c r="I909" s="19" t="str">
        <x:v>Similarweb 行业映射</x:v>
      </x:c>
      <x:c r="J909" s="19" t="n">
        <x:v>925719</x:v>
      </x:c>
      <x:c r="K909" s="20" t="n">
        <x:v>0.0034000000000000002</x:v>
      </x:c>
      <x:c r="L909" s="19" t="str">
        <x:v>上升</x:v>
      </x:c>
      <x:c r="M909" s="20" t="n">
        <x:v>0.1404</x:v>
      </x:c>
      <x:c r="N909" s="21" t="n">
        <x:v>1387000</x:v>
      </x:c>
      <x:c r="O909" s="21" t="n">
        <x:v>4716</x:v>
      </x:c>
      <x:c r="P909" s="21" t="n">
        <x:f>ROUND(N909*K909,0)</x:f>
        <x:v>4716</x:v>
      </x:c>
      <x:c r="Q909" s="19" t="str">
        <x:v>否</x:v>
      </x:c>
      <x:c r="R909" s="19" t="str"/>
      <x:c r="S909" s="19" t="n">
        <x:f>IF(Q909="是",0,MIN(10,2+IF(C909="高",2,1)+IF(K909&gt;=3%,3,IF(K909&gt;=1%,2,1))+IF(L909="新出现",2,IF(M909&gt;=100%,3,IF(M909&gt;0,2,0)))))</x:f>
        <x:v>7</x:v>
      </x:c>
      <x:c r="T909" s="21"/>
      <x:c r="U909" s="20"/>
      <x:c r="V909" s="19" t="str">
        <x:v>http://jyotishvedanghub.com/</x:v>
      </x:c>
      <x:c r="W909" s="19" t="str">
        <x:v>https://pro.similarweb.com/#/digitalsuite/websiteanalysis/referrals/*/999/1m?webSource=Total&amp;selectedTab=incomingTraffic&amp;key=pages.razorpay.com</x:v>
      </x:c>
      <x:c r="X909" s="20" t="n">
        <x:f>IF(Q909="是",0,IFERROR(P909/SUMIFS($P$2:$P$964,$A$2:$A$964,A909,$Q$2:$Q$964,"否"),0))</x:f>
        <x:v>0.004842828844611531</x:v>
      </x:c>
      <x:c r="Y909" s="22" t="str">
        <x:f>IF(OR(M909="",U909=""),"未交叉",IF(M909*U909&gt;0,"同向",IF(M909*U909&lt;0,"背离","一侧持平")))</x:f>
        <x:v>未交叉</x:v>
      </x:c>
    </x:row>
    <x:row r="910">
      <x:c r="A910" s="18" t="str">
        <x:v>pages.razorpay.com</x:v>
      </x:c>
      <x:c r="B910" s="19" t="str">
        <x:v>专用支付/结账入口</x:v>
      </x:c>
      <x:c r="C910" s="19" t="str">
        <x:v>高</x:v>
      </x:c>
      <x:c r="D910" s="19" t="str">
        <x:v>Jul 2026</x:v>
      </x:c>
      <x:c r="E910" s="19" t="n">
        <x:v>46</x:v>
      </x:c>
      <x:c r="F910" s="19" t="str">
        <x:v>fincalc-blog.in</x:v>
      </x:c>
      <x:c r="G910" s="19" t="str">
        <x:v>Accounting and Auditing</x:v>
      </x:c>
      <x:c r="H910" s="19" t="str">
        <x:v>其他/待核查</x:v>
      </x:c>
      <x:c r="I910" s="19" t="str">
        <x:v>保守归类</x:v>
      </x:c>
      <x:c r="J910" s="19" t="n">
        <x:v>535197</x:v>
      </x:c>
      <x:c r="K910" s="20" t="n">
        <x:v>0.0033</x:v>
      </x:c>
      <x:c r="L910" s="19" t="str">
        <x:v>上升</x:v>
      </x:c>
      <x:c r="M910" s="20" t="n">
        <x:v>0.40369999999999995</x:v>
      </x:c>
      <x:c r="N910" s="21" t="n">
        <x:v>1387000</x:v>
      </x:c>
      <x:c r="O910" s="21" t="n">
        <x:v>4577</x:v>
      </x:c>
      <x:c r="P910" s="21" t="n">
        <x:f>ROUND(N910*K910,0)</x:f>
        <x:v>4577</x:v>
      </x:c>
      <x:c r="Q910" s="19" t="str">
        <x:v>否</x:v>
      </x:c>
      <x:c r="R910" s="19" t="str"/>
      <x:c r="S910" s="19" t="n">
        <x:f>IF(Q910="是",0,MIN(10,2+IF(C910="高",2,1)+IF(K910&gt;=3%,3,IF(K910&gt;=1%,2,1))+IF(L910="新出现",2,IF(M910&gt;=100%,3,IF(M910&gt;0,2,0)))))</x:f>
        <x:v>7</x:v>
      </x:c>
      <x:c r="T910" s="21"/>
      <x:c r="U910" s="20"/>
      <x:c r="V910" s="19" t="str">
        <x:v>http://fincalc-blog.in/</x:v>
      </x:c>
      <x:c r="W910" s="19" t="str">
        <x:v>https://pro.similarweb.com/#/digitalsuite/websiteanalysis/referrals/*/999/1m?webSource=Total&amp;selectedTab=incomingTraffic&amp;key=pages.razorpay.com</x:v>
      </x:c>
      <x:c r="X910" s="20" t="n">
        <x:f>IF(Q910="是",0,IFERROR(P910/SUMIFS($P$2:$P$964,$A$2:$A$964,A910,$Q$2:$Q$964,"否"),0))</x:f>
        <x:v>0.004700090674679173</x:v>
      </x:c>
      <x:c r="Y910" s="22" t="str">
        <x:f>IF(OR(M910="",U910=""),"未交叉",IF(M910*U910&gt;0,"同向",IF(M910*U910&lt;0,"背离","一侧持平")))</x:f>
        <x:v>未交叉</x:v>
      </x:c>
    </x:row>
    <x:row r="911">
      <x:c r="A911" s="18" t="str">
        <x:v>pages.razorpay.com</x:v>
      </x:c>
      <x:c r="B911" s="19" t="str">
        <x:v>专用支付/结账入口</x:v>
      </x:c>
      <x:c r="C911" s="19" t="str">
        <x:v>高</x:v>
      </x:c>
      <x:c r="D911" s="19" t="str">
        <x:v>Jul 2026</x:v>
      </x:c>
      <x:c r="E911" s="19" t="n">
        <x:v>47</x:v>
      </x:c>
      <x:c r="F911" s="19" t="str">
        <x:v>aibusinesschallenge.in</x:v>
      </x:c>
      <x:c r="G911" s="19" t="str">
        <x:v>Unknown</x:v>
      </x:c>
      <x:c r="H911" s="19" t="str">
        <x:v>其他/待核查</x:v>
      </x:c>
      <x:c r="I911" s="19" t="str">
        <x:v>Similarweb 未分类</x:v>
      </x:c>
      <x:c r="J911" s="19" t="n">
        <x:v>831722</x:v>
      </x:c>
      <x:c r="K911" s="20" t="n">
        <x:v>0.0032</x:v>
      </x:c>
      <x:c r="L911" s="19" t="str">
        <x:v>新出现</x:v>
      </x:c>
      <x:c r="M911" s="20"/>
      <x:c r="N911" s="21" t="n">
        <x:v>1387000</x:v>
      </x:c>
      <x:c r="O911" s="21" t="n">
        <x:v>4438</x:v>
      </x:c>
      <x:c r="P911" s="21" t="n">
        <x:f>ROUND(N911*K911,0)</x:f>
        <x:v>4438</x:v>
      </x:c>
      <x:c r="Q911" s="19" t="str">
        <x:v>否</x:v>
      </x:c>
      <x:c r="R911" s="19" t="str"/>
      <x:c r="S911" s="19" t="n">
        <x:f>IF(Q911="是",0,MIN(10,2+IF(C911="高",2,1)+IF(K911&gt;=3%,3,IF(K911&gt;=1%,2,1))+IF(L911="新出现",2,IF(M911&gt;=100%,3,IF(M911&gt;0,2,0)))))</x:f>
        <x:v>7</x:v>
      </x:c>
      <x:c r="T911" s="21"/>
      <x:c r="U911" s="20"/>
      <x:c r="V911" s="19" t="str">
        <x:v>http://aibusinesschallenge.in/</x:v>
      </x:c>
      <x:c r="W911" s="19" t="str">
        <x:v>https://pro.similarweb.com/#/digitalsuite/websiteanalysis/referrals/*/999/1m?webSource=Total&amp;selectedTab=incomingTraffic&amp;key=pages.razorpay.com</x:v>
      </x:c>
      <x:c r="X911" s="20" t="n">
        <x:f>IF(Q911="是",0,IFERROR(P911/SUMIFS($P$2:$P$964,$A$2:$A$964,A911,$Q$2:$Q$964,"否"),0))</x:f>
        <x:v>0.004557352504746814</x:v>
      </x:c>
      <x:c r="Y911" s="22" t="str">
        <x:f>IF(OR(M911="",U911=""),"未交叉",IF(M911*U911&gt;0,"同向",IF(M911*U911&lt;0,"背离","一侧持平")))</x:f>
        <x:v>未交叉</x:v>
      </x:c>
    </x:row>
    <x:row r="912">
      <x:c r="A912" s="18" t="str">
        <x:v>pages.razorpay.com</x:v>
      </x:c>
      <x:c r="B912" s="19" t="str">
        <x:v>专用支付/结账入口</x:v>
      </x:c>
      <x:c r="C912" s="19" t="str">
        <x:v>高</x:v>
      </x:c>
      <x:c r="D912" s="19" t="str">
        <x:v>Jul 2026</x:v>
      </x:c>
      <x:c r="E912" s="19" t="n">
        <x:v>48</x:v>
      </x:c>
      <x:c r="F912" s="19" t="str">
        <x:v>competishun.com</x:v>
      </x:c>
      <x:c r="G912" s="19" t="str">
        <x:v>Education</x:v>
      </x:c>
      <x:c r="H912" s="19" t="str">
        <x:v>教育、知识与考试服务</x:v>
      </x:c>
      <x:c r="I912" s="19" t="str">
        <x:v>Similarweb 行业映射</x:v>
      </x:c>
      <x:c r="J912" s="19" t="n">
        <x:v>147880</x:v>
      </x:c>
      <x:c r="K912" s="20" t="n">
        <x:v>0.003</x:v>
      </x:c>
      <x:c r="L912" s="19" t="str">
        <x:v>下降</x:v>
      </x:c>
      <x:c r="M912" s="20" t="n">
        <x:v>-0.4301</x:v>
      </x:c>
      <x:c r="N912" s="21" t="n">
        <x:v>1387000</x:v>
      </x:c>
      <x:c r="O912" s="21" t="n">
        <x:v>4161</x:v>
      </x:c>
      <x:c r="P912" s="21" t="n">
        <x:f>ROUND(N912*K912,0)</x:f>
        <x:v>4161</x:v>
      </x:c>
      <x:c r="Q912" s="19" t="str">
        <x:v>否</x:v>
      </x:c>
      <x:c r="R912" s="19" t="str"/>
      <x:c r="S912" s="19" t="n">
        <x:f>IF(Q912="是",0,MIN(10,2+IF(C912="高",2,1)+IF(K912&gt;=3%,3,IF(K912&gt;=1%,2,1))+IF(L912="新出现",2,IF(M912&gt;=100%,3,IF(M912&gt;0,2,0)))))</x:f>
        <x:v>5</x:v>
      </x:c>
      <x:c r="T912" s="21"/>
      <x:c r="U912" s="20"/>
      <x:c r="V912" s="19" t="str">
        <x:v>http://competishun.com/</x:v>
      </x:c>
      <x:c r="W912" s="19" t="str">
        <x:v>https://pro.similarweb.com/#/digitalsuite/websiteanalysis/referrals/*/999/1m?webSource=Total&amp;selectedTab=incomingTraffic&amp;key=pages.razorpay.com</x:v>
      </x:c>
      <x:c r="X912" s="20" t="n">
        <x:f>IF(Q912="是",0,IFERROR(P912/SUMIFS($P$2:$P$964,$A$2:$A$964,A912,$Q$2:$Q$964,"否"),0))</x:f>
        <x:v>0.004272903058190963</x:v>
      </x:c>
      <x:c r="Y912" s="22" t="str">
        <x:f>IF(OR(M912="",U912=""),"未交叉",IF(M912*U912&gt;0,"同向",IF(M912*U912&lt;0,"背离","一侧持平")))</x:f>
        <x:v>未交叉</x:v>
      </x:c>
    </x:row>
    <x:row r="913">
      <x:c r="A913" s="18" t="str">
        <x:v>pages.razorpay.com</x:v>
      </x:c>
      <x:c r="B913" s="19" t="str">
        <x:v>专用支付/结账入口</x:v>
      </x:c>
      <x:c r="C913" s="19" t="str">
        <x:v>高</x:v>
      </x:c>
      <x:c r="D913" s="19" t="str">
        <x:v>Jul 2026</x:v>
      </x:c>
      <x:c r="E913" s="19" t="n">
        <x:v>49</x:v>
      </x:c>
      <x:c r="F913" s="19" t="str">
        <x:v>rishabhagrover.com</x:v>
      </x:c>
      <x:c r="G913" s="19" t="str">
        <x:v>Unknown</x:v>
      </x:c>
      <x:c r="H913" s="19" t="str">
        <x:v>其他/待核查</x:v>
      </x:c>
      <x:c r="I913" s="19" t="str">
        <x:v>Similarweb 未分类</x:v>
      </x:c>
      <x:c r="J913" s="19" t="n">
        <x:v>1282684</x:v>
      </x:c>
      <x:c r="K913" s="20" t="n">
        <x:v>0.003</x:v>
      </x:c>
      <x:c r="L913" s="19" t="str">
        <x:v>上升</x:v>
      </x:c>
      <x:c r="M913" s="20" t="n">
        <x:v>50</x:v>
      </x:c>
      <x:c r="N913" s="21" t="n">
        <x:v>1387000</x:v>
      </x:c>
      <x:c r="O913" s="21" t="n">
        <x:v>4161</x:v>
      </x:c>
      <x:c r="P913" s="21" t="n">
        <x:f>ROUND(N913*K913,0)</x:f>
        <x:v>4161</x:v>
      </x:c>
      <x:c r="Q913" s="19" t="str">
        <x:v>否</x:v>
      </x:c>
      <x:c r="R913" s="19" t="str"/>
      <x:c r="S913" s="19" t="n">
        <x:f>IF(Q913="是",0,MIN(10,2+IF(C913="高",2,1)+IF(K913&gt;=3%,3,IF(K913&gt;=1%,2,1))+IF(L913="新出现",2,IF(M913&gt;=100%,3,IF(M913&gt;0,2,0)))))</x:f>
        <x:v>8</x:v>
      </x:c>
      <x:c r="T913" s="21"/>
      <x:c r="U913" s="20"/>
      <x:c r="V913" s="19" t="str">
        <x:v>http://rishabhagrover.com/</x:v>
      </x:c>
      <x:c r="W913" s="19" t="str">
        <x:v>https://pro.similarweb.com/#/digitalsuite/websiteanalysis/referrals/*/999/1m?webSource=Total&amp;selectedTab=incomingTraffic&amp;key=pages.razorpay.com</x:v>
      </x:c>
      <x:c r="X913" s="20" t="n">
        <x:f>IF(Q913="是",0,IFERROR(P913/SUMIFS($P$2:$P$964,$A$2:$A$964,A913,$Q$2:$Q$964,"否"),0))</x:f>
        <x:v>0.004272903058190963</x:v>
      </x:c>
      <x:c r="Y913" s="22" t="str">
        <x:f>IF(OR(M913="",U913=""),"未交叉",IF(M913*U913&gt;0,"同向",IF(M913*U913&lt;0,"背离","一侧持平")))</x:f>
        <x:v>未交叉</x:v>
      </x:c>
    </x:row>
    <x:row r="914">
      <x:c r="A914" s="18" t="str">
        <x:v>pages.razorpay.com</x:v>
      </x:c>
      <x:c r="B914" s="19" t="str">
        <x:v>专用支付/结账入口</x:v>
      </x:c>
      <x:c r="C914" s="19" t="str">
        <x:v>高</x:v>
      </x:c>
      <x:c r="D914" s="19" t="str">
        <x:v>Jul 2026</x:v>
      </x:c>
      <x:c r="E914" s="19" t="n">
        <x:v>50</x:v>
      </x:c>
      <x:c r="F914" s="19" t="str">
        <x:v>missingpieceinvites.com</x:v>
      </x:c>
      <x:c r="G914" s="19" t="str">
        <x:v>Weddings</x:v>
      </x:c>
      <x:c r="H914" s="19" t="str">
        <x:v>内容媒体、线下与实体消费</x:v>
      </x:c>
      <x:c r="I914" s="19" t="str">
        <x:v>Similarweb 行业映射</x:v>
      </x:c>
      <x:c r="J914" s="19" t="n">
        <x:v>729853</x:v>
      </x:c>
      <x:c r="K914" s="20" t="n">
        <x:v>0.003</x:v>
      </x:c>
      <x:c r="L914" s="19" t="str">
        <x:v>上升</x:v>
      </x:c>
      <x:c r="M914" s="20" t="n">
        <x:v>10.1329</x:v>
      </x:c>
      <x:c r="N914" s="21" t="n">
        <x:v>1387000</x:v>
      </x:c>
      <x:c r="O914" s="21" t="n">
        <x:v>4161</x:v>
      </x:c>
      <x:c r="P914" s="21" t="n">
        <x:f>ROUND(N914*K914,0)</x:f>
        <x:v>4161</x:v>
      </x:c>
      <x:c r="Q914" s="19" t="str">
        <x:v>否</x:v>
      </x:c>
      <x:c r="R914" s="19" t="str"/>
      <x:c r="S914" s="19" t="n">
        <x:f>IF(Q914="是",0,MIN(10,2+IF(C914="高",2,1)+IF(K914&gt;=3%,3,IF(K914&gt;=1%,2,1))+IF(L914="新出现",2,IF(M914&gt;=100%,3,IF(M914&gt;0,2,0)))))</x:f>
        <x:v>8</x:v>
      </x:c>
      <x:c r="T914" s="21"/>
      <x:c r="U914" s="20"/>
      <x:c r="V914" s="19" t="str">
        <x:v>http://missingpieceinvites.com/</x:v>
      </x:c>
      <x:c r="W914" s="19" t="str">
        <x:v>https://pro.similarweb.com/#/digitalsuite/websiteanalysis/referrals/*/999/1m?webSource=Total&amp;selectedTab=incomingTraffic&amp;key=pages.razorpay.com</x:v>
      </x:c>
      <x:c r="X914" s="20" t="n">
        <x:f>IF(Q914="是",0,IFERROR(P914/SUMIFS($P$2:$P$964,$A$2:$A$964,A914,$Q$2:$Q$964,"否"),0))</x:f>
        <x:v>0.004272903058190963</x:v>
      </x:c>
      <x:c r="Y914" s="22" t="str">
        <x:f>IF(OR(M914="",U914=""),"未交叉",IF(M914*U914&gt;0,"同向",IF(M914*U914&lt;0,"背离","一侧持平")))</x:f>
        <x:v>未交叉</x:v>
      </x:c>
    </x:row>
    <x:row r="915">
      <x:c r="A915" s="18" t="str">
        <x:v>pages.razorpay.com</x:v>
      </x:c>
      <x:c r="B915" s="19" t="str">
        <x:v>专用支付/结账入口</x:v>
      </x:c>
      <x:c r="C915" s="19" t="str">
        <x:v>高</x:v>
      </x:c>
      <x:c r="D915" s="19" t="str">
        <x:v>Jul 2026</x:v>
      </x:c>
      <x:c r="E915" s="19" t="n">
        <x:v>51</x:v>
      </x:c>
      <x:c r="F915" s="19" t="str">
        <x:v>zoom.us</x:v>
      </x:c>
      <x:c r="G915" s="19" t="str">
        <x:v>Computers Electronics and Technology</x:v>
      </x:c>
      <x:c r="H915" s="19" t="str">
        <x:v>通用数字产品与技术服务</x:v>
      </x:c>
      <x:c r="I915" s="19" t="str">
        <x:v>Similarweb 行业映射</x:v>
      </x:c>
      <x:c r="J915" s="19" t="n">
        <x:v>79</x:v>
      </x:c>
      <x:c r="K915" s="20" t="n">
        <x:v>0.0028000000000000004</x:v>
      </x:c>
      <x:c r="L915" s="19" t="str">
        <x:v>下降</x:v>
      </x:c>
      <x:c r="M915" s="20" t="n">
        <x:v>-0.7025</x:v>
      </x:c>
      <x:c r="N915" s="21" t="n">
        <x:v>1387000</x:v>
      </x:c>
      <x:c r="O915" s="21" t="n">
        <x:v>3884</x:v>
      </x:c>
      <x:c r="P915" s="21" t="n">
        <x:f>ROUND(N915*K915,0)</x:f>
        <x:v>3884</x:v>
      </x:c>
      <x:c r="Q915" s="19" t="str">
        <x:v>否</x:v>
      </x:c>
      <x:c r="R915" s="19" t="str"/>
      <x:c r="S915" s="19" t="n">
        <x:f>IF(Q915="是",0,MIN(10,2+IF(C915="高",2,1)+IF(K915&gt;=3%,3,IF(K915&gt;=1%,2,1))+IF(L915="新出现",2,IF(M915&gt;=100%,3,IF(M915&gt;0,2,0)))))</x:f>
        <x:v>5</x:v>
      </x:c>
      <x:c r="T915" s="21"/>
      <x:c r="U915" s="20"/>
      <x:c r="V915" s="19" t="str">
        <x:v>http://zoom.us/</x:v>
      </x:c>
      <x:c r="W915" s="19" t="str">
        <x:v>https://pro.similarweb.com/#/digitalsuite/websiteanalysis/referrals/*/999/1m?webSource=Total&amp;selectedTab=incomingTraffic&amp;key=pages.razorpay.com</x:v>
      </x:c>
      <x:c r="X915" s="20" t="n">
        <x:f>IF(Q915="是",0,IFERROR(P915/SUMIFS($P$2:$P$964,$A$2:$A$964,A915,$Q$2:$Q$964,"否"),0))</x:f>
        <x:v>0.003988453611635112</x:v>
      </x:c>
      <x:c r="Y915" s="22" t="str">
        <x:f>IF(OR(M915="",U915=""),"未交叉",IF(M915*U915&gt;0,"同向",IF(M915*U915&lt;0,"背离","一侧持平")))</x:f>
        <x:v>未交叉</x:v>
      </x:c>
    </x:row>
    <x:row r="916">
      <x:c r="A916" s="18" t="str">
        <x:v>pages.razorpay.com</x:v>
      </x:c>
      <x:c r="B916" s="19" t="str">
        <x:v>专用支付/结账入口</x:v>
      </x:c>
      <x:c r="C916" s="19" t="str">
        <x:v>高</x:v>
      </x:c>
      <x:c r="D916" s="19" t="str">
        <x:v>Jul 2026</x:v>
      </x:c>
      <x:c r="E916" s="19" t="n">
        <x:v>52</x:v>
      </x:c>
      <x:c r="F916" s="19" t="str">
        <x:v>link.hardikraja.in</x:v>
      </x:c>
      <x:c r="G916" s="19" t="str">
        <x:v>Unknown</x:v>
      </x:c>
      <x:c r="H916" s="19" t="str">
        <x:v>其他/待核查</x:v>
      </x:c>
      <x:c r="I916" s="19" t="str">
        <x:v>Similarweb 未分类</x:v>
      </x:c>
      <x:c r="J916" s="19"/>
      <x:c r="K916" s="20" t="n">
        <x:v>0.0027</x:v>
      </x:c>
      <x:c r="L916" s="19" t="str">
        <x:v>新出现</x:v>
      </x:c>
      <x:c r="M916" s="20"/>
      <x:c r="N916" s="21" t="n">
        <x:v>1387000</x:v>
      </x:c>
      <x:c r="O916" s="21" t="n">
        <x:v>3745</x:v>
      </x:c>
      <x:c r="P916" s="21" t="n">
        <x:f>ROUND(N916*K916,0)</x:f>
        <x:v>3745</x:v>
      </x:c>
      <x:c r="Q916" s="19" t="str">
        <x:v>否</x:v>
      </x:c>
      <x:c r="R916" s="19" t="str"/>
      <x:c r="S916" s="19" t="n">
        <x:f>IF(Q916="是",0,MIN(10,2+IF(C916="高",2,1)+IF(K916&gt;=3%,3,IF(K916&gt;=1%,2,1))+IF(L916="新出现",2,IF(M916&gt;=100%,3,IF(M916&gt;0,2,0)))))</x:f>
        <x:v>7</x:v>
      </x:c>
      <x:c r="T916" s="21"/>
      <x:c r="U916" s="20"/>
      <x:c r="V916" s="19" t="str">
        <x:v>http://link.hardikraja.in/</x:v>
      </x:c>
      <x:c r="W916" s="19" t="str">
        <x:v>https://pro.similarweb.com/#/digitalsuite/websiteanalysis/referrals/*/999/1m?webSource=Total&amp;selectedTab=incomingTraffic&amp;key=pages.razorpay.com</x:v>
      </x:c>
      <x:c r="X916" s="20" t="n">
        <x:f>IF(Q916="是",0,IFERROR(P916/SUMIFS($P$2:$P$964,$A$2:$A$964,A916,$Q$2:$Q$964,"否"),0))</x:f>
        <x:v>0.0038457154417027534</x:v>
      </x:c>
      <x:c r="Y916" s="22" t="str">
        <x:f>IF(OR(M916="",U916=""),"未交叉",IF(M916*U916&gt;0,"同向",IF(M916*U916&lt;0,"背离","一侧持平")))</x:f>
        <x:v>未交叉</x:v>
      </x:c>
    </x:row>
    <x:row r="917">
      <x:c r="A917" s="18" t="str">
        <x:v>pages.razorpay.com</x:v>
      </x:c>
      <x:c r="B917" s="19" t="str">
        <x:v>专用支付/结账入口</x:v>
      </x:c>
      <x:c r="C917" s="19" t="str">
        <x:v>高</x:v>
      </x:c>
      <x:c r="D917" s="19" t="str">
        <x:v>Jul 2026</x:v>
      </x:c>
      <x:c r="E917" s="19" t="n">
        <x:v>53</x:v>
      </x:c>
      <x:c r="F917" s="19" t="str">
        <x:v>metaeducationindia.com</x:v>
      </x:c>
      <x:c r="G917" s="19" t="str">
        <x:v>Unknown</x:v>
      </x:c>
      <x:c r="H917" s="19" t="str">
        <x:v>其他/待核查</x:v>
      </x:c>
      <x:c r="I917" s="19" t="str">
        <x:v>Similarweb 未分类</x:v>
      </x:c>
      <x:c r="J917" s="19" t="n">
        <x:v>1819109</x:v>
      </x:c>
      <x:c r="K917" s="20" t="n">
        <x:v>0.0027</x:v>
      </x:c>
      <x:c r="L917" s="19" t="str">
        <x:v>上升</x:v>
      </x:c>
      <x:c r="M917" s="20" t="n">
        <x:v>50</x:v>
      </x:c>
      <x:c r="N917" s="21" t="n">
        <x:v>1387000</x:v>
      </x:c>
      <x:c r="O917" s="21" t="n">
        <x:v>3745</x:v>
      </x:c>
      <x:c r="P917" s="21" t="n">
        <x:f>ROUND(N917*K917,0)</x:f>
        <x:v>3745</x:v>
      </x:c>
      <x:c r="Q917" s="19" t="str">
        <x:v>否</x:v>
      </x:c>
      <x:c r="R917" s="19" t="str"/>
      <x:c r="S917" s="19" t="n">
        <x:f>IF(Q917="是",0,MIN(10,2+IF(C917="高",2,1)+IF(K917&gt;=3%,3,IF(K917&gt;=1%,2,1))+IF(L917="新出现",2,IF(M917&gt;=100%,3,IF(M917&gt;0,2,0)))))</x:f>
        <x:v>8</x:v>
      </x:c>
      <x:c r="T917" s="21"/>
      <x:c r="U917" s="20"/>
      <x:c r="V917" s="19" t="str">
        <x:v>http://metaeducationindia.com/</x:v>
      </x:c>
      <x:c r="W917" s="19" t="str">
        <x:v>https://pro.similarweb.com/#/digitalsuite/websiteanalysis/referrals/*/999/1m?webSource=Total&amp;selectedTab=incomingTraffic&amp;key=pages.razorpay.com</x:v>
      </x:c>
      <x:c r="X917" s="20" t="n">
        <x:f>IF(Q917="是",0,IFERROR(P917/SUMIFS($P$2:$P$964,$A$2:$A$964,A917,$Q$2:$Q$964,"否"),0))</x:f>
        <x:v>0.0038457154417027534</x:v>
      </x:c>
      <x:c r="Y917" s="22" t="str">
        <x:f>IF(OR(M917="",U917=""),"未交叉",IF(M917*U917&gt;0,"同向",IF(M917*U917&lt;0,"背离","一侧持平")))</x:f>
        <x:v>未交叉</x:v>
      </x:c>
    </x:row>
    <x:row r="918">
      <x:c r="A918" s="18" t="str">
        <x:v>pages.razorpay.com</x:v>
      </x:c>
      <x:c r="B918" s="19" t="str">
        <x:v>专用支付/结账入口</x:v>
      </x:c>
      <x:c r="C918" s="19" t="str">
        <x:v>高</x:v>
      </x:c>
      <x:c r="D918" s="19" t="str">
        <x:v>Jul 2026</x:v>
      </x:c>
      <x:c r="E918" s="19" t="n">
        <x:v>54</x:v>
      </x:c>
      <x:c r="F918" s="19" t="str">
        <x:v>rathoredesign.com</x:v>
      </x:c>
      <x:c r="G918" s="19" t="str">
        <x:v>Education</x:v>
      </x:c>
      <x:c r="H918" s="19" t="str">
        <x:v>教育、知识与考试服务</x:v>
      </x:c>
      <x:c r="I918" s="19" t="str">
        <x:v>Similarweb 行业映射</x:v>
      </x:c>
      <x:c r="J918" s="19" t="n">
        <x:v>253868</x:v>
      </x:c>
      <x:c r="K918" s="20" t="n">
        <x:v>0.0027</x:v>
      </x:c>
      <x:c r="L918" s="19" t="str">
        <x:v>下降</x:v>
      </x:c>
      <x:c r="M918" s="20" t="n">
        <x:v>-0.33509999999999995</x:v>
      </x:c>
      <x:c r="N918" s="21" t="n">
        <x:v>1387000</x:v>
      </x:c>
      <x:c r="O918" s="21" t="n">
        <x:v>3745</x:v>
      </x:c>
      <x:c r="P918" s="21" t="n">
        <x:f>ROUND(N918*K918,0)</x:f>
        <x:v>3745</x:v>
      </x:c>
      <x:c r="Q918" s="19" t="str">
        <x:v>否</x:v>
      </x:c>
      <x:c r="R918" s="19" t="str"/>
      <x:c r="S918" s="19" t="n">
        <x:f>IF(Q918="是",0,MIN(10,2+IF(C918="高",2,1)+IF(K918&gt;=3%,3,IF(K918&gt;=1%,2,1))+IF(L918="新出现",2,IF(M918&gt;=100%,3,IF(M918&gt;0,2,0)))))</x:f>
        <x:v>5</x:v>
      </x:c>
      <x:c r="T918" s="21"/>
      <x:c r="U918" s="20"/>
      <x:c r="V918" s="19" t="str">
        <x:v>http://rathoredesign.com/</x:v>
      </x:c>
      <x:c r="W918" s="19" t="str">
        <x:v>https://pro.similarweb.com/#/digitalsuite/websiteanalysis/referrals/*/999/1m?webSource=Total&amp;selectedTab=incomingTraffic&amp;key=pages.razorpay.com</x:v>
      </x:c>
      <x:c r="X918" s="20" t="n">
        <x:f>IF(Q918="是",0,IFERROR(P918/SUMIFS($P$2:$P$964,$A$2:$A$964,A918,$Q$2:$Q$964,"否"),0))</x:f>
        <x:v>0.0038457154417027534</x:v>
      </x:c>
      <x:c r="Y918" s="22" t="str">
        <x:f>IF(OR(M918="",U918=""),"未交叉",IF(M918*U918&gt;0,"同向",IF(M918*U918&lt;0,"背离","一侧持平")))</x:f>
        <x:v>未交叉</x:v>
      </x:c>
    </x:row>
    <x:row r="919">
      <x:c r="A919" s="18" t="str">
        <x:v>pages.razorpay.com</x:v>
      </x:c>
      <x:c r="B919" s="19" t="str">
        <x:v>专用支付/结账入口</x:v>
      </x:c>
      <x:c r="C919" s="19" t="str">
        <x:v>高</x:v>
      </x:c>
      <x:c r="D919" s="19" t="str">
        <x:v>Jul 2026</x:v>
      </x:c>
      <x:c r="E919" s="19" t="n">
        <x:v>55</x:v>
      </x:c>
      <x:c r="F919" s="19" t="str">
        <x:v>t.me</x:v>
      </x:c>
      <x:c r="G919" s="19" t="str">
        <x:v>Computers Electronics and Technology</x:v>
      </x:c>
      <x:c r="H919" s="19" t="str">
        <x:v>通用数字产品与技术服务</x:v>
      </x:c>
      <x:c r="I919" s="19" t="str">
        <x:v>Similarweb 行业映射</x:v>
      </x:c>
      <x:c r="J919" s="19" t="n">
        <x:v>72</x:v>
      </x:c>
      <x:c r="K919" s="20" t="n">
        <x:v>0.0026</x:v>
      </x:c>
      <x:c r="L919" s="19" t="str">
        <x:v>新出现</x:v>
      </x:c>
      <x:c r="M919" s="20"/>
      <x:c r="N919" s="21" t="n">
        <x:v>1387000</x:v>
      </x:c>
      <x:c r="O919" s="21" t="n">
        <x:v>3606</x:v>
      </x:c>
      <x:c r="P919" s="21" t="n">
        <x:f>ROUND(N919*K919,0)</x:f>
        <x:v>3606</x:v>
      </x:c>
      <x:c r="Q919" s="19" t="str">
        <x:v>否</x:v>
      </x:c>
      <x:c r="R919" s="19" t="str"/>
      <x:c r="S919" s="19" t="n">
        <x:f>IF(Q919="是",0,MIN(10,2+IF(C919="高",2,1)+IF(K919&gt;=3%,3,IF(K919&gt;=1%,2,1))+IF(L919="新出现",2,IF(M919&gt;=100%,3,IF(M919&gt;0,2,0)))))</x:f>
        <x:v>7</x:v>
      </x:c>
      <x:c r="T919" s="21"/>
      <x:c r="U919" s="20"/>
      <x:c r="V919" s="19" t="str">
        <x:v>http://t.me/</x:v>
      </x:c>
      <x:c r="W919" s="19" t="str">
        <x:v>https://pro.similarweb.com/#/digitalsuite/websiteanalysis/referrals/*/999/1m?webSource=Total&amp;selectedTab=incomingTraffic&amp;key=pages.razorpay.com</x:v>
      </x:c>
      <x:c r="X919" s="20" t="n">
        <x:f>IF(Q919="是",0,IFERROR(P919/SUMIFS($P$2:$P$964,$A$2:$A$964,A919,$Q$2:$Q$964,"否"),0))</x:f>
        <x:v>0.003702977271770395</x:v>
      </x:c>
      <x:c r="Y919" s="22" t="str">
        <x:f>IF(OR(M919="",U919=""),"未交叉",IF(M919*U919&gt;0,"同向",IF(M919*U919&lt;0,"背离","一侧持平")))</x:f>
        <x:v>未交叉</x:v>
      </x:c>
    </x:row>
    <x:row r="920">
      <x:c r="A920" s="18" t="str">
        <x:v>pages.razorpay.com</x:v>
      </x:c>
      <x:c r="B920" s="19" t="str">
        <x:v>专用支付/结账入口</x:v>
      </x:c>
      <x:c r="C920" s="19" t="str">
        <x:v>高</x:v>
      </x:c>
      <x:c r="D920" s="19" t="str">
        <x:v>Jul 2026</x:v>
      </x:c>
      <x:c r="E920" s="19" t="n">
        <x:v>56</x:v>
      </x:c>
      <x:c r="F920" s="19" t="str">
        <x:v>learnmize.com</x:v>
      </x:c>
      <x:c r="G920" s="19" t="str">
        <x:v>Graphics Multimedia and Web Design</x:v>
      </x:c>
      <x:c r="H920" s="19" t="str">
        <x:v>创作、设计与多媒体工具</x:v>
      </x:c>
      <x:c r="I920" s="19" t="str">
        <x:v>Similarweb 行业映射</x:v>
      </x:c>
      <x:c r="J920" s="19" t="n">
        <x:v>652149</x:v>
      </x:c>
      <x:c r="K920" s="20" t="n">
        <x:v>0.0026</x:v>
      </x:c>
      <x:c r="L920" s="19" t="str">
        <x:v>上升</x:v>
      </x:c>
      <x:c r="M920" s="20" t="n">
        <x:v>8.381599999999999</x:v>
      </x:c>
      <x:c r="N920" s="21" t="n">
        <x:v>1387000</x:v>
      </x:c>
      <x:c r="O920" s="21" t="n">
        <x:v>3606</x:v>
      </x:c>
      <x:c r="P920" s="21" t="n">
        <x:f>ROUND(N920*K920,0)</x:f>
        <x:v>3606</x:v>
      </x:c>
      <x:c r="Q920" s="19" t="str">
        <x:v>否</x:v>
      </x:c>
      <x:c r="R920" s="19" t="str"/>
      <x:c r="S920" s="19" t="n">
        <x:f>IF(Q920="是",0,MIN(10,2+IF(C920="高",2,1)+IF(K920&gt;=3%,3,IF(K920&gt;=1%,2,1))+IF(L920="新出现",2,IF(M920&gt;=100%,3,IF(M920&gt;0,2,0)))))</x:f>
        <x:v>8</x:v>
      </x:c>
      <x:c r="T920" s="21"/>
      <x:c r="U920" s="20"/>
      <x:c r="V920" s="19" t="str">
        <x:v>http://learnmize.com/</x:v>
      </x:c>
      <x:c r="W920" s="19" t="str">
        <x:v>https://pro.similarweb.com/#/digitalsuite/websiteanalysis/referrals/*/999/1m?webSource=Total&amp;selectedTab=incomingTraffic&amp;key=pages.razorpay.com</x:v>
      </x:c>
      <x:c r="X920" s="20" t="n">
        <x:f>IF(Q920="是",0,IFERROR(P920/SUMIFS($P$2:$P$964,$A$2:$A$964,A920,$Q$2:$Q$964,"否"),0))</x:f>
        <x:v>0.003702977271770395</x:v>
      </x:c>
      <x:c r="Y920" s="22" t="str">
        <x:f>IF(OR(M920="",U920=""),"未交叉",IF(M920*U920&gt;0,"同向",IF(M920*U920&lt;0,"背离","一侧持平")))</x:f>
        <x:v>未交叉</x:v>
      </x:c>
    </x:row>
    <x:row r="921">
      <x:c r="A921" s="18" t="str">
        <x:v>pages.razorpay.com</x:v>
      </x:c>
      <x:c r="B921" s="19" t="str">
        <x:v>专用支付/结账入口</x:v>
      </x:c>
      <x:c r="C921" s="19" t="str">
        <x:v>高</x:v>
      </x:c>
      <x:c r="D921" s="19" t="str">
        <x:v>Jul 2026</x:v>
      </x:c>
      <x:c r="E921" s="19" t="n">
        <x:v>57</x:v>
      </x:c>
      <x:c r="F921" s="19" t="str">
        <x:v>thebatraanumerology.org</x:v>
      </x:c>
      <x:c r="G921" s="19" t="str">
        <x:v>Graphics Multimedia and Web Design</x:v>
      </x:c>
      <x:c r="H921" s="19" t="str">
        <x:v>创作、设计与多媒体工具</x:v>
      </x:c>
      <x:c r="I921" s="19" t="str">
        <x:v>Similarweb 行业映射</x:v>
      </x:c>
      <x:c r="J921" s="19" t="n">
        <x:v>1221304</x:v>
      </x:c>
      <x:c r="K921" s="20" t="n">
        <x:v>0.0026</x:v>
      </x:c>
      <x:c r="L921" s="19" t="str">
        <x:v>上升</x:v>
      </x:c>
      <x:c r="M921" s="20" t="n">
        <x:v>3.2577999999999996</x:v>
      </x:c>
      <x:c r="N921" s="21" t="n">
        <x:v>1387000</x:v>
      </x:c>
      <x:c r="O921" s="21" t="n">
        <x:v>3606</x:v>
      </x:c>
      <x:c r="P921" s="21" t="n">
        <x:f>ROUND(N921*K921,0)</x:f>
        <x:v>3606</x:v>
      </x:c>
      <x:c r="Q921" s="19" t="str">
        <x:v>否</x:v>
      </x:c>
      <x:c r="R921" s="19" t="str"/>
      <x:c r="S921" s="19" t="n">
        <x:f>IF(Q921="是",0,MIN(10,2+IF(C921="高",2,1)+IF(K921&gt;=3%,3,IF(K921&gt;=1%,2,1))+IF(L921="新出现",2,IF(M921&gt;=100%,3,IF(M921&gt;0,2,0)))))</x:f>
        <x:v>8</x:v>
      </x:c>
      <x:c r="T921" s="21"/>
      <x:c r="U921" s="20"/>
      <x:c r="V921" s="19" t="str">
        <x:v>http://thebatraanumerology.org/</x:v>
      </x:c>
      <x:c r="W921" s="19" t="str">
        <x:v>https://pro.similarweb.com/#/digitalsuite/websiteanalysis/referrals/*/999/1m?webSource=Total&amp;selectedTab=incomingTraffic&amp;key=pages.razorpay.com</x:v>
      </x:c>
      <x:c r="X921" s="20" t="n">
        <x:f>IF(Q921="是",0,IFERROR(P921/SUMIFS($P$2:$P$964,$A$2:$A$964,A921,$Q$2:$Q$964,"否"),0))</x:f>
        <x:v>0.003702977271770395</x:v>
      </x:c>
      <x:c r="Y921" s="22" t="str">
        <x:f>IF(OR(M921="",U921=""),"未交叉",IF(M921*U921&gt;0,"同向",IF(M921*U921&lt;0,"背离","一侧持平")))</x:f>
        <x:v>未交叉</x:v>
      </x:c>
    </x:row>
    <x:row r="922">
      <x:c r="A922" s="18" t="str">
        <x:v>pages.razorpay.com</x:v>
      </x:c>
      <x:c r="B922" s="19" t="str">
        <x:v>专用支付/结账入口</x:v>
      </x:c>
      <x:c r="C922" s="19" t="str">
        <x:v>高</x:v>
      </x:c>
      <x:c r="D922" s="19" t="str">
        <x:v>Jul 2026</x:v>
      </x:c>
      <x:c r="E922" s="19" t="n">
        <x:v>58</x:v>
      </x:c>
      <x:c r="F922" s="19" t="str">
        <x:v>linktr.ee</x:v>
      </x:c>
      <x:c r="G922" s="19" t="str">
        <x:v>Online Marketing</x:v>
      </x:c>
      <x:c r="H922" s="19" t="str">
        <x:v>营销、生产力与商业服务</x:v>
      </x:c>
      <x:c r="I922" s="19" t="str">
        <x:v>Similarweb 行业映射</x:v>
      </x:c>
      <x:c r="J922" s="19" t="n">
        <x:v>257</x:v>
      </x:c>
      <x:c r="K922" s="20" t="n">
        <x:v>0.0026</x:v>
      </x:c>
      <x:c r="L922" s="19" t="str">
        <x:v>上升</x:v>
      </x:c>
      <x:c r="M922" s="20" t="n">
        <x:v>0.34990000000000004</x:v>
      </x:c>
      <x:c r="N922" s="21" t="n">
        <x:v>1387000</x:v>
      </x:c>
      <x:c r="O922" s="21" t="n">
        <x:v>3606</x:v>
      </x:c>
      <x:c r="P922" s="21" t="n">
        <x:f>ROUND(N922*K922,0)</x:f>
        <x:v>3606</x:v>
      </x:c>
      <x:c r="Q922" s="19" t="str">
        <x:v>否</x:v>
      </x:c>
      <x:c r="R922" s="19" t="str"/>
      <x:c r="S922" s="19" t="n">
        <x:f>IF(Q922="是",0,MIN(10,2+IF(C922="高",2,1)+IF(K922&gt;=3%,3,IF(K922&gt;=1%,2,1))+IF(L922="新出现",2,IF(M922&gt;=100%,3,IF(M922&gt;0,2,0)))))</x:f>
        <x:v>7</x:v>
      </x:c>
      <x:c r="T922" s="21"/>
      <x:c r="U922" s="20"/>
      <x:c r="V922" s="19" t="str">
        <x:v>http://linktr.ee/</x:v>
      </x:c>
      <x:c r="W922" s="19" t="str">
        <x:v>https://pro.similarweb.com/#/digitalsuite/websiteanalysis/referrals/*/999/1m?webSource=Total&amp;selectedTab=incomingTraffic&amp;key=pages.razorpay.com</x:v>
      </x:c>
      <x:c r="X922" s="20" t="n">
        <x:f>IF(Q922="是",0,IFERROR(P922/SUMIFS($P$2:$P$964,$A$2:$A$964,A922,$Q$2:$Q$964,"否"),0))</x:f>
        <x:v>0.003702977271770395</x:v>
      </x:c>
      <x:c r="Y922" s="22" t="str">
        <x:f>IF(OR(M922="",U922=""),"未交叉",IF(M922*U922&gt;0,"同向",IF(M922*U922&lt;0,"背离","一侧持平")))</x:f>
        <x:v>未交叉</x:v>
      </x:c>
    </x:row>
    <x:row r="923">
      <x:c r="A923" s="18" t="str">
        <x:v>pages.razorpay.com</x:v>
      </x:c>
      <x:c r="B923" s="19" t="str">
        <x:v>专用支付/结账入口</x:v>
      </x:c>
      <x:c r="C923" s="19" t="str">
        <x:v>高</x:v>
      </x:c>
      <x:c r="D923" s="19" t="str">
        <x:v>Jul 2026</x:v>
      </x:c>
      <x:c r="E923" s="19" t="n">
        <x:v>59</x:v>
      </x:c>
      <x:c r="F923" s="19" t="str">
        <x:v>newslaundry.com</x:v>
      </x:c>
      <x:c r="G923" s="19" t="str">
        <x:v>News and Media</x:v>
      </x:c>
      <x:c r="H923" s="19" t="str">
        <x:v>内容媒体、线下与实体消费</x:v>
      </x:c>
      <x:c r="I923" s="19" t="str">
        <x:v>Similarweb 行业映射</x:v>
      </x:c>
      <x:c r="J923" s="19" t="n">
        <x:v>94568</x:v>
      </x:c>
      <x:c r="K923" s="20" t="n">
        <x:v>0.0026</x:v>
      </x:c>
      <x:c r="L923" s="19" t="str">
        <x:v>新出现</x:v>
      </x:c>
      <x:c r="M923" s="20"/>
      <x:c r="N923" s="21" t="n">
        <x:v>1387000</x:v>
      </x:c>
      <x:c r="O923" s="21" t="n">
        <x:v>3606</x:v>
      </x:c>
      <x:c r="P923" s="21" t="n">
        <x:f>ROUND(N923*K923,0)</x:f>
        <x:v>3606</x:v>
      </x:c>
      <x:c r="Q923" s="19" t="str">
        <x:v>否</x:v>
      </x:c>
      <x:c r="R923" s="19" t="str"/>
      <x:c r="S923" s="19" t="n">
        <x:f>IF(Q923="是",0,MIN(10,2+IF(C923="高",2,1)+IF(K923&gt;=3%,3,IF(K923&gt;=1%,2,1))+IF(L923="新出现",2,IF(M923&gt;=100%,3,IF(M923&gt;0,2,0)))))</x:f>
        <x:v>7</x:v>
      </x:c>
      <x:c r="T923" s="21"/>
      <x:c r="U923" s="20"/>
      <x:c r="V923" s="19" t="str">
        <x:v>http://newslaundry.com/</x:v>
      </x:c>
      <x:c r="W923" s="19" t="str">
        <x:v>https://pro.similarweb.com/#/digitalsuite/websiteanalysis/referrals/*/999/1m?webSource=Total&amp;selectedTab=incomingTraffic&amp;key=pages.razorpay.com</x:v>
      </x:c>
      <x:c r="X923" s="20" t="n">
        <x:f>IF(Q923="是",0,IFERROR(P923/SUMIFS($P$2:$P$964,$A$2:$A$964,A923,$Q$2:$Q$964,"否"),0))</x:f>
        <x:v>0.003702977271770395</x:v>
      </x:c>
      <x:c r="Y923" s="22" t="str">
        <x:f>IF(OR(M923="",U923=""),"未交叉",IF(M923*U923&gt;0,"同向",IF(M923*U923&lt;0,"背离","一侧持平")))</x:f>
        <x:v>未交叉</x:v>
      </x:c>
    </x:row>
    <x:row r="924">
      <x:c r="A924" s="18" t="str">
        <x:v>pages.razorpay.com</x:v>
      </x:c>
      <x:c r="B924" s="19" t="str">
        <x:v>专用支付/结账入口</x:v>
      </x:c>
      <x:c r="C924" s="19" t="str">
        <x:v>高</x:v>
      </x:c>
      <x:c r="D924" s="19" t="str">
        <x:v>Jul 2026</x:v>
      </x:c>
      <x:c r="E924" s="19" t="n">
        <x:v>60</x:v>
      </x:c>
      <x:c r="F924" s="19" t="str">
        <x:v>biodegradableexpo.com</x:v>
      </x:c>
      <x:c r="G924" s="19" t="str">
        <x:v>Unknown</x:v>
      </x:c>
      <x:c r="H924" s="19" t="str">
        <x:v>其他/待核查</x:v>
      </x:c>
      <x:c r="I924" s="19" t="str">
        <x:v>Similarweb 未分类</x:v>
      </x:c>
      <x:c r="J924" s="19" t="n">
        <x:v>1121918</x:v>
      </x:c>
      <x:c r="K924" s="20" t="n">
        <x:v>0.0026</x:v>
      </x:c>
      <x:c r="L924" s="19" t="str">
        <x:v>新出现</x:v>
      </x:c>
      <x:c r="M924" s="20"/>
      <x:c r="N924" s="21" t="n">
        <x:v>1387000</x:v>
      </x:c>
      <x:c r="O924" s="21" t="n">
        <x:v>3606</x:v>
      </x:c>
      <x:c r="P924" s="21" t="n">
        <x:f>ROUND(N924*K924,0)</x:f>
        <x:v>3606</x:v>
      </x:c>
      <x:c r="Q924" s="19" t="str">
        <x:v>否</x:v>
      </x:c>
      <x:c r="R924" s="19" t="str"/>
      <x:c r="S924" s="19" t="n">
        <x:f>IF(Q924="是",0,MIN(10,2+IF(C924="高",2,1)+IF(K924&gt;=3%,3,IF(K924&gt;=1%,2,1))+IF(L924="新出现",2,IF(M924&gt;=100%,3,IF(M924&gt;0,2,0)))))</x:f>
        <x:v>7</x:v>
      </x:c>
      <x:c r="T924" s="21"/>
      <x:c r="U924" s="20"/>
      <x:c r="V924" s="19" t="str">
        <x:v>http://biodegradableexpo.com/</x:v>
      </x:c>
      <x:c r="W924" s="19" t="str">
        <x:v>https://pro.similarweb.com/#/digitalsuite/websiteanalysis/referrals/*/999/1m?webSource=Total&amp;selectedTab=incomingTraffic&amp;key=pages.razorpay.com</x:v>
      </x:c>
      <x:c r="X924" s="20" t="n">
        <x:f>IF(Q924="是",0,IFERROR(P924/SUMIFS($P$2:$P$964,$A$2:$A$964,A924,$Q$2:$Q$964,"否"),0))</x:f>
        <x:v>0.003702977271770395</x:v>
      </x:c>
      <x:c r="Y924" s="22" t="str">
        <x:f>IF(OR(M924="",U924=""),"未交叉",IF(M924*U924&gt;0,"同向",IF(M924*U924&lt;0,"背离","一侧持平")))</x:f>
        <x:v>未交叉</x:v>
      </x:c>
    </x:row>
    <x:row r="925">
      <x:c r="A925" s="18" t="str">
        <x:v>pages.razorpay.com</x:v>
      </x:c>
      <x:c r="B925" s="19" t="str">
        <x:v>专用支付/结账入口</x:v>
      </x:c>
      <x:c r="C925" s="19" t="str">
        <x:v>高</x:v>
      </x:c>
      <x:c r="D925" s="19" t="str">
        <x:v>Jul 2026</x:v>
      </x:c>
      <x:c r="E925" s="19" t="n">
        <x:v>61</x:v>
      </x:c>
      <x:c r="F925" s="19" t="str">
        <x:v>nitishfx.com</x:v>
      </x:c>
      <x:c r="G925" s="19" t="str">
        <x:v>Unknown</x:v>
      </x:c>
      <x:c r="H925" s="19" t="str">
        <x:v>其他/待核查</x:v>
      </x:c>
      <x:c r="I925" s="19" t="str">
        <x:v>Similarweb 未分类</x:v>
      </x:c>
      <x:c r="J925" s="19" t="n">
        <x:v>1451865</x:v>
      </x:c>
      <x:c r="K925" s="20" t="n">
        <x:v>0.0026</x:v>
      </x:c>
      <x:c r="L925" s="19" t="str">
        <x:v>新出现</x:v>
      </x:c>
      <x:c r="M925" s="20"/>
      <x:c r="N925" s="21" t="n">
        <x:v>1387000</x:v>
      </x:c>
      <x:c r="O925" s="21" t="n">
        <x:v>3606</x:v>
      </x:c>
      <x:c r="P925" s="21" t="n">
        <x:f>ROUND(N925*K925,0)</x:f>
        <x:v>3606</x:v>
      </x:c>
      <x:c r="Q925" s="19" t="str">
        <x:v>否</x:v>
      </x:c>
      <x:c r="R925" s="19" t="str"/>
      <x:c r="S925" s="19" t="n">
        <x:f>IF(Q925="是",0,MIN(10,2+IF(C925="高",2,1)+IF(K925&gt;=3%,3,IF(K925&gt;=1%,2,1))+IF(L925="新出现",2,IF(M925&gt;=100%,3,IF(M925&gt;0,2,0)))))</x:f>
        <x:v>7</x:v>
      </x:c>
      <x:c r="T925" s="21"/>
      <x:c r="U925" s="20"/>
      <x:c r="V925" s="19" t="str">
        <x:v>http://nitishfx.com/</x:v>
      </x:c>
      <x:c r="W925" s="19" t="str">
        <x:v>https://pro.similarweb.com/#/digitalsuite/websiteanalysis/referrals/*/999/1m?webSource=Total&amp;selectedTab=incomingTraffic&amp;key=pages.razorpay.com</x:v>
      </x:c>
      <x:c r="X925" s="20" t="n">
        <x:f>IF(Q925="是",0,IFERROR(P925/SUMIFS($P$2:$P$964,$A$2:$A$964,A925,$Q$2:$Q$964,"否"),0))</x:f>
        <x:v>0.003702977271770395</x:v>
      </x:c>
      <x:c r="Y925" s="22" t="str">
        <x:f>IF(OR(M925="",U925=""),"未交叉",IF(M925*U925&gt;0,"同向",IF(M925*U925&lt;0,"背离","一侧持平")))</x:f>
        <x:v>未交叉</x:v>
      </x:c>
    </x:row>
    <x:row r="926">
      <x:c r="A926" s="18" t="str">
        <x:v>pages.razorpay.com</x:v>
      </x:c>
      <x:c r="B926" s="19" t="str">
        <x:v>专用支付/结账入口</x:v>
      </x:c>
      <x:c r="C926" s="19" t="str">
        <x:v>高</x:v>
      </x:c>
      <x:c r="D926" s="19" t="str">
        <x:v>Jul 2026</x:v>
      </x:c>
      <x:c r="E926" s="19" t="n">
        <x:v>62</x:v>
      </x:c>
      <x:c r="F926" s="19" t="str">
        <x:v>lp.houseofvirality.com</x:v>
      </x:c>
      <x:c r="G926" s="19" t="str">
        <x:v>Unknown</x:v>
      </x:c>
      <x:c r="H926" s="19" t="str">
        <x:v>其他/待核查</x:v>
      </x:c>
      <x:c r="I926" s="19" t="str">
        <x:v>Similarweb 未分类</x:v>
      </x:c>
      <x:c r="J926" s="19"/>
      <x:c r="K926" s="20" t="n">
        <x:v>0.0025</x:v>
      </x:c>
      <x:c r="L926" s="19" t="str">
        <x:v>上升</x:v>
      </x:c>
      <x:c r="M926" s="20" t="n">
        <x:v>16.6658</x:v>
      </x:c>
      <x:c r="N926" s="21" t="n">
        <x:v>1387000</x:v>
      </x:c>
      <x:c r="O926" s="21" t="n">
        <x:v>3468</x:v>
      </x:c>
      <x:c r="P926" s="21" t="n">
        <x:f>ROUND(N926*K926,0)</x:f>
        <x:v>3468</x:v>
      </x:c>
      <x:c r="Q926" s="19" t="str">
        <x:v>否</x:v>
      </x:c>
      <x:c r="R926" s="19" t="str"/>
      <x:c r="S926" s="19" t="n">
        <x:f>IF(Q926="是",0,MIN(10,2+IF(C926="高",2,1)+IF(K926&gt;=3%,3,IF(K926&gt;=1%,2,1))+IF(L926="新出现",2,IF(M926&gt;=100%,3,IF(M926&gt;0,2,0)))))</x:f>
        <x:v>8</x:v>
      </x:c>
      <x:c r="T926" s="21"/>
      <x:c r="U926" s="20"/>
      <x:c r="V926" s="19" t="str">
        <x:v>http://lp.houseofvirality.com/</x:v>
      </x:c>
      <x:c r="W926" s="19" t="str">
        <x:v>https://pro.similarweb.com/#/digitalsuite/websiteanalysis/referrals/*/999/1m?webSource=Total&amp;selectedTab=incomingTraffic&amp;key=pages.razorpay.com</x:v>
      </x:c>
      <x:c r="X926" s="20" t="n">
        <x:f>IF(Q926="是",0,IFERROR(P926/SUMIFS($P$2:$P$964,$A$2:$A$964,A926,$Q$2:$Q$964,"否"),0))</x:f>
        <x:v>0.003561265995146902</x:v>
      </x:c>
      <x:c r="Y926" s="22" t="str">
        <x:f>IF(OR(M926="",U926=""),"未交叉",IF(M926*U926&gt;0,"同向",IF(M926*U926&lt;0,"背离","一侧持平")))</x:f>
        <x:v>未交叉</x:v>
      </x:c>
    </x:row>
    <x:row r="927">
      <x:c r="A927" s="18" t="str">
        <x:v>pages.razorpay.com</x:v>
      </x:c>
      <x:c r="B927" s="19" t="str">
        <x:v>专用支付/结账入口</x:v>
      </x:c>
      <x:c r="C927" s="19" t="str">
        <x:v>高</x:v>
      </x:c>
      <x:c r="D927" s="19" t="str">
        <x:v>Jul 2026</x:v>
      </x:c>
      <x:c r="E927" s="19" t="n">
        <x:v>63</x:v>
      </x:c>
      <x:c r="F927" s="19" t="str">
        <x:v>nimhanselearning.org</x:v>
      </x:c>
      <x:c r="G927" s="19" t="str">
        <x:v>Unknown</x:v>
      </x:c>
      <x:c r="H927" s="19" t="str">
        <x:v>其他/待核查</x:v>
      </x:c>
      <x:c r="I927" s="19" t="str">
        <x:v>Similarweb 未分类</x:v>
      </x:c>
      <x:c r="J927" s="19" t="n">
        <x:v>331386</x:v>
      </x:c>
      <x:c r="K927" s="20" t="n">
        <x:v>0.0024</x:v>
      </x:c>
      <x:c r="L927" s="19" t="str">
        <x:v>上升</x:v>
      </x:c>
      <x:c r="M927" s="20" t="n">
        <x:v>13.017999999999999</x:v>
      </x:c>
      <x:c r="N927" s="21" t="n">
        <x:v>1387000</x:v>
      </x:c>
      <x:c r="O927" s="21" t="n">
        <x:v>3329</x:v>
      </x:c>
      <x:c r="P927" s="21" t="n">
        <x:f>ROUND(N927*K927,0)</x:f>
        <x:v>3329</x:v>
      </x:c>
      <x:c r="Q927" s="19" t="str">
        <x:v>否</x:v>
      </x:c>
      <x:c r="R927" s="19" t="str"/>
      <x:c r="S927" s="19" t="n">
        <x:f>IF(Q927="是",0,MIN(10,2+IF(C927="高",2,1)+IF(K927&gt;=3%,3,IF(K927&gt;=1%,2,1))+IF(L927="新出现",2,IF(M927&gt;=100%,3,IF(M927&gt;0,2,0)))))</x:f>
        <x:v>8</x:v>
      </x:c>
      <x:c r="T927" s="21"/>
      <x:c r="U927" s="20"/>
      <x:c r="V927" s="19" t="str">
        <x:v>http://nimhanselearning.org/</x:v>
      </x:c>
      <x:c r="W927" s="19" t="str">
        <x:v>https://pro.similarweb.com/#/digitalsuite/websiteanalysis/referrals/*/999/1m?webSource=Total&amp;selectedTab=incomingTraffic&amp;key=pages.razorpay.com</x:v>
      </x:c>
      <x:c r="X927" s="20" t="n">
        <x:f>IF(Q927="是",0,IFERROR(P927/SUMIFS($P$2:$P$964,$A$2:$A$964,A927,$Q$2:$Q$964,"否"),0))</x:f>
        <x:v>0.0034185278252145436</x:v>
      </x:c>
      <x:c r="Y927" s="22" t="str">
        <x:f>IF(OR(M927="",U927=""),"未交叉",IF(M927*U927&gt;0,"同向",IF(M927*U927&lt;0,"背离","一侧持平")))</x:f>
        <x:v>未交叉</x:v>
      </x:c>
    </x:row>
    <x:row r="928">
      <x:c r="A928" s="18" t="str">
        <x:v>pages.razorpay.com</x:v>
      </x:c>
      <x:c r="B928" s="19" t="str">
        <x:v>专用支付/结账入口</x:v>
      </x:c>
      <x:c r="C928" s="19" t="str">
        <x:v>高</x:v>
      </x:c>
      <x:c r="D928" s="19" t="str">
        <x:v>Jul 2026</x:v>
      </x:c>
      <x:c r="E928" s="19" t="n">
        <x:v>64</x:v>
      </x:c>
      <x:c r="F928" s="19" t="str">
        <x:v>learn.theyogainstitute.org</x:v>
      </x:c>
      <x:c r="G928" s="19" t="str">
        <x:v>Unknown</x:v>
      </x:c>
      <x:c r="H928" s="19" t="str">
        <x:v>其他/待核查</x:v>
      </x:c>
      <x:c r="I928" s="19" t="str">
        <x:v>Similarweb 未分类</x:v>
      </x:c>
      <x:c r="J928" s="19"/>
      <x:c r="K928" s="20" t="n">
        <x:v>0.0024</x:v>
      </x:c>
      <x:c r="L928" s="19" t="str">
        <x:v>新出现</x:v>
      </x:c>
      <x:c r="M928" s="20"/>
      <x:c r="N928" s="21" t="n">
        <x:v>1387000</x:v>
      </x:c>
      <x:c r="O928" s="21" t="n">
        <x:v>3329</x:v>
      </x:c>
      <x:c r="P928" s="21" t="n">
        <x:f>ROUND(N928*K928,0)</x:f>
        <x:v>3329</x:v>
      </x:c>
      <x:c r="Q928" s="19" t="str">
        <x:v>否</x:v>
      </x:c>
      <x:c r="R928" s="19" t="str"/>
      <x:c r="S928" s="19" t="n">
        <x:f>IF(Q928="是",0,MIN(10,2+IF(C928="高",2,1)+IF(K928&gt;=3%,3,IF(K928&gt;=1%,2,1))+IF(L928="新出现",2,IF(M928&gt;=100%,3,IF(M928&gt;0,2,0)))))</x:f>
        <x:v>7</x:v>
      </x:c>
      <x:c r="T928" s="21"/>
      <x:c r="U928" s="20"/>
      <x:c r="V928" s="19" t="str">
        <x:v>http://learn.theyogainstitute.org/</x:v>
      </x:c>
      <x:c r="W928" s="19" t="str">
        <x:v>https://pro.similarweb.com/#/digitalsuite/websiteanalysis/referrals/*/999/1m?webSource=Total&amp;selectedTab=incomingTraffic&amp;key=pages.razorpay.com</x:v>
      </x:c>
      <x:c r="X928" s="20" t="n">
        <x:f>IF(Q928="是",0,IFERROR(P928/SUMIFS($P$2:$P$964,$A$2:$A$964,A928,$Q$2:$Q$964,"否"),0))</x:f>
        <x:v>0.0034185278252145436</x:v>
      </x:c>
      <x:c r="Y928" s="22" t="str">
        <x:f>IF(OR(M928="",U928=""),"未交叉",IF(M928*U928&gt;0,"同向",IF(M928*U928&lt;0,"背离","一侧持平")))</x:f>
        <x:v>未交叉</x:v>
      </x:c>
    </x:row>
    <x:row r="929">
      <x:c r="A929" s="18" t="str">
        <x:v>pages.razorpay.com</x:v>
      </x:c>
      <x:c r="B929" s="19" t="str">
        <x:v>专用支付/结账入口</x:v>
      </x:c>
      <x:c r="C929" s="19" t="str">
        <x:v>高</x:v>
      </x:c>
      <x:c r="D929" s="19" t="str">
        <x:v>Jul 2026</x:v>
      </x:c>
      <x:c r="E929" s="19" t="n">
        <x:v>65</x:v>
      </x:c>
      <x:c r="F929" s="19" t="str">
        <x:v>hypertroph.com</x:v>
      </x:c>
      <x:c r="G929" s="19" t="str">
        <x:v>Nutrition Diets and Fitness</x:v>
      </x:c>
      <x:c r="H929" s="19" t="str">
        <x:v>其他/待核查</x:v>
      </x:c>
      <x:c r="I929" s="19" t="str">
        <x:v>保守归类</x:v>
      </x:c>
      <x:c r="J929" s="19" t="n">
        <x:v>1008239</x:v>
      </x:c>
      <x:c r="K929" s="20" t="n">
        <x:v>0.0024</x:v>
      </x:c>
      <x:c r="L929" s="19" t="str">
        <x:v>新出现</x:v>
      </x:c>
      <x:c r="M929" s="20"/>
      <x:c r="N929" s="21" t="n">
        <x:v>1387000</x:v>
      </x:c>
      <x:c r="O929" s="21" t="n">
        <x:v>3329</x:v>
      </x:c>
      <x:c r="P929" s="21" t="n">
        <x:f>ROUND(N929*K929,0)</x:f>
        <x:v>3329</x:v>
      </x:c>
      <x:c r="Q929" s="19" t="str">
        <x:v>否</x:v>
      </x:c>
      <x:c r="R929" s="19" t="str"/>
      <x:c r="S929" s="19" t="n">
        <x:f>IF(Q929="是",0,MIN(10,2+IF(C929="高",2,1)+IF(K929&gt;=3%,3,IF(K929&gt;=1%,2,1))+IF(L929="新出现",2,IF(M929&gt;=100%,3,IF(M929&gt;0,2,0)))))</x:f>
        <x:v>7</x:v>
      </x:c>
      <x:c r="T929" s="21"/>
      <x:c r="U929" s="20"/>
      <x:c r="V929" s="19" t="str">
        <x:v>http://hypertroph.com/</x:v>
      </x:c>
      <x:c r="W929" s="19" t="str">
        <x:v>https://pro.similarweb.com/#/digitalsuite/websiteanalysis/referrals/*/999/1m?webSource=Total&amp;selectedTab=incomingTraffic&amp;key=pages.razorpay.com</x:v>
      </x:c>
      <x:c r="X929" s="20" t="n">
        <x:f>IF(Q929="是",0,IFERROR(P929/SUMIFS($P$2:$P$964,$A$2:$A$964,A929,$Q$2:$Q$964,"否"),0))</x:f>
        <x:v>0.0034185278252145436</x:v>
      </x:c>
      <x:c r="Y929" s="22" t="str">
        <x:f>IF(OR(M929="",U929=""),"未交叉",IF(M929*U929&gt;0,"同向",IF(M929*U929&lt;0,"背离","一侧持平")))</x:f>
        <x:v>未交叉</x:v>
      </x:c>
    </x:row>
    <x:row r="930">
      <x:c r="A930" s="18" t="str">
        <x:v>pages.razorpay.com</x:v>
      </x:c>
      <x:c r="B930" s="19" t="str">
        <x:v>专用支付/结账入口</x:v>
      </x:c>
      <x:c r="C930" s="19" t="str">
        <x:v>高</x:v>
      </x:c>
      <x:c r="D930" s="19" t="str">
        <x:v>Jul 2026</x:v>
      </x:c>
      <x:c r="E930" s="19" t="n">
        <x:v>66</x:v>
      </x:c>
      <x:c r="F930" s="19" t="str">
        <x:v>masculinity.aptitudeindia.org</x:v>
      </x:c>
      <x:c r="G930" s="19" t="str">
        <x:v>Unknown</x:v>
      </x:c>
      <x:c r="H930" s="19" t="str">
        <x:v>其他/待核查</x:v>
      </x:c>
      <x:c r="I930" s="19" t="str">
        <x:v>Similarweb 未分类</x:v>
      </x:c>
      <x:c r="J930" s="19"/>
      <x:c r="K930" s="20" t="n">
        <x:v>0.0023</x:v>
      </x:c>
      <x:c r="L930" s="19" t="str">
        <x:v>新出现</x:v>
      </x:c>
      <x:c r="M930" s="20"/>
      <x:c r="N930" s="21" t="n">
        <x:v>1387000</x:v>
      </x:c>
      <x:c r="O930" s="21" t="n">
        <x:v>3190</x:v>
      </x:c>
      <x:c r="P930" s="21" t="n">
        <x:f>ROUND(N930*K930,0)</x:f>
        <x:v>3190</x:v>
      </x:c>
      <x:c r="Q930" s="19" t="str">
        <x:v>否</x:v>
      </x:c>
      <x:c r="R930" s="19" t="str"/>
      <x:c r="S930" s="19" t="n">
        <x:f>IF(Q930="是",0,MIN(10,2+IF(C930="高",2,1)+IF(K930&gt;=3%,3,IF(K930&gt;=1%,2,1))+IF(L930="新出现",2,IF(M930&gt;=100%,3,IF(M930&gt;0,2,0)))))</x:f>
        <x:v>7</x:v>
      </x:c>
      <x:c r="T930" s="21"/>
      <x:c r="U930" s="20"/>
      <x:c r="V930" s="19" t="str">
        <x:v>http://masculinity.aptitudeindia.org/</x:v>
      </x:c>
      <x:c r="W930" s="19" t="str">
        <x:v>https://pro.similarweb.com/#/digitalsuite/websiteanalysis/referrals/*/999/1m?webSource=Total&amp;selectedTab=incomingTraffic&amp;key=pages.razorpay.com</x:v>
      </x:c>
      <x:c r="X930" s="20" t="n">
        <x:f>IF(Q930="是",0,IFERROR(P930/SUMIFS($P$2:$P$964,$A$2:$A$964,A930,$Q$2:$Q$964,"否"),0))</x:f>
        <x:v>0.003275789655282185</x:v>
      </x:c>
      <x:c r="Y930" s="22" t="str">
        <x:f>IF(OR(M930="",U930=""),"未交叉",IF(M930*U930&gt;0,"同向",IF(M930*U930&lt;0,"背离","一侧持平")))</x:f>
        <x:v>未交叉</x:v>
      </x:c>
    </x:row>
    <x:row r="931">
      <x:c r="A931" s="18" t="str">
        <x:v>pages.razorpay.com</x:v>
      </x:c>
      <x:c r="B931" s="19" t="str">
        <x:v>专用支付/结账入口</x:v>
      </x:c>
      <x:c r="C931" s="19" t="str">
        <x:v>高</x:v>
      </x:c>
      <x:c r="D931" s="19" t="str">
        <x:v>Jul 2026</x:v>
      </x:c>
      <x:c r="E931" s="19" t="n">
        <x:v>67</x:v>
      </x:c>
      <x:c r="F931" s="19" t="str">
        <x:v>arpitbhayani.me</x:v>
      </x:c>
      <x:c r="G931" s="19" t="str">
        <x:v>Programming and Developer Software</x:v>
      </x:c>
      <x:c r="H931" s="19" t="str">
        <x:v>开发者工具与互联网基础设施</x:v>
      </x:c>
      <x:c r="I931" s="19" t="str">
        <x:v>Similarweb 行业映射</x:v>
      </x:c>
      <x:c r="J931" s="19" t="n">
        <x:v>349372</x:v>
      </x:c>
      <x:c r="K931" s="20" t="n">
        <x:v>0.0023</x:v>
      </x:c>
      <x:c r="L931" s="19" t="str">
        <x:v>下降</x:v>
      </x:c>
      <x:c r="M931" s="20" t="n">
        <x:v>-0.7114</x:v>
      </x:c>
      <x:c r="N931" s="21" t="n">
        <x:v>1387000</x:v>
      </x:c>
      <x:c r="O931" s="21" t="n">
        <x:v>3190</x:v>
      </x:c>
      <x:c r="P931" s="21" t="n">
        <x:f>ROUND(N931*K931,0)</x:f>
        <x:v>3190</x:v>
      </x:c>
      <x:c r="Q931" s="19" t="str">
        <x:v>否</x:v>
      </x:c>
      <x:c r="R931" s="19" t="str"/>
      <x:c r="S931" s="19" t="n">
        <x:f>IF(Q931="是",0,MIN(10,2+IF(C931="高",2,1)+IF(K931&gt;=3%,3,IF(K931&gt;=1%,2,1))+IF(L931="新出现",2,IF(M931&gt;=100%,3,IF(M931&gt;0,2,0)))))</x:f>
        <x:v>5</x:v>
      </x:c>
      <x:c r="T931" s="21"/>
      <x:c r="U931" s="20"/>
      <x:c r="V931" s="19" t="str">
        <x:v>http://arpitbhayani.me/</x:v>
      </x:c>
      <x:c r="W931" s="19" t="str">
        <x:v>https://pro.similarweb.com/#/digitalsuite/websiteanalysis/referrals/*/999/1m?webSource=Total&amp;selectedTab=incomingTraffic&amp;key=pages.razorpay.com</x:v>
      </x:c>
      <x:c r="X931" s="20" t="n">
        <x:f>IF(Q931="是",0,IFERROR(P931/SUMIFS($P$2:$P$964,$A$2:$A$964,A931,$Q$2:$Q$964,"否"),0))</x:f>
        <x:v>0.003275789655282185</x:v>
      </x:c>
      <x:c r="Y931" s="22" t="str">
        <x:f>IF(OR(M931="",U931=""),"未交叉",IF(M931*U931&gt;0,"同向",IF(M931*U931&lt;0,"背离","一侧持平")))</x:f>
        <x:v>未交叉</x:v>
      </x:c>
    </x:row>
    <x:row r="932">
      <x:c r="A932" s="18" t="str">
        <x:v>pages.razorpay.com</x:v>
      </x:c>
      <x:c r="B932" s="19" t="str">
        <x:v>专用支付/结账入口</x:v>
      </x:c>
      <x:c r="C932" s="19" t="str">
        <x:v>高</x:v>
      </x:c>
      <x:c r="D932" s="19" t="str">
        <x:v>Jul 2026</x:v>
      </x:c>
      <x:c r="E932" s="19" t="n">
        <x:v>68</x:v>
      </x:c>
      <x:c r="F932" s="19" t="str">
        <x:v>linkin.bio</x:v>
      </x:c>
      <x:c r="G932" s="19" t="str">
        <x:v>Fashion and Apparel</x:v>
      </x:c>
      <x:c r="H932" s="19" t="str">
        <x:v>内容媒体、线下与实体消费</x:v>
      </x:c>
      <x:c r="I932" s="19" t="str">
        <x:v>Similarweb 行业映射</x:v>
      </x:c>
      <x:c r="J932" s="19" t="n">
        <x:v>27154</x:v>
      </x:c>
      <x:c r="K932" s="20" t="n">
        <x:v>0.0023</x:v>
      </x:c>
      <x:c r="L932" s="19" t="str">
        <x:v>新出现</x:v>
      </x:c>
      <x:c r="M932" s="20"/>
      <x:c r="N932" s="21" t="n">
        <x:v>1387000</x:v>
      </x:c>
      <x:c r="O932" s="21" t="n">
        <x:v>3190</x:v>
      </x:c>
      <x:c r="P932" s="21" t="n">
        <x:f>ROUND(N932*K932,0)</x:f>
        <x:v>3190</x:v>
      </x:c>
      <x:c r="Q932" s="19" t="str">
        <x:v>否</x:v>
      </x:c>
      <x:c r="R932" s="19" t="str"/>
      <x:c r="S932" s="19" t="n">
        <x:f>IF(Q932="是",0,MIN(10,2+IF(C932="高",2,1)+IF(K932&gt;=3%,3,IF(K932&gt;=1%,2,1))+IF(L932="新出现",2,IF(M932&gt;=100%,3,IF(M932&gt;0,2,0)))))</x:f>
        <x:v>7</x:v>
      </x:c>
      <x:c r="T932" s="21"/>
      <x:c r="U932" s="20"/>
      <x:c r="V932" s="19" t="str">
        <x:v>http://linkin.bio/</x:v>
      </x:c>
      <x:c r="W932" s="19" t="str">
        <x:v>https://pro.similarweb.com/#/digitalsuite/websiteanalysis/referrals/*/999/1m?webSource=Total&amp;selectedTab=incomingTraffic&amp;key=pages.razorpay.com</x:v>
      </x:c>
      <x:c r="X932" s="20" t="n">
        <x:f>IF(Q932="是",0,IFERROR(P932/SUMIFS($P$2:$P$964,$A$2:$A$964,A932,$Q$2:$Q$964,"否"),0))</x:f>
        <x:v>0.003275789655282185</x:v>
      </x:c>
      <x:c r="Y932" s="22" t="str">
        <x:f>IF(OR(M932="",U932=""),"未交叉",IF(M932*U932&gt;0,"同向",IF(M932*U932&lt;0,"背离","一侧持平")))</x:f>
        <x:v>未交叉</x:v>
      </x:c>
    </x:row>
    <x:row r="933">
      <x:c r="A933" s="18" t="str">
        <x:v>pages.razorpay.com</x:v>
      </x:c>
      <x:c r="B933" s="19" t="str">
        <x:v>专用支付/结账入口</x:v>
      </x:c>
      <x:c r="C933" s="19" t="str">
        <x:v>高</x:v>
      </x:c>
      <x:c r="D933" s="19" t="str">
        <x:v>Jul 2026</x:v>
      </x:c>
      <x:c r="E933" s="19" t="n">
        <x:v>69</x:v>
      </x:c>
      <x:c r="F933" s="19" t="str">
        <x:v>openwaterswimbangalore.in</x:v>
      </x:c>
      <x:c r="G933" s="19" t="str">
        <x:v>Unknown</x:v>
      </x:c>
      <x:c r="H933" s="19" t="str">
        <x:v>其他/待核查</x:v>
      </x:c>
      <x:c r="I933" s="19" t="str">
        <x:v>Similarweb 未分类</x:v>
      </x:c>
      <x:c r="J933" s="19" t="n">
        <x:v>3693919</x:v>
      </x:c>
      <x:c r="K933" s="20" t="n">
        <x:v>0.0022</x:v>
      </x:c>
      <x:c r="L933" s="19" t="str">
        <x:v>新出现</x:v>
      </x:c>
      <x:c r="M933" s="20"/>
      <x:c r="N933" s="21" t="n">
        <x:v>1387000</x:v>
      </x:c>
      <x:c r="O933" s="21" t="n">
        <x:v>3051</x:v>
      </x:c>
      <x:c r="P933" s="21" t="n">
        <x:f>ROUND(N933*K933,0)</x:f>
        <x:v>3051</x:v>
      </x:c>
      <x:c r="Q933" s="19" t="str">
        <x:v>否</x:v>
      </x:c>
      <x:c r="R933" s="19" t="str"/>
      <x:c r="S933" s="19" t="n">
        <x:f>IF(Q933="是",0,MIN(10,2+IF(C933="高",2,1)+IF(K933&gt;=3%,3,IF(K933&gt;=1%,2,1))+IF(L933="新出现",2,IF(M933&gt;=100%,3,IF(M933&gt;0,2,0)))))</x:f>
        <x:v>7</x:v>
      </x:c>
      <x:c r="T933" s="21"/>
      <x:c r="U933" s="20"/>
      <x:c r="V933" s="19" t="str">
        <x:v>http://openwaterswimbangalore.in/</x:v>
      </x:c>
      <x:c r="W933" s="19" t="str">
        <x:v>https://pro.similarweb.com/#/digitalsuite/websiteanalysis/referrals/*/999/1m?webSource=Total&amp;selectedTab=incomingTraffic&amp;key=pages.razorpay.com</x:v>
      </x:c>
      <x:c r="X933" s="20" t="n">
        <x:f>IF(Q933="是",0,IFERROR(P933/SUMIFS($P$2:$P$964,$A$2:$A$964,A933,$Q$2:$Q$964,"否"),0))</x:f>
        <x:v>0.0031330514853498267</x:v>
      </x:c>
      <x:c r="Y933" s="22" t="str">
        <x:f>IF(OR(M933="",U933=""),"未交叉",IF(M933*U933&gt;0,"同向",IF(M933*U933&lt;0,"背离","一侧持平")))</x:f>
        <x:v>未交叉</x:v>
      </x:c>
    </x:row>
    <x:row r="934">
      <x:c r="A934" s="18" t="str">
        <x:v>pages.razorpay.com</x:v>
      </x:c>
      <x:c r="B934" s="19" t="str">
        <x:v>专用支付/结账入口</x:v>
      </x:c>
      <x:c r="C934" s="19" t="str">
        <x:v>高</x:v>
      </x:c>
      <x:c r="D934" s="19" t="str">
        <x:v>Jul 2026</x:v>
      </x:c>
      <x:c r="E934" s="19" t="n">
        <x:v>70</x:v>
      </x:c>
      <x:c r="F934" s="19" t="str">
        <x:v>reap2026.in</x:v>
      </x:c>
      <x:c r="G934" s="19" t="str">
        <x:v>Education</x:v>
      </x:c>
      <x:c r="H934" s="19" t="str">
        <x:v>教育、知识与考试服务</x:v>
      </x:c>
      <x:c r="I934" s="19" t="str">
        <x:v>Similarweb 行业映射</x:v>
      </x:c>
      <x:c r="J934" s="19" t="n">
        <x:v>381150</x:v>
      </x:c>
      <x:c r="K934" s="20" t="n">
        <x:v>0.0022</x:v>
      </x:c>
      <x:c r="L934" s="19" t="str">
        <x:v>下降</x:v>
      </x:c>
      <x:c r="M934" s="20" t="n">
        <x:v>-0.3948</x:v>
      </x:c>
      <x:c r="N934" s="21" t="n">
        <x:v>1387000</x:v>
      </x:c>
      <x:c r="O934" s="21" t="n">
        <x:v>3051</x:v>
      </x:c>
      <x:c r="P934" s="21" t="n">
        <x:f>ROUND(N934*K934,0)</x:f>
        <x:v>3051</x:v>
      </x:c>
      <x:c r="Q934" s="19" t="str">
        <x:v>否</x:v>
      </x:c>
      <x:c r="R934" s="19" t="str"/>
      <x:c r="S934" s="19" t="n">
        <x:f>IF(Q934="是",0,MIN(10,2+IF(C934="高",2,1)+IF(K934&gt;=3%,3,IF(K934&gt;=1%,2,1))+IF(L934="新出现",2,IF(M934&gt;=100%,3,IF(M934&gt;0,2,0)))))</x:f>
        <x:v>5</x:v>
      </x:c>
      <x:c r="T934" s="21"/>
      <x:c r="U934" s="20"/>
      <x:c r="V934" s="19" t="str">
        <x:v>http://reap2026.in/</x:v>
      </x:c>
      <x:c r="W934" s="19" t="str">
        <x:v>https://pro.similarweb.com/#/digitalsuite/websiteanalysis/referrals/*/999/1m?webSource=Total&amp;selectedTab=incomingTraffic&amp;key=pages.razorpay.com</x:v>
      </x:c>
      <x:c r="X934" s="20" t="n">
        <x:f>IF(Q934="是",0,IFERROR(P934/SUMIFS($P$2:$P$964,$A$2:$A$964,A934,$Q$2:$Q$964,"否"),0))</x:f>
        <x:v>0.0031330514853498267</x:v>
      </x:c>
      <x:c r="Y934" s="22" t="str">
        <x:f>IF(OR(M934="",U934=""),"未交叉",IF(M934*U934&gt;0,"同向",IF(M934*U934&lt;0,"背离","一侧持平")))</x:f>
        <x:v>未交叉</x:v>
      </x:c>
    </x:row>
    <x:row r="935">
      <x:c r="A935" s="18" t="str">
        <x:v>pages.razorpay.com</x:v>
      </x:c>
      <x:c r="B935" s="19" t="str">
        <x:v>专用支付/结账入口</x:v>
      </x:c>
      <x:c r="C935" s="19" t="str">
        <x:v>高</x:v>
      </x:c>
      <x:c r="D935" s="19" t="str">
        <x:v>Jul 2026</x:v>
      </x:c>
      <x:c r="E935" s="19" t="n">
        <x:v>71</x:v>
      </x:c>
      <x:c r="F935" s="19" t="str">
        <x:v>instapac.in</x:v>
      </x:c>
      <x:c r="G935" s="19" t="str">
        <x:v>Unknown</x:v>
      </x:c>
      <x:c r="H935" s="19" t="str">
        <x:v>其他/待核查</x:v>
      </x:c>
      <x:c r="I935" s="19" t="str">
        <x:v>Similarweb 未分类</x:v>
      </x:c>
      <x:c r="J935" s="19" t="n">
        <x:v>2545794</x:v>
      </x:c>
      <x:c r="K935" s="20" t="n">
        <x:v>0.0022</x:v>
      </x:c>
      <x:c r="L935" s="19" t="str">
        <x:v>上升</x:v>
      </x:c>
      <x:c r="M935" s="20" t="n">
        <x:v>50</x:v>
      </x:c>
      <x:c r="N935" s="21" t="n">
        <x:v>1387000</x:v>
      </x:c>
      <x:c r="O935" s="21" t="n">
        <x:v>3051</x:v>
      </x:c>
      <x:c r="P935" s="21" t="n">
        <x:f>ROUND(N935*K935,0)</x:f>
        <x:v>3051</x:v>
      </x:c>
      <x:c r="Q935" s="19" t="str">
        <x:v>否</x:v>
      </x:c>
      <x:c r="R935" s="19" t="str"/>
      <x:c r="S935" s="19" t="n">
        <x:f>IF(Q935="是",0,MIN(10,2+IF(C935="高",2,1)+IF(K935&gt;=3%,3,IF(K935&gt;=1%,2,1))+IF(L935="新出现",2,IF(M935&gt;=100%,3,IF(M935&gt;0,2,0)))))</x:f>
        <x:v>8</x:v>
      </x:c>
      <x:c r="T935" s="21"/>
      <x:c r="U935" s="20"/>
      <x:c r="V935" s="19" t="str">
        <x:v>http://instapac.in/</x:v>
      </x:c>
      <x:c r="W935" s="19" t="str">
        <x:v>https://pro.similarweb.com/#/digitalsuite/websiteanalysis/referrals/*/999/1m?webSource=Total&amp;selectedTab=incomingTraffic&amp;key=pages.razorpay.com</x:v>
      </x:c>
      <x:c r="X935" s="20" t="n">
        <x:f>IF(Q935="是",0,IFERROR(P935/SUMIFS($P$2:$P$964,$A$2:$A$964,A935,$Q$2:$Q$964,"否"),0))</x:f>
        <x:v>0.0031330514853498267</x:v>
      </x:c>
      <x:c r="Y935" s="22" t="str">
        <x:f>IF(OR(M935="",U935=""),"未交叉",IF(M935*U935&gt;0,"同向",IF(M935*U935&lt;0,"背离","一侧持平")))</x:f>
        <x:v>未交叉</x:v>
      </x:c>
    </x:row>
    <x:row r="936">
      <x:c r="A936" s="18" t="str">
        <x:v>pages.razorpay.com</x:v>
      </x:c>
      <x:c r="B936" s="19" t="str">
        <x:v>专用支付/结账入口</x:v>
      </x:c>
      <x:c r="C936" s="19" t="str">
        <x:v>高</x:v>
      </x:c>
      <x:c r="D936" s="19" t="str">
        <x:v>Jul 2026</x:v>
      </x:c>
      <x:c r="E936" s="19" t="n">
        <x:v>72</x:v>
      </x:c>
      <x:c r="F936" s="19" t="str">
        <x:v>hyperscalebusiness.com</x:v>
      </x:c>
      <x:c r="G936" s="19" t="str">
        <x:v>Unknown</x:v>
      </x:c>
      <x:c r="H936" s="19" t="str">
        <x:v>其他/待核查</x:v>
      </x:c>
      <x:c r="I936" s="19" t="str">
        <x:v>Similarweb 未分类</x:v>
      </x:c>
      <x:c r="J936" s="19" t="n">
        <x:v>648002</x:v>
      </x:c>
      <x:c r="K936" s="20" t="n">
        <x:v>0.0022</x:v>
      </x:c>
      <x:c r="L936" s="19" t="str">
        <x:v>上升</x:v>
      </x:c>
      <x:c r="M936" s="20" t="n">
        <x:v>6.3248</x:v>
      </x:c>
      <x:c r="N936" s="21" t="n">
        <x:v>1387000</x:v>
      </x:c>
      <x:c r="O936" s="21" t="n">
        <x:v>3051</x:v>
      </x:c>
      <x:c r="P936" s="21" t="n">
        <x:f>ROUND(N936*K936,0)</x:f>
        <x:v>3051</x:v>
      </x:c>
      <x:c r="Q936" s="19" t="str">
        <x:v>否</x:v>
      </x:c>
      <x:c r="R936" s="19" t="str"/>
      <x:c r="S936" s="19" t="n">
        <x:f>IF(Q936="是",0,MIN(10,2+IF(C936="高",2,1)+IF(K936&gt;=3%,3,IF(K936&gt;=1%,2,1))+IF(L936="新出现",2,IF(M936&gt;=100%,3,IF(M936&gt;0,2,0)))))</x:f>
        <x:v>8</x:v>
      </x:c>
      <x:c r="T936" s="21"/>
      <x:c r="U936" s="20"/>
      <x:c r="V936" s="19" t="str">
        <x:v>http://hyperscalebusiness.com/</x:v>
      </x:c>
      <x:c r="W936" s="19" t="str">
        <x:v>https://pro.similarweb.com/#/digitalsuite/websiteanalysis/referrals/*/999/1m?webSource=Total&amp;selectedTab=incomingTraffic&amp;key=pages.razorpay.com</x:v>
      </x:c>
      <x:c r="X936" s="20" t="n">
        <x:f>IF(Q936="是",0,IFERROR(P936/SUMIFS($P$2:$P$964,$A$2:$A$964,A936,$Q$2:$Q$964,"否"),0))</x:f>
        <x:v>0.0031330514853498267</x:v>
      </x:c>
      <x:c r="Y936" s="22" t="str">
        <x:f>IF(OR(M936="",U936=""),"未交叉",IF(M936*U936&gt;0,"同向",IF(M936*U936&lt;0,"背离","一侧持平")))</x:f>
        <x:v>未交叉</x:v>
      </x:c>
    </x:row>
    <x:row r="937">
      <x:c r="A937" s="18" t="str">
        <x:v>pages.razorpay.com</x:v>
      </x:c>
      <x:c r="B937" s="19" t="str">
        <x:v>专用支付/结账入口</x:v>
      </x:c>
      <x:c r="C937" s="19" t="str">
        <x:v>高</x:v>
      </x:c>
      <x:c r="D937" s="19" t="str">
        <x:v>Jul 2026</x:v>
      </x:c>
      <x:c r="E937" s="19" t="n">
        <x:v>73</x:v>
      </x:c>
      <x:c r="F937" s="19" t="str">
        <x:v>jaipuraffordablehousing.com</x:v>
      </x:c>
      <x:c r="G937" s="19" t="str">
        <x:v>Unknown</x:v>
      </x:c>
      <x:c r="H937" s="19" t="str">
        <x:v>其他/待核查</x:v>
      </x:c>
      <x:c r="I937" s="19" t="str">
        <x:v>Similarweb 未分类</x:v>
      </x:c>
      <x:c r="J937" s="19" t="n">
        <x:v>1270444</x:v>
      </x:c>
      <x:c r="K937" s="20" t="n">
        <x:v>0.0022</x:v>
      </x:c>
      <x:c r="L937" s="19" t="str">
        <x:v>新出现</x:v>
      </x:c>
      <x:c r="M937" s="20"/>
      <x:c r="N937" s="21" t="n">
        <x:v>1387000</x:v>
      </x:c>
      <x:c r="O937" s="21" t="n">
        <x:v>3051</x:v>
      </x:c>
      <x:c r="P937" s="21" t="n">
        <x:f>ROUND(N937*K937,0)</x:f>
        <x:v>3051</x:v>
      </x:c>
      <x:c r="Q937" s="19" t="str">
        <x:v>否</x:v>
      </x:c>
      <x:c r="R937" s="19" t="str"/>
      <x:c r="S937" s="19" t="n">
        <x:f>IF(Q937="是",0,MIN(10,2+IF(C937="高",2,1)+IF(K937&gt;=3%,3,IF(K937&gt;=1%,2,1))+IF(L937="新出现",2,IF(M937&gt;=100%,3,IF(M937&gt;0,2,0)))))</x:f>
        <x:v>7</x:v>
      </x:c>
      <x:c r="T937" s="21"/>
      <x:c r="U937" s="20"/>
      <x:c r="V937" s="19" t="str">
        <x:v>http://jaipuraffordablehousing.com/</x:v>
      </x:c>
      <x:c r="W937" s="19" t="str">
        <x:v>https://pro.similarweb.com/#/digitalsuite/websiteanalysis/referrals/*/999/1m?webSource=Total&amp;selectedTab=incomingTraffic&amp;key=pages.razorpay.com</x:v>
      </x:c>
      <x:c r="X937" s="20" t="n">
        <x:f>IF(Q937="是",0,IFERROR(P937/SUMIFS($P$2:$P$964,$A$2:$A$964,A937,$Q$2:$Q$964,"否"),0))</x:f>
        <x:v>0.0031330514853498267</x:v>
      </x:c>
      <x:c r="Y937" s="22" t="str">
        <x:f>IF(OR(M937="",U937=""),"未交叉",IF(M937*U937&gt;0,"同向",IF(M937*U937&lt;0,"背离","一侧持平")))</x:f>
        <x:v>未交叉</x:v>
      </x:c>
    </x:row>
    <x:row r="938">
      <x:c r="A938" s="18" t="str">
        <x:v>pages.razorpay.com</x:v>
      </x:c>
      <x:c r="B938" s="19" t="str">
        <x:v>专用支付/结账入口</x:v>
      </x:c>
      <x:c r="C938" s="19" t="str">
        <x:v>高</x:v>
      </x:c>
      <x:c r="D938" s="19" t="str">
        <x:v>Jul 2026</x:v>
      </x:c>
      <x:c r="E938" s="19" t="n">
        <x:v>74</x:v>
      </x:c>
      <x:c r="F938" s="19" t="str">
        <x:v>livingdevops.com</x:v>
      </x:c>
      <x:c r="G938" s="19" t="str">
        <x:v>Unknown</x:v>
      </x:c>
      <x:c r="H938" s="19" t="str">
        <x:v>其他/待核查</x:v>
      </x:c>
      <x:c r="I938" s="19" t="str">
        <x:v>Similarweb 未分类</x:v>
      </x:c>
      <x:c r="J938" s="19" t="n">
        <x:v>1666925</x:v>
      </x:c>
      <x:c r="K938" s="20" t="n">
        <x:v>0.0022</x:v>
      </x:c>
      <x:c r="L938" s="19" t="str">
        <x:v>下降</x:v>
      </x:c>
      <x:c r="M938" s="20" t="n">
        <x:v>-0.0414</x:v>
      </x:c>
      <x:c r="N938" s="21" t="n">
        <x:v>1387000</x:v>
      </x:c>
      <x:c r="O938" s="21" t="n">
        <x:v>3051</x:v>
      </x:c>
      <x:c r="P938" s="21" t="n">
        <x:f>ROUND(N938*K938,0)</x:f>
        <x:v>3051</x:v>
      </x:c>
      <x:c r="Q938" s="19" t="str">
        <x:v>否</x:v>
      </x:c>
      <x:c r="R938" s="19" t="str"/>
      <x:c r="S938" s="19" t="n">
        <x:f>IF(Q938="是",0,MIN(10,2+IF(C938="高",2,1)+IF(K938&gt;=3%,3,IF(K938&gt;=1%,2,1))+IF(L938="新出现",2,IF(M938&gt;=100%,3,IF(M938&gt;0,2,0)))))</x:f>
        <x:v>5</x:v>
      </x:c>
      <x:c r="T938" s="21"/>
      <x:c r="U938" s="20"/>
      <x:c r="V938" s="19" t="str">
        <x:v>http://livingdevops.com/</x:v>
      </x:c>
      <x:c r="W938" s="19" t="str">
        <x:v>https://pro.similarweb.com/#/digitalsuite/websiteanalysis/referrals/*/999/1m?webSource=Total&amp;selectedTab=incomingTraffic&amp;key=pages.razorpay.com</x:v>
      </x:c>
      <x:c r="X938" s="20" t="n">
        <x:f>IF(Q938="是",0,IFERROR(P938/SUMIFS($P$2:$P$964,$A$2:$A$964,A938,$Q$2:$Q$964,"否"),0))</x:f>
        <x:v>0.0031330514853498267</x:v>
      </x:c>
      <x:c r="Y938" s="22" t="str">
        <x:f>IF(OR(M938="",U938=""),"未交叉",IF(M938*U938&gt;0,"同向",IF(M938*U938&lt;0,"背离","一侧持平")))</x:f>
        <x:v>未交叉</x:v>
      </x:c>
    </x:row>
    <x:row r="939">
      <x:c r="A939" s="18" t="str">
        <x:v>pages.razorpay.com</x:v>
      </x:c>
      <x:c r="B939" s="19" t="str">
        <x:v>专用支付/结账入口</x:v>
      </x:c>
      <x:c r="C939" s="19" t="str">
        <x:v>高</x:v>
      </x:c>
      <x:c r="D939" s="19" t="str">
        <x:v>Jul 2026</x:v>
      </x:c>
      <x:c r="E939" s="19" t="n">
        <x:v>75</x:v>
      </x:c>
      <x:c r="F939" s="19" t="str">
        <x:v>beyondappliances.in</x:v>
      </x:c>
      <x:c r="G939" s="19" t="str">
        <x:v>Finance</x:v>
      </x:c>
      <x:c r="H939" s="19" t="str">
        <x:v>金融、支付与交易服务</x:v>
      </x:c>
      <x:c r="I939" s="19" t="str">
        <x:v>Similarweb 行业映射</x:v>
      </x:c>
      <x:c r="J939" s="19" t="n">
        <x:v>155644</x:v>
      </x:c>
      <x:c r="K939" s="20" t="n">
        <x:v>0.0021</x:v>
      </x:c>
      <x:c r="L939" s="19" t="str">
        <x:v>新出现</x:v>
      </x:c>
      <x:c r="M939" s="20"/>
      <x:c r="N939" s="21" t="n">
        <x:v>1387000</x:v>
      </x:c>
      <x:c r="O939" s="21" t="n">
        <x:v>2913</x:v>
      </x:c>
      <x:c r="P939" s="21" t="n">
        <x:f>ROUND(N939*K939,0)</x:f>
        <x:v>2913</x:v>
      </x:c>
      <x:c r="Q939" s="19" t="str">
        <x:v>否</x:v>
      </x:c>
      <x:c r="R939" s="19" t="str"/>
      <x:c r="S939" s="19" t="n">
        <x:f>IF(Q939="是",0,MIN(10,2+IF(C939="高",2,1)+IF(K939&gt;=3%,3,IF(K939&gt;=1%,2,1))+IF(L939="新出现",2,IF(M939&gt;=100%,3,IF(M939&gt;0,2,0)))))</x:f>
        <x:v>7</x:v>
      </x:c>
      <x:c r="T939" s="21"/>
      <x:c r="U939" s="20"/>
      <x:c r="V939" s="19" t="str">
        <x:v>http://beyondappliances.in/</x:v>
      </x:c>
      <x:c r="W939" s="19" t="str">
        <x:v>https://pro.similarweb.com/#/digitalsuite/websiteanalysis/referrals/*/999/1m?webSource=Total&amp;selectedTab=incomingTraffic&amp;key=pages.razorpay.com</x:v>
      </x:c>
      <x:c r="X939" s="20" t="n">
        <x:f>IF(Q939="是",0,IFERROR(P939/SUMIFS($P$2:$P$964,$A$2:$A$964,A939,$Q$2:$Q$964,"否"),0))</x:f>
        <x:v>0.002991340208726334</x:v>
      </x:c>
      <x:c r="Y939" s="22" t="str">
        <x:f>IF(OR(M939="",U939=""),"未交叉",IF(M939*U939&gt;0,"同向",IF(M939*U939&lt;0,"背离","一侧持平")))</x:f>
        <x:v>未交叉</x:v>
      </x:c>
    </x:row>
    <x:row r="940">
      <x:c r="A940" s="18" t="str">
        <x:v>pages.razorpay.com</x:v>
      </x:c>
      <x:c r="B940" s="19" t="str">
        <x:v>专用支付/结账入口</x:v>
      </x:c>
      <x:c r="C940" s="19" t="str">
        <x:v>高</x:v>
      </x:c>
      <x:c r="D940" s="19" t="str">
        <x:v>Jul 2026</x:v>
      </x:c>
      <x:c r="E940" s="19" t="n">
        <x:v>76</x:v>
      </x:c>
      <x:c r="F940" s="19" t="str">
        <x:v>sairamkreations.com</x:v>
      </x:c>
      <x:c r="G940" s="19" t="str">
        <x:v>Unknown</x:v>
      </x:c>
      <x:c r="H940" s="19" t="str">
        <x:v>其他/待核查</x:v>
      </x:c>
      <x:c r="I940" s="19" t="str">
        <x:v>Similarweb 未分类</x:v>
      </x:c>
      <x:c r="J940" s="19" t="n">
        <x:v>1675130</x:v>
      </x:c>
      <x:c r="K940" s="20" t="n">
        <x:v>0.0021</x:v>
      </x:c>
      <x:c r="L940" s="19" t="str">
        <x:v>新出现</x:v>
      </x:c>
      <x:c r="M940" s="20"/>
      <x:c r="N940" s="21" t="n">
        <x:v>1387000</x:v>
      </x:c>
      <x:c r="O940" s="21" t="n">
        <x:v>2913</x:v>
      </x:c>
      <x:c r="P940" s="21" t="n">
        <x:f>ROUND(N940*K940,0)</x:f>
        <x:v>2913</x:v>
      </x:c>
      <x:c r="Q940" s="19" t="str">
        <x:v>否</x:v>
      </x:c>
      <x:c r="R940" s="19" t="str"/>
      <x:c r="S940" s="19" t="n">
        <x:f>IF(Q940="是",0,MIN(10,2+IF(C940="高",2,1)+IF(K940&gt;=3%,3,IF(K940&gt;=1%,2,1))+IF(L940="新出现",2,IF(M940&gt;=100%,3,IF(M940&gt;0,2,0)))))</x:f>
        <x:v>7</x:v>
      </x:c>
      <x:c r="T940" s="21"/>
      <x:c r="U940" s="20"/>
      <x:c r="V940" s="19" t="str">
        <x:v>http://sairamkreations.com/</x:v>
      </x:c>
      <x:c r="W940" s="19" t="str">
        <x:v>https://pro.similarweb.com/#/digitalsuite/websiteanalysis/referrals/*/999/1m?webSource=Total&amp;selectedTab=incomingTraffic&amp;key=pages.razorpay.com</x:v>
      </x:c>
      <x:c r="X940" s="20" t="n">
        <x:f>IF(Q940="是",0,IFERROR(P940/SUMIFS($P$2:$P$964,$A$2:$A$964,A940,$Q$2:$Q$964,"否"),0))</x:f>
        <x:v>0.002991340208726334</x:v>
      </x:c>
      <x:c r="Y940" s="22" t="str">
        <x:f>IF(OR(M940="",U940=""),"未交叉",IF(M940*U940&gt;0,"同向",IF(M940*U940&lt;0,"背离","一侧持平")))</x:f>
        <x:v>未交叉</x:v>
      </x:c>
    </x:row>
    <x:row r="941">
      <x:c r="A941" s="18" t="str">
        <x:v>pages.razorpay.com</x:v>
      </x:c>
      <x:c r="B941" s="19" t="str">
        <x:v>专用支付/结账入口</x:v>
      </x:c>
      <x:c r="C941" s="19" t="str">
        <x:v>高</x:v>
      </x:c>
      <x:c r="D941" s="19" t="str">
        <x:v>Jul 2026</x:v>
      </x:c>
      <x:c r="E941" s="19" t="n">
        <x:v>77</x:v>
      </x:c>
      <x:c r="F941" s="19" t="str">
        <x:v>evoindia.com</x:v>
      </x:c>
      <x:c r="G941" s="19" t="str">
        <x:v>Vehicles</x:v>
      </x:c>
      <x:c r="H941" s="19" t="str">
        <x:v>其他/待核查</x:v>
      </x:c>
      <x:c r="I941" s="19" t="str">
        <x:v>保守归类</x:v>
      </x:c>
      <x:c r="J941" s="19" t="n">
        <x:v>413433</x:v>
      </x:c>
      <x:c r="K941" s="20" t="n">
        <x:v>0.0021</x:v>
      </x:c>
      <x:c r="L941" s="19" t="str">
        <x:v>下降</x:v>
      </x:c>
      <x:c r="M941" s="20" t="n">
        <x:v>-0.2789</x:v>
      </x:c>
      <x:c r="N941" s="21" t="n">
        <x:v>1387000</x:v>
      </x:c>
      <x:c r="O941" s="21" t="n">
        <x:v>2913</x:v>
      </x:c>
      <x:c r="P941" s="21" t="n">
        <x:f>ROUND(N941*K941,0)</x:f>
        <x:v>2913</x:v>
      </x:c>
      <x:c r="Q941" s="19" t="str">
        <x:v>否</x:v>
      </x:c>
      <x:c r="R941" s="19" t="str"/>
      <x:c r="S941" s="19" t="n">
        <x:f>IF(Q941="是",0,MIN(10,2+IF(C941="高",2,1)+IF(K941&gt;=3%,3,IF(K941&gt;=1%,2,1))+IF(L941="新出现",2,IF(M941&gt;=100%,3,IF(M941&gt;0,2,0)))))</x:f>
        <x:v>5</x:v>
      </x:c>
      <x:c r="T941" s="21"/>
      <x:c r="U941" s="20"/>
      <x:c r="V941" s="19" t="str">
        <x:v>http://evoindia.com/</x:v>
      </x:c>
      <x:c r="W941" s="19" t="str">
        <x:v>https://pro.similarweb.com/#/digitalsuite/websiteanalysis/referrals/*/999/1m?webSource=Total&amp;selectedTab=incomingTraffic&amp;key=pages.razorpay.com</x:v>
      </x:c>
      <x:c r="X941" s="20" t="n">
        <x:f>IF(Q941="是",0,IFERROR(P941/SUMIFS($P$2:$P$964,$A$2:$A$964,A941,$Q$2:$Q$964,"否"),0))</x:f>
        <x:v>0.002991340208726334</x:v>
      </x:c>
      <x:c r="Y941" s="22" t="str">
        <x:f>IF(OR(M941="",U941=""),"未交叉",IF(M941*U941&gt;0,"同向",IF(M941*U941&lt;0,"背离","一侧持平")))</x:f>
        <x:v>未交叉</x:v>
      </x:c>
    </x:row>
    <x:row r="942">
      <x:c r="A942" s="18" t="str">
        <x:v>pages.razorpay.com</x:v>
      </x:c>
      <x:c r="B942" s="19" t="str">
        <x:v>专用支付/结账入口</x:v>
      </x:c>
      <x:c r="C942" s="19" t="str">
        <x:v>高</x:v>
      </x:c>
      <x:c r="D942" s="19" t="str">
        <x:v>Jul 2026</x:v>
      </x:c>
      <x:c r="E942" s="19" t="n">
        <x:v>78</x:v>
      </x:c>
      <x:c r="F942" s="19" t="str">
        <x:v>letsintern.in</x:v>
      </x:c>
      <x:c r="G942" s="19" t="str">
        <x:v>Jobs and Employment</x:v>
      </x:c>
      <x:c r="H942" s="19" t="str">
        <x:v>营销、生产力与商业服务</x:v>
      </x:c>
      <x:c r="I942" s="19" t="str">
        <x:v>Similarweb 行业映射</x:v>
      </x:c>
      <x:c r="J942" s="19" t="n">
        <x:v>739996</x:v>
      </x:c>
      <x:c r="K942" s="20" t="n">
        <x:v>0.0021</x:v>
      </x:c>
      <x:c r="L942" s="19" t="str">
        <x:v>下降</x:v>
      </x:c>
      <x:c r="M942" s="20" t="n">
        <x:v>-0.46259999999999996</x:v>
      </x:c>
      <x:c r="N942" s="21" t="n">
        <x:v>1387000</x:v>
      </x:c>
      <x:c r="O942" s="21" t="n">
        <x:v>2913</x:v>
      </x:c>
      <x:c r="P942" s="21" t="n">
        <x:f>ROUND(N942*K942,0)</x:f>
        <x:v>2913</x:v>
      </x:c>
      <x:c r="Q942" s="19" t="str">
        <x:v>否</x:v>
      </x:c>
      <x:c r="R942" s="19" t="str"/>
      <x:c r="S942" s="19" t="n">
        <x:f>IF(Q942="是",0,MIN(10,2+IF(C942="高",2,1)+IF(K942&gt;=3%,3,IF(K942&gt;=1%,2,1))+IF(L942="新出现",2,IF(M942&gt;=100%,3,IF(M942&gt;0,2,0)))))</x:f>
        <x:v>5</x:v>
      </x:c>
      <x:c r="T942" s="21"/>
      <x:c r="U942" s="20"/>
      <x:c r="V942" s="19" t="str">
        <x:v>http://letsintern.in/</x:v>
      </x:c>
      <x:c r="W942" s="19" t="str">
        <x:v>https://pro.similarweb.com/#/digitalsuite/websiteanalysis/referrals/*/999/1m?webSource=Total&amp;selectedTab=incomingTraffic&amp;key=pages.razorpay.com</x:v>
      </x:c>
      <x:c r="X942" s="20" t="n">
        <x:f>IF(Q942="是",0,IFERROR(P942/SUMIFS($P$2:$P$964,$A$2:$A$964,A942,$Q$2:$Q$964,"否"),0))</x:f>
        <x:v>0.002991340208726334</x:v>
      </x:c>
      <x:c r="Y942" s="22" t="str">
        <x:f>IF(OR(M942="",U942=""),"未交叉",IF(M942*U942&gt;0,"同向",IF(M942*U942&lt;0,"背离","一侧持平")))</x:f>
        <x:v>未交叉</x:v>
      </x:c>
    </x:row>
    <x:row r="943">
      <x:c r="A943" s="18" t="str">
        <x:v>pages.razorpay.com</x:v>
      </x:c>
      <x:c r="B943" s="19" t="str">
        <x:v>专用支付/结账入口</x:v>
      </x:c>
      <x:c r="C943" s="19" t="str">
        <x:v>高</x:v>
      </x:c>
      <x:c r="D943" s="19" t="str">
        <x:v>Jul 2026</x:v>
      </x:c>
      <x:c r="E943" s="19" t="n">
        <x:v>79</x:v>
      </x:c>
      <x:c r="F943" s="19" t="str">
        <x:v>sahajbana.in</x:v>
      </x:c>
      <x:c r="G943" s="19" t="str">
        <x:v>Jobs and Employment</x:v>
      </x:c>
      <x:c r="H943" s="19" t="str">
        <x:v>营销、生产力与商业服务</x:v>
      </x:c>
      <x:c r="I943" s="19" t="str">
        <x:v>Similarweb 行业映射</x:v>
      </x:c>
      <x:c r="J943" s="19" t="n">
        <x:v>1508835</x:v>
      </x:c>
      <x:c r="K943" s="20" t="n">
        <x:v>0.002</x:v>
      </x:c>
      <x:c r="L943" s="19" t="str">
        <x:v>上升</x:v>
      </x:c>
      <x:c r="M943" s="20" t="n">
        <x:v>1.9483000000000001</x:v>
      </x:c>
      <x:c r="N943" s="21" t="n">
        <x:v>1387000</x:v>
      </x:c>
      <x:c r="O943" s="21" t="n">
        <x:v>2774</x:v>
      </x:c>
      <x:c r="P943" s="21" t="n">
        <x:f>ROUND(N943*K943,0)</x:f>
        <x:v>2774</x:v>
      </x:c>
      <x:c r="Q943" s="19" t="str">
        <x:v>否</x:v>
      </x:c>
      <x:c r="R943" s="19" t="str"/>
      <x:c r="S943" s="19" t="n">
        <x:f>IF(Q943="是",0,MIN(10,2+IF(C943="高",2,1)+IF(K943&gt;=3%,3,IF(K943&gt;=1%,2,1))+IF(L943="新出现",2,IF(M943&gt;=100%,3,IF(M943&gt;0,2,0)))))</x:f>
        <x:v>8</x:v>
      </x:c>
      <x:c r="T943" s="21"/>
      <x:c r="U943" s="20"/>
      <x:c r="V943" s="19" t="str">
        <x:v>http://sahajbana.in/</x:v>
      </x:c>
      <x:c r="W943" s="19" t="str">
        <x:v>https://pro.similarweb.com/#/digitalsuite/websiteanalysis/referrals/*/999/1m?webSource=Total&amp;selectedTab=incomingTraffic&amp;key=pages.razorpay.com</x:v>
      </x:c>
      <x:c r="X943" s="20" t="n">
        <x:f>IF(Q943="是",0,IFERROR(P943/SUMIFS($P$2:$P$964,$A$2:$A$964,A943,$Q$2:$Q$964,"否"),0))</x:f>
        <x:v>0.0028486020387939754</x:v>
      </x:c>
      <x:c r="Y943" s="22" t="str">
        <x:f>IF(OR(M943="",U943=""),"未交叉",IF(M943*U943&gt;0,"同向",IF(M943*U943&lt;0,"背离","一侧持平")))</x:f>
        <x:v>未交叉</x:v>
      </x:c>
    </x:row>
    <x:row r="944">
      <x:c r="A944" s="18" t="str">
        <x:v>pages.razorpay.com</x:v>
      </x:c>
      <x:c r="B944" s="19" t="str">
        <x:v>专用支付/结账入口</x:v>
      </x:c>
      <x:c r="C944" s="19" t="str">
        <x:v>高</x:v>
      </x:c>
      <x:c r="D944" s="19" t="str">
        <x:v>Jul 2026</x:v>
      </x:c>
      <x:c r="E944" s="19" t="n">
        <x:v>80</x:v>
      </x:c>
      <x:c r="F944" s="19" t="str">
        <x:v>wingword.in</x:v>
      </x:c>
      <x:c r="G944" s="19" t="str">
        <x:v>Education</x:v>
      </x:c>
      <x:c r="H944" s="19" t="str">
        <x:v>教育、知识与考试服务</x:v>
      </x:c>
      <x:c r="I944" s="19" t="str">
        <x:v>Similarweb 行业映射</x:v>
      </x:c>
      <x:c r="J944" s="19" t="n">
        <x:v>1711628</x:v>
      </x:c>
      <x:c r="K944" s="20" t="n">
        <x:v>0.002</x:v>
      </x:c>
      <x:c r="L944" s="19" t="str">
        <x:v>上升</x:v>
      </x:c>
      <x:c r="M944" s="20" t="n">
        <x:v>2.8483</x:v>
      </x:c>
      <x:c r="N944" s="21" t="n">
        <x:v>1387000</x:v>
      </x:c>
      <x:c r="O944" s="21" t="n">
        <x:v>2774</x:v>
      </x:c>
      <x:c r="P944" s="21" t="n">
        <x:f>ROUND(N944*K944,0)</x:f>
        <x:v>2774</x:v>
      </x:c>
      <x:c r="Q944" s="19" t="str">
        <x:v>否</x:v>
      </x:c>
      <x:c r="R944" s="19" t="str"/>
      <x:c r="S944" s="19" t="n">
        <x:f>IF(Q944="是",0,MIN(10,2+IF(C944="高",2,1)+IF(K944&gt;=3%,3,IF(K944&gt;=1%,2,1))+IF(L944="新出现",2,IF(M944&gt;=100%,3,IF(M944&gt;0,2,0)))))</x:f>
        <x:v>8</x:v>
      </x:c>
      <x:c r="T944" s="21"/>
      <x:c r="U944" s="20"/>
      <x:c r="V944" s="19" t="str">
        <x:v>http://wingword.in/</x:v>
      </x:c>
      <x:c r="W944" s="19" t="str">
        <x:v>https://pro.similarweb.com/#/digitalsuite/websiteanalysis/referrals/*/999/1m?webSource=Total&amp;selectedTab=incomingTraffic&amp;key=pages.razorpay.com</x:v>
      </x:c>
      <x:c r="X944" s="20" t="n">
        <x:f>IF(Q944="是",0,IFERROR(P944/SUMIFS($P$2:$P$964,$A$2:$A$964,A944,$Q$2:$Q$964,"否"),0))</x:f>
        <x:v>0.0028486020387939754</x:v>
      </x:c>
      <x:c r="Y944" s="22" t="str">
        <x:f>IF(OR(M944="",U944=""),"未交叉",IF(M944*U944&gt;0,"同向",IF(M944*U944&lt;0,"背离","一侧持平")))</x:f>
        <x:v>未交叉</x:v>
      </x:c>
    </x:row>
    <x:row r="945">
      <x:c r="A945" s="18" t="str">
        <x:v>pages.razorpay.com</x:v>
      </x:c>
      <x:c r="B945" s="19" t="str">
        <x:v>专用支付/结账入口</x:v>
      </x:c>
      <x:c r="C945" s="19" t="str">
        <x:v>高</x:v>
      </x:c>
      <x:c r="D945" s="19" t="str">
        <x:v>Jul 2026</x:v>
      </x:c>
      <x:c r="E945" s="19" t="n">
        <x:v>81</x:v>
      </x:c>
      <x:c r="F945" s="19" t="str">
        <x:v>sahelichatterjee.com</x:v>
      </x:c>
      <x:c r="G945" s="19" t="str">
        <x:v>Jobs and Employment</x:v>
      </x:c>
      <x:c r="H945" s="19" t="str">
        <x:v>营销、生产力与商业服务</x:v>
      </x:c>
      <x:c r="I945" s="19" t="str">
        <x:v>Similarweb 行业映射</x:v>
      </x:c>
      <x:c r="J945" s="19" t="n">
        <x:v>2677093</x:v>
      </x:c>
      <x:c r="K945" s="20" t="n">
        <x:v>0.002</x:v>
      </x:c>
      <x:c r="L945" s="19" t="str">
        <x:v>下降</x:v>
      </x:c>
      <x:c r="M945" s="20" t="n">
        <x:v>-0.1185</x:v>
      </x:c>
      <x:c r="N945" s="21" t="n">
        <x:v>1387000</x:v>
      </x:c>
      <x:c r="O945" s="21" t="n">
        <x:v>2774</x:v>
      </x:c>
      <x:c r="P945" s="21" t="n">
        <x:f>ROUND(N945*K945,0)</x:f>
        <x:v>2774</x:v>
      </x:c>
      <x:c r="Q945" s="19" t="str">
        <x:v>否</x:v>
      </x:c>
      <x:c r="R945" s="19" t="str"/>
      <x:c r="S945" s="19" t="n">
        <x:f>IF(Q945="是",0,MIN(10,2+IF(C945="高",2,1)+IF(K945&gt;=3%,3,IF(K945&gt;=1%,2,1))+IF(L945="新出现",2,IF(M945&gt;=100%,3,IF(M945&gt;0,2,0)))))</x:f>
        <x:v>5</x:v>
      </x:c>
      <x:c r="T945" s="21"/>
      <x:c r="U945" s="20"/>
      <x:c r="V945" s="19" t="str">
        <x:v>http://sahelichatterjee.com/</x:v>
      </x:c>
      <x:c r="W945" s="19" t="str">
        <x:v>https://pro.similarweb.com/#/digitalsuite/websiteanalysis/referrals/*/999/1m?webSource=Total&amp;selectedTab=incomingTraffic&amp;key=pages.razorpay.com</x:v>
      </x:c>
      <x:c r="X945" s="20" t="n">
        <x:f>IF(Q945="是",0,IFERROR(P945/SUMIFS($P$2:$P$964,$A$2:$A$964,A945,$Q$2:$Q$964,"否"),0))</x:f>
        <x:v>0.0028486020387939754</x:v>
      </x:c>
      <x:c r="Y945" s="22" t="str">
        <x:f>IF(OR(M945="",U945=""),"未交叉",IF(M945*U945&gt;0,"同向",IF(M945*U945&lt;0,"背离","一侧持平")))</x:f>
        <x:v>未交叉</x:v>
      </x:c>
    </x:row>
    <x:row r="946">
      <x:c r="A946" s="18" t="str">
        <x:v>pages.razorpay.com</x:v>
      </x:c>
      <x:c r="B946" s="19" t="str">
        <x:v>专用支付/结账入口</x:v>
      </x:c>
      <x:c r="C946" s="19" t="str">
        <x:v>高</x:v>
      </x:c>
      <x:c r="D946" s="19" t="str">
        <x:v>Jul 2026</x:v>
      </x:c>
      <x:c r="E946" s="19" t="n">
        <x:v>82</x:v>
      </x:c>
      <x:c r="F946" s="19" t="str">
        <x:v>tossconf26.kaniyam.com</x:v>
      </x:c>
      <x:c r="G946" s="19" t="str">
        <x:v>Unknown</x:v>
      </x:c>
      <x:c r="H946" s="19" t="str">
        <x:v>其他/待核查</x:v>
      </x:c>
      <x:c r="I946" s="19" t="str">
        <x:v>Similarweb 未分类</x:v>
      </x:c>
      <x:c r="J946" s="19"/>
      <x:c r="K946" s="20" t="n">
        <x:v>0.002</x:v>
      </x:c>
      <x:c r="L946" s="19" t="str">
        <x:v>新出现</x:v>
      </x:c>
      <x:c r="M946" s="20"/>
      <x:c r="N946" s="21" t="n">
        <x:v>1387000</x:v>
      </x:c>
      <x:c r="O946" s="21" t="n">
        <x:v>2774</x:v>
      </x:c>
      <x:c r="P946" s="21" t="n">
        <x:f>ROUND(N946*K946,0)</x:f>
        <x:v>2774</x:v>
      </x:c>
      <x:c r="Q946" s="19" t="str">
        <x:v>否</x:v>
      </x:c>
      <x:c r="R946" s="19" t="str"/>
      <x:c r="S946" s="19" t="n">
        <x:f>IF(Q946="是",0,MIN(10,2+IF(C946="高",2,1)+IF(K946&gt;=3%,3,IF(K946&gt;=1%,2,1))+IF(L946="新出现",2,IF(M946&gt;=100%,3,IF(M946&gt;0,2,0)))))</x:f>
        <x:v>7</x:v>
      </x:c>
      <x:c r="T946" s="21"/>
      <x:c r="U946" s="20"/>
      <x:c r="V946" s="19" t="str">
        <x:v>http://tossconf26.kaniyam.com/</x:v>
      </x:c>
      <x:c r="W946" s="19" t="str">
        <x:v>https://pro.similarweb.com/#/digitalsuite/websiteanalysis/referrals/*/999/1m?webSource=Total&amp;selectedTab=incomingTraffic&amp;key=pages.razorpay.com</x:v>
      </x:c>
      <x:c r="X946" s="20" t="n">
        <x:f>IF(Q946="是",0,IFERROR(P946/SUMIFS($P$2:$P$964,$A$2:$A$964,A946,$Q$2:$Q$964,"否"),0))</x:f>
        <x:v>0.0028486020387939754</x:v>
      </x:c>
      <x:c r="Y946" s="22" t="str">
        <x:f>IF(OR(M946="",U946=""),"未交叉",IF(M946*U946&gt;0,"同向",IF(M946*U946&lt;0,"背离","一侧持平")))</x:f>
        <x:v>未交叉</x:v>
      </x:c>
    </x:row>
    <x:row r="947">
      <x:c r="A947" s="18" t="str">
        <x:v>pages.razorpay.com</x:v>
      </x:c>
      <x:c r="B947" s="19" t="str">
        <x:v>专用支付/结账入口</x:v>
      </x:c>
      <x:c r="C947" s="19" t="str">
        <x:v>高</x:v>
      </x:c>
      <x:c r="D947" s="19" t="str">
        <x:v>Jul 2026</x:v>
      </x:c>
      <x:c r="E947" s="19" t="n">
        <x:v>83</x:v>
      </x:c>
      <x:c r="F947" s="19" t="str">
        <x:v>nikmalhotra.online</x:v>
      </x:c>
      <x:c r="G947" s="19" t="str">
        <x:v>Unknown</x:v>
      </x:c>
      <x:c r="H947" s="19" t="str">
        <x:v>其他/待核查</x:v>
      </x:c>
      <x:c r="I947" s="19" t="str">
        <x:v>Similarweb 未分类</x:v>
      </x:c>
      <x:c r="J947" s="19" t="n">
        <x:v>1883939</x:v>
      </x:c>
      <x:c r="K947" s="20" t="n">
        <x:v>0.0019</x:v>
      </x:c>
      <x:c r="L947" s="19" t="str">
        <x:v>上升</x:v>
      </x:c>
      <x:c r="M947" s="20" t="n">
        <x:v>50</x:v>
      </x:c>
      <x:c r="N947" s="21" t="n">
        <x:v>1387000</x:v>
      </x:c>
      <x:c r="O947" s="21" t="n">
        <x:v>2635</x:v>
      </x:c>
      <x:c r="P947" s="21" t="n">
        <x:f>ROUND(N947*K947,0)</x:f>
        <x:v>2635</x:v>
      </x:c>
      <x:c r="Q947" s="19" t="str">
        <x:v>否</x:v>
      </x:c>
      <x:c r="R947" s="19" t="str"/>
      <x:c r="S947" s="19" t="n">
        <x:f>IF(Q947="是",0,MIN(10,2+IF(C947="高",2,1)+IF(K947&gt;=3%,3,IF(K947&gt;=1%,2,1))+IF(L947="新出现",2,IF(M947&gt;=100%,3,IF(M947&gt;0,2,0)))))</x:f>
        <x:v>8</x:v>
      </x:c>
      <x:c r="T947" s="21"/>
      <x:c r="U947" s="20"/>
      <x:c r="V947" s="19" t="str">
        <x:v>http://nikmalhotra.online/</x:v>
      </x:c>
      <x:c r="W947" s="19" t="str">
        <x:v>https://pro.similarweb.com/#/digitalsuite/websiteanalysis/referrals/*/999/1m?webSource=Total&amp;selectedTab=incomingTraffic&amp;key=pages.razorpay.com</x:v>
      </x:c>
      <x:c r="X947" s="20" t="n">
        <x:f>IF(Q947="是",0,IFERROR(P947/SUMIFS($P$2:$P$964,$A$2:$A$964,A947,$Q$2:$Q$964,"否"),0))</x:f>
        <x:v>0.002705863868861617</x:v>
      </x:c>
      <x:c r="Y947" s="22" t="str">
        <x:f>IF(OR(M947="",U947=""),"未交叉",IF(M947*U947&gt;0,"同向",IF(M947*U947&lt;0,"背离","一侧持平")))</x:f>
        <x:v>未交叉</x:v>
      </x:c>
    </x:row>
    <x:row r="948">
      <x:c r="A948" s="18" t="str">
        <x:v>pages.razorpay.com</x:v>
      </x:c>
      <x:c r="B948" s="19" t="str">
        <x:v>专用支付/结账入口</x:v>
      </x:c>
      <x:c r="C948" s="19" t="str">
        <x:v>高</x:v>
      </x:c>
      <x:c r="D948" s="19" t="str">
        <x:v>Jul 2026</x:v>
      </x:c>
      <x:c r="E948" s="19" t="n">
        <x:v>84</x:v>
      </x:c>
      <x:c r="F948" s="19" t="str">
        <x:v>kamakhyabhairavaupasaka.com</x:v>
      </x:c>
      <x:c r="G948" s="19" t="str">
        <x:v>Faith and Beliefs</x:v>
      </x:c>
      <x:c r="H948" s="19" t="str">
        <x:v>教育、知识与考试服务</x:v>
      </x:c>
      <x:c r="I948" s="19" t="str">
        <x:v>Similarweb 行业映射</x:v>
      </x:c>
      <x:c r="J948" s="19" t="n">
        <x:v>454656</x:v>
      </x:c>
      <x:c r="K948" s="20" t="n">
        <x:v>0.0019</x:v>
      </x:c>
      <x:c r="L948" s="19" t="str">
        <x:v>上升</x:v>
      </x:c>
      <x:c r="M948" s="20" t="n">
        <x:v>0.025099999999999997</x:v>
      </x:c>
      <x:c r="N948" s="21" t="n">
        <x:v>1387000</x:v>
      </x:c>
      <x:c r="O948" s="21" t="n">
        <x:v>2635</x:v>
      </x:c>
      <x:c r="P948" s="21" t="n">
        <x:f>ROUND(N948*K948,0)</x:f>
        <x:v>2635</x:v>
      </x:c>
      <x:c r="Q948" s="19" t="str">
        <x:v>否</x:v>
      </x:c>
      <x:c r="R948" s="19" t="str"/>
      <x:c r="S948" s="19" t="n">
        <x:f>IF(Q948="是",0,MIN(10,2+IF(C948="高",2,1)+IF(K948&gt;=3%,3,IF(K948&gt;=1%,2,1))+IF(L948="新出现",2,IF(M948&gt;=100%,3,IF(M948&gt;0,2,0)))))</x:f>
        <x:v>7</x:v>
      </x:c>
      <x:c r="T948" s="21"/>
      <x:c r="U948" s="20"/>
      <x:c r="V948" s="19" t="str">
        <x:v>http://kamakhyabhairavaupasaka.com/</x:v>
      </x:c>
      <x:c r="W948" s="19" t="str">
        <x:v>https://pro.similarweb.com/#/digitalsuite/websiteanalysis/referrals/*/999/1m?webSource=Total&amp;selectedTab=incomingTraffic&amp;key=pages.razorpay.com</x:v>
      </x:c>
      <x:c r="X948" s="20" t="n">
        <x:f>IF(Q948="是",0,IFERROR(P948/SUMIFS($P$2:$P$964,$A$2:$A$964,A948,$Q$2:$Q$964,"否"),0))</x:f>
        <x:v>0.002705863868861617</x:v>
      </x:c>
      <x:c r="Y948" s="22" t="str">
        <x:f>IF(OR(M948="",U948=""),"未交叉",IF(M948*U948&gt;0,"同向",IF(M948*U948&lt;0,"背离","一侧持平")))</x:f>
        <x:v>未交叉</x:v>
      </x:c>
    </x:row>
    <x:row r="949">
      <x:c r="A949" s="18" t="str">
        <x:v>pages.razorpay.com</x:v>
      </x:c>
      <x:c r="B949" s="19" t="str">
        <x:v>专用支付/结账入口</x:v>
      </x:c>
      <x:c r="C949" s="19" t="str">
        <x:v>高</x:v>
      </x:c>
      <x:c r="D949" s="19" t="str">
        <x:v>Jul 2026</x:v>
      </x:c>
      <x:c r="E949" s="19" t="n">
        <x:v>85</x:v>
      </x:c>
      <x:c r="F949" s="19" t="str">
        <x:v>hiwoodman.com</x:v>
      </x:c>
      <x:c r="G949" s="19" t="str">
        <x:v>Vehicles</x:v>
      </x:c>
      <x:c r="H949" s="19" t="str">
        <x:v>其他/待核查</x:v>
      </x:c>
      <x:c r="I949" s="19" t="str">
        <x:v>保守归类</x:v>
      </x:c>
      <x:c r="J949" s="19" t="n">
        <x:v>172868</x:v>
      </x:c>
      <x:c r="K949" s="20" t="n">
        <x:v>0.0019</x:v>
      </x:c>
      <x:c r="L949" s="19" t="str">
        <x:v>下降</x:v>
      </x:c>
      <x:c r="M949" s="20" t="n">
        <x:v>-0.5209</x:v>
      </x:c>
      <x:c r="N949" s="21" t="n">
        <x:v>1387000</x:v>
      </x:c>
      <x:c r="O949" s="21" t="n">
        <x:v>2635</x:v>
      </x:c>
      <x:c r="P949" s="21" t="n">
        <x:f>ROUND(N949*K949,0)</x:f>
        <x:v>2635</x:v>
      </x:c>
      <x:c r="Q949" s="19" t="str">
        <x:v>否</x:v>
      </x:c>
      <x:c r="R949" s="19" t="str"/>
      <x:c r="S949" s="19" t="n">
        <x:f>IF(Q949="是",0,MIN(10,2+IF(C949="高",2,1)+IF(K949&gt;=3%,3,IF(K949&gt;=1%,2,1))+IF(L949="新出现",2,IF(M949&gt;=100%,3,IF(M949&gt;0,2,0)))))</x:f>
        <x:v>5</x:v>
      </x:c>
      <x:c r="T949" s="21"/>
      <x:c r="U949" s="20"/>
      <x:c r="V949" s="19" t="str">
        <x:v>http://hiwoodman.com/</x:v>
      </x:c>
      <x:c r="W949" s="19" t="str">
        <x:v>https://pro.similarweb.com/#/digitalsuite/websiteanalysis/referrals/*/999/1m?webSource=Total&amp;selectedTab=incomingTraffic&amp;key=pages.razorpay.com</x:v>
      </x:c>
      <x:c r="X949" s="20" t="n">
        <x:f>IF(Q949="是",0,IFERROR(P949/SUMIFS($P$2:$P$964,$A$2:$A$964,A949,$Q$2:$Q$964,"否"),0))</x:f>
        <x:v>0.002705863868861617</x:v>
      </x:c>
      <x:c r="Y949" s="22" t="str">
        <x:f>IF(OR(M949="",U949=""),"未交叉",IF(M949*U949&gt;0,"同向",IF(M949*U949&lt;0,"背离","一侧持平")))</x:f>
        <x:v>未交叉</x:v>
      </x:c>
    </x:row>
    <x:row r="950">
      <x:c r="A950" s="18" t="str">
        <x:v>pages.razorpay.com</x:v>
      </x:c>
      <x:c r="B950" s="19" t="str">
        <x:v>专用支付/结账入口</x:v>
      </x:c>
      <x:c r="C950" s="19" t="str">
        <x:v>高</x:v>
      </x:c>
      <x:c r="D950" s="19" t="str">
        <x:v>Jul 2026</x:v>
      </x:c>
      <x:c r="E950" s="19" t="n">
        <x:v>86</x:v>
      </x:c>
      <x:c r="F950" s="19" t="str">
        <x:v>occultsage.com</x:v>
      </x:c>
      <x:c r="G950" s="19" t="str">
        <x:v>Unknown</x:v>
      </x:c>
      <x:c r="H950" s="19" t="str">
        <x:v>其他/待核查</x:v>
      </x:c>
      <x:c r="I950" s="19" t="str">
        <x:v>Similarweb 未分类</x:v>
      </x:c>
      <x:c r="J950" s="19" t="n">
        <x:v>509356</x:v>
      </x:c>
      <x:c r="K950" s="20" t="n">
        <x:v>0.0019</x:v>
      </x:c>
      <x:c r="L950" s="19" t="str">
        <x:v>上升</x:v>
      </x:c>
      <x:c r="M950" s="20" t="n">
        <x:v>0.8679000000000001</x:v>
      </x:c>
      <x:c r="N950" s="21" t="n">
        <x:v>1387000</x:v>
      </x:c>
      <x:c r="O950" s="21" t="n">
        <x:v>2635</x:v>
      </x:c>
      <x:c r="P950" s="21" t="n">
        <x:f>ROUND(N950*K950,0)</x:f>
        <x:v>2635</x:v>
      </x:c>
      <x:c r="Q950" s="19" t="str">
        <x:v>否</x:v>
      </x:c>
      <x:c r="R950" s="19" t="str"/>
      <x:c r="S950" s="19" t="n">
        <x:f>IF(Q950="是",0,MIN(10,2+IF(C950="高",2,1)+IF(K950&gt;=3%,3,IF(K950&gt;=1%,2,1))+IF(L950="新出现",2,IF(M950&gt;=100%,3,IF(M950&gt;0,2,0)))))</x:f>
        <x:v>7</x:v>
      </x:c>
      <x:c r="T950" s="21"/>
      <x:c r="U950" s="20"/>
      <x:c r="V950" s="19" t="str">
        <x:v>http://occultsage.com/</x:v>
      </x:c>
      <x:c r="W950" s="19" t="str">
        <x:v>https://pro.similarweb.com/#/digitalsuite/websiteanalysis/referrals/*/999/1m?webSource=Total&amp;selectedTab=incomingTraffic&amp;key=pages.razorpay.com</x:v>
      </x:c>
      <x:c r="X950" s="20" t="n">
        <x:f>IF(Q950="是",0,IFERROR(P950/SUMIFS($P$2:$P$964,$A$2:$A$964,A950,$Q$2:$Q$964,"否"),0))</x:f>
        <x:v>0.002705863868861617</x:v>
      </x:c>
      <x:c r="Y950" s="22" t="str">
        <x:f>IF(OR(M950="",U950=""),"未交叉",IF(M950*U950&gt;0,"同向",IF(M950*U950&lt;0,"背离","一侧持平")))</x:f>
        <x:v>未交叉</x:v>
      </x:c>
    </x:row>
    <x:row r="951">
      <x:c r="A951" s="18" t="str">
        <x:v>pages.razorpay.com</x:v>
      </x:c>
      <x:c r="B951" s="19" t="str">
        <x:v>专用支付/结账入口</x:v>
      </x:c>
      <x:c r="C951" s="19" t="str">
        <x:v>高</x:v>
      </x:c>
      <x:c r="D951" s="19" t="str">
        <x:v>Jul 2026</x:v>
      </x:c>
      <x:c r="E951" s="19" t="n">
        <x:v>87</x:v>
      </x:c>
      <x:c r="F951" s="19" t="str">
        <x:v>shalayoga.in</x:v>
      </x:c>
      <x:c r="G951" s="19" t="str">
        <x:v>Unknown</x:v>
      </x:c>
      <x:c r="H951" s="19" t="str">
        <x:v>其他/待核查</x:v>
      </x:c>
      <x:c r="I951" s="19" t="str">
        <x:v>Similarweb 未分类</x:v>
      </x:c>
      <x:c r="J951" s="19" t="n">
        <x:v>1171509</x:v>
      </x:c>
      <x:c r="K951" s="20" t="n">
        <x:v>0.0019</x:v>
      </x:c>
      <x:c r="L951" s="19" t="str">
        <x:v>下降</x:v>
      </x:c>
      <x:c r="M951" s="20" t="n">
        <x:v>-0.7643000000000001</x:v>
      </x:c>
      <x:c r="N951" s="21" t="n">
        <x:v>1387000</x:v>
      </x:c>
      <x:c r="O951" s="21" t="n">
        <x:v>2635</x:v>
      </x:c>
      <x:c r="P951" s="21" t="n">
        <x:f>ROUND(N951*K951,0)</x:f>
        <x:v>2635</x:v>
      </x:c>
      <x:c r="Q951" s="19" t="str">
        <x:v>否</x:v>
      </x:c>
      <x:c r="R951" s="19" t="str"/>
      <x:c r="S951" s="19" t="n">
        <x:f>IF(Q951="是",0,MIN(10,2+IF(C951="高",2,1)+IF(K951&gt;=3%,3,IF(K951&gt;=1%,2,1))+IF(L951="新出现",2,IF(M951&gt;=100%,3,IF(M951&gt;0,2,0)))))</x:f>
        <x:v>5</x:v>
      </x:c>
      <x:c r="T951" s="21"/>
      <x:c r="U951" s="20"/>
      <x:c r="V951" s="19" t="str">
        <x:v>http://shalayoga.in/</x:v>
      </x:c>
      <x:c r="W951" s="19" t="str">
        <x:v>https://pro.similarweb.com/#/digitalsuite/websiteanalysis/referrals/*/999/1m?webSource=Total&amp;selectedTab=incomingTraffic&amp;key=pages.razorpay.com</x:v>
      </x:c>
      <x:c r="X951" s="20" t="n">
        <x:f>IF(Q951="是",0,IFERROR(P951/SUMIFS($P$2:$P$964,$A$2:$A$964,A951,$Q$2:$Q$964,"否"),0))</x:f>
        <x:v>0.002705863868861617</x:v>
      </x:c>
      <x:c r="Y951" s="22" t="str">
        <x:f>IF(OR(M951="",U951=""),"未交叉",IF(M951*U951&gt;0,"同向",IF(M951*U951&lt;0,"背离","一侧持平")))</x:f>
        <x:v>未交叉</x:v>
      </x:c>
    </x:row>
    <x:row r="952">
      <x:c r="A952" s="18" t="str">
        <x:v>pages.razorpay.com</x:v>
      </x:c>
      <x:c r="B952" s="19" t="str">
        <x:v>专用支付/结账入口</x:v>
      </x:c>
      <x:c r="C952" s="19" t="str">
        <x:v>高</x:v>
      </x:c>
      <x:c r="D952" s="19" t="str">
        <x:v>Jul 2026</x:v>
      </x:c>
      <x:c r="E952" s="19" t="n">
        <x:v>88</x:v>
      </x:c>
      <x:c r="F952" s="19" t="str">
        <x:v>learn.sudharsananganapathy.com</x:v>
      </x:c>
      <x:c r="G952" s="19" t="str">
        <x:v>Unknown</x:v>
      </x:c>
      <x:c r="H952" s="19" t="str">
        <x:v>其他/待核查</x:v>
      </x:c>
      <x:c r="I952" s="19" t="str">
        <x:v>Similarweb 未分类</x:v>
      </x:c>
      <x:c r="J952" s="19"/>
      <x:c r="K952" s="20" t="n">
        <x:v>0.0018</x:v>
      </x:c>
      <x:c r="L952" s="19" t="str">
        <x:v>下降</x:v>
      </x:c>
      <x:c r="M952" s="20" t="n">
        <x:v>-0.5613</x:v>
      </x:c>
      <x:c r="N952" s="21" t="n">
        <x:v>1387000</x:v>
      </x:c>
      <x:c r="O952" s="21" t="n">
        <x:v>2497</x:v>
      </x:c>
      <x:c r="P952" s="21" t="n">
        <x:f>ROUND(N952*K952,0)</x:f>
        <x:v>2497</x:v>
      </x:c>
      <x:c r="Q952" s="19" t="str">
        <x:v>否</x:v>
      </x:c>
      <x:c r="R952" s="19" t="str"/>
      <x:c r="S952" s="19" t="n">
        <x:f>IF(Q952="是",0,MIN(10,2+IF(C952="高",2,1)+IF(K952&gt;=3%,3,IF(K952&gt;=1%,2,1))+IF(L952="新出现",2,IF(M952&gt;=100%,3,IF(M952&gt;0,2,0)))))</x:f>
        <x:v>5</x:v>
      </x:c>
      <x:c r="T952" s="21"/>
      <x:c r="U952" s="20"/>
      <x:c r="V952" s="19" t="str">
        <x:v>http://learn.sudharsananganapathy.com/</x:v>
      </x:c>
      <x:c r="W952" s="19" t="str">
        <x:v>https://pro.similarweb.com/#/digitalsuite/websiteanalysis/referrals/*/999/1m?webSource=Total&amp;selectedTab=incomingTraffic&amp;key=pages.razorpay.com</x:v>
      </x:c>
      <x:c r="X952" s="20" t="n">
        <x:f>IF(Q952="是",0,IFERROR(P952/SUMIFS($P$2:$P$964,$A$2:$A$964,A952,$Q$2:$Q$964,"否"),0))</x:f>
        <x:v>0.002564152592238124</x:v>
      </x:c>
      <x:c r="Y952" s="22" t="str">
        <x:f>IF(OR(M952="",U952=""),"未交叉",IF(M952*U952&gt;0,"同向",IF(M952*U952&lt;0,"背离","一侧持平")))</x:f>
        <x:v>未交叉</x:v>
      </x:c>
    </x:row>
    <x:row r="953">
      <x:c r="A953" s="18" t="str">
        <x:v>pages.razorpay.com</x:v>
      </x:c>
      <x:c r="B953" s="19" t="str">
        <x:v>专用支付/结账入口</x:v>
      </x:c>
      <x:c r="C953" s="19" t="str">
        <x:v>高</x:v>
      </x:c>
      <x:c r="D953" s="19" t="str">
        <x:v>Jul 2026</x:v>
      </x:c>
      <x:c r="E953" s="19" t="n">
        <x:v>89</x:v>
      </x:c>
      <x:c r="F953" s="19" t="str">
        <x:v>financiallyfree.in</x:v>
      </x:c>
      <x:c r="G953" s="19" t="str">
        <x:v>Investing</x:v>
      </x:c>
      <x:c r="H953" s="19" t="str">
        <x:v>金融、支付与交易服务</x:v>
      </x:c>
      <x:c r="I953" s="19" t="str">
        <x:v>Similarweb 行业映射</x:v>
      </x:c>
      <x:c r="J953" s="19" t="n">
        <x:v>259540</x:v>
      </x:c>
      <x:c r="K953" s="20" t="n">
        <x:v>0.0018</x:v>
      </x:c>
      <x:c r="L953" s="19" t="str">
        <x:v>下降</x:v>
      </x:c>
      <x:c r="M953" s="20" t="n">
        <x:v>-0.1743</x:v>
      </x:c>
      <x:c r="N953" s="21" t="n">
        <x:v>1387000</x:v>
      </x:c>
      <x:c r="O953" s="21" t="n">
        <x:v>2497</x:v>
      </x:c>
      <x:c r="P953" s="21" t="n">
        <x:f>ROUND(N953*K953,0)</x:f>
        <x:v>2497</x:v>
      </x:c>
      <x:c r="Q953" s="19" t="str">
        <x:v>否</x:v>
      </x:c>
      <x:c r="R953" s="19" t="str"/>
      <x:c r="S953" s="19" t="n">
        <x:f>IF(Q953="是",0,MIN(10,2+IF(C953="高",2,1)+IF(K953&gt;=3%,3,IF(K953&gt;=1%,2,1))+IF(L953="新出现",2,IF(M953&gt;=100%,3,IF(M953&gt;0,2,0)))))</x:f>
        <x:v>5</x:v>
      </x:c>
      <x:c r="T953" s="21"/>
      <x:c r="U953" s="20"/>
      <x:c r="V953" s="19" t="str">
        <x:v>http://financiallyfree.in/</x:v>
      </x:c>
      <x:c r="W953" s="19" t="str">
        <x:v>https://pro.similarweb.com/#/digitalsuite/websiteanalysis/referrals/*/999/1m?webSource=Total&amp;selectedTab=incomingTraffic&amp;key=pages.razorpay.com</x:v>
      </x:c>
      <x:c r="X953" s="20" t="n">
        <x:f>IF(Q953="是",0,IFERROR(P953/SUMIFS($P$2:$P$964,$A$2:$A$964,A953,$Q$2:$Q$964,"否"),0))</x:f>
        <x:v>0.002564152592238124</x:v>
      </x:c>
      <x:c r="Y953" s="22" t="str">
        <x:f>IF(OR(M953="",U953=""),"未交叉",IF(M953*U953&gt;0,"同向",IF(M953*U953&lt;0,"背离","一侧持平")))</x:f>
        <x:v>未交叉</x:v>
      </x:c>
    </x:row>
    <x:row r="954">
      <x:c r="A954" s="18" t="str">
        <x:v>pages.razorpay.com</x:v>
      </x:c>
      <x:c r="B954" s="19" t="str">
        <x:v>专用支付/结账入口</x:v>
      </x:c>
      <x:c r="C954" s="19" t="str">
        <x:v>高</x:v>
      </x:c>
      <x:c r="D954" s="19" t="str">
        <x:v>Jul 2026</x:v>
      </x:c>
      <x:c r="E954" s="19" t="n">
        <x:v>90</x:v>
      </x:c>
      <x:c r="F954" s="19" t="str">
        <x:v>digitaldhairya.com</x:v>
      </x:c>
      <x:c r="G954" s="19" t="str">
        <x:v>Graphics Multimedia and Web Design</x:v>
      </x:c>
      <x:c r="H954" s="19" t="str">
        <x:v>创作、设计与多媒体工具</x:v>
      </x:c>
      <x:c r="I954" s="19" t="str">
        <x:v>Similarweb 行业映射</x:v>
      </x:c>
      <x:c r="J954" s="19" t="n">
        <x:v>3107992</x:v>
      </x:c>
      <x:c r="K954" s="20" t="n">
        <x:v>0.0018</x:v>
      </x:c>
      <x:c r="L954" s="19" t="str">
        <x:v>下降</x:v>
      </x:c>
      <x:c r="M954" s="20" t="n">
        <x:v>-0.4756</x:v>
      </x:c>
      <x:c r="N954" s="21" t="n">
        <x:v>1387000</x:v>
      </x:c>
      <x:c r="O954" s="21" t="n">
        <x:v>2497</x:v>
      </x:c>
      <x:c r="P954" s="21" t="n">
        <x:f>ROUND(N954*K954,0)</x:f>
        <x:v>2497</x:v>
      </x:c>
      <x:c r="Q954" s="19" t="str">
        <x:v>否</x:v>
      </x:c>
      <x:c r="R954" s="19" t="str"/>
      <x:c r="S954" s="19" t="n">
        <x:f>IF(Q954="是",0,MIN(10,2+IF(C954="高",2,1)+IF(K954&gt;=3%,3,IF(K954&gt;=1%,2,1))+IF(L954="新出现",2,IF(M954&gt;=100%,3,IF(M954&gt;0,2,0)))))</x:f>
        <x:v>5</x:v>
      </x:c>
      <x:c r="T954" s="21"/>
      <x:c r="U954" s="20"/>
      <x:c r="V954" s="19" t="str">
        <x:v>http://digitaldhairya.com/</x:v>
      </x:c>
      <x:c r="W954" s="19" t="str">
        <x:v>https://pro.similarweb.com/#/digitalsuite/websiteanalysis/referrals/*/999/1m?webSource=Total&amp;selectedTab=incomingTraffic&amp;key=pages.razorpay.com</x:v>
      </x:c>
      <x:c r="X954" s="20" t="n">
        <x:f>IF(Q954="是",0,IFERROR(P954/SUMIFS($P$2:$P$964,$A$2:$A$964,A954,$Q$2:$Q$964,"否"),0))</x:f>
        <x:v>0.002564152592238124</x:v>
      </x:c>
      <x:c r="Y954" s="22" t="str">
        <x:f>IF(OR(M954="",U954=""),"未交叉",IF(M954*U954&gt;0,"同向",IF(M954*U954&lt;0,"背离","一侧持平")))</x:f>
        <x:v>未交叉</x:v>
      </x:c>
    </x:row>
    <x:row r="955">
      <x:c r="A955" s="18" t="str">
        <x:v>pages.razorpay.com</x:v>
      </x:c>
      <x:c r="B955" s="19" t="str">
        <x:v>专用支付/结账入口</x:v>
      </x:c>
      <x:c r="C955" s="19" t="str">
        <x:v>高</x:v>
      </x:c>
      <x:c r="D955" s="19" t="str">
        <x:v>Jul 2026</x:v>
      </x:c>
      <x:c r="E955" s="19" t="n">
        <x:v>91</x:v>
      </x:c>
      <x:c r="F955" s="19" t="str">
        <x:v>vikramanand.ewebinar.com</x:v>
      </x:c>
      <x:c r="G955" s="19" t="str">
        <x:v>Jobs and Employment</x:v>
      </x:c>
      <x:c r="H955" s="19" t="str">
        <x:v>营销、生产力与商业服务</x:v>
      </x:c>
      <x:c r="I955" s="19" t="str">
        <x:v>Similarweb 行业映射</x:v>
      </x:c>
      <x:c r="J955" s="19"/>
      <x:c r="K955" s="20" t="n">
        <x:v>0.0018</x:v>
      </x:c>
      <x:c r="L955" s="19" t="str">
        <x:v>下降</x:v>
      </x:c>
      <x:c r="M955" s="20" t="n">
        <x:v>-0.6315</x:v>
      </x:c>
      <x:c r="N955" s="21" t="n">
        <x:v>1387000</x:v>
      </x:c>
      <x:c r="O955" s="21" t="n">
        <x:v>2497</x:v>
      </x:c>
      <x:c r="P955" s="21" t="n">
        <x:f>ROUND(N955*K955,0)</x:f>
        <x:v>2497</x:v>
      </x:c>
      <x:c r="Q955" s="19" t="str">
        <x:v>否</x:v>
      </x:c>
      <x:c r="R955" s="19" t="str"/>
      <x:c r="S955" s="19" t="n">
        <x:f>IF(Q955="是",0,MIN(10,2+IF(C955="高",2,1)+IF(K955&gt;=3%,3,IF(K955&gt;=1%,2,1))+IF(L955="新出现",2,IF(M955&gt;=100%,3,IF(M955&gt;0,2,0)))))</x:f>
        <x:v>5</x:v>
      </x:c>
      <x:c r="T955" s="21"/>
      <x:c r="U955" s="20"/>
      <x:c r="V955" s="19" t="str">
        <x:v>http://vikramanand.ewebinar.com/</x:v>
      </x:c>
      <x:c r="W955" s="19" t="str">
        <x:v>https://pro.similarweb.com/#/digitalsuite/websiteanalysis/referrals/*/999/1m?webSource=Total&amp;selectedTab=incomingTraffic&amp;key=pages.razorpay.com</x:v>
      </x:c>
      <x:c r="X955" s="20" t="n">
        <x:f>IF(Q955="是",0,IFERROR(P955/SUMIFS($P$2:$P$964,$A$2:$A$964,A955,$Q$2:$Q$964,"否"),0))</x:f>
        <x:v>0.002564152592238124</x:v>
      </x:c>
      <x:c r="Y955" s="22" t="str">
        <x:f>IF(OR(M955="",U955=""),"未交叉",IF(M955*U955&gt;0,"同向",IF(M955*U955&lt;0,"背离","一侧持平")))</x:f>
        <x:v>未交叉</x:v>
      </x:c>
    </x:row>
    <x:row r="956">
      <x:c r="A956" s="18" t="str">
        <x:v>pages.razorpay.com</x:v>
      </x:c>
      <x:c r="B956" s="19" t="str">
        <x:v>专用支付/结账入口</x:v>
      </x:c>
      <x:c r="C956" s="19" t="str">
        <x:v>高</x:v>
      </x:c>
      <x:c r="D956" s="19" t="str">
        <x:v>Jul 2026</x:v>
      </x:c>
      <x:c r="E956" s="19" t="n">
        <x:v>92</x:v>
      </x:c>
      <x:c r="F956" s="19" t="str">
        <x:v>starter.webinar.gg</x:v>
      </x:c>
      <x:c r="G956" s="19" t="str">
        <x:v>Unknown</x:v>
      </x:c>
      <x:c r="H956" s="19" t="str">
        <x:v>其他/待核查</x:v>
      </x:c>
      <x:c r="I956" s="19" t="str">
        <x:v>Similarweb 未分类</x:v>
      </x:c>
      <x:c r="J956" s="19"/>
      <x:c r="K956" s="20" t="n">
        <x:v>0.0017000000000000001</x:v>
      </x:c>
      <x:c r="L956" s="19" t="str">
        <x:v>新出现</x:v>
      </x:c>
      <x:c r="M956" s="20"/>
      <x:c r="N956" s="21" t="n">
        <x:v>1387000</x:v>
      </x:c>
      <x:c r="O956" s="21" t="n">
        <x:v>2358</x:v>
      </x:c>
      <x:c r="P956" s="21" t="n">
        <x:f>ROUND(N956*K956,0)</x:f>
        <x:v>2358</x:v>
      </x:c>
      <x:c r="Q956" s="19" t="str">
        <x:v>否</x:v>
      </x:c>
      <x:c r="R956" s="19" t="str"/>
      <x:c r="S956" s="19" t="n">
        <x:f>IF(Q956="是",0,MIN(10,2+IF(C956="高",2,1)+IF(K956&gt;=3%,3,IF(K956&gt;=1%,2,1))+IF(L956="新出现",2,IF(M956&gt;=100%,3,IF(M956&gt;0,2,0)))))</x:f>
        <x:v>7</x:v>
      </x:c>
      <x:c r="T956" s="21"/>
      <x:c r="U956" s="20"/>
      <x:c r="V956" s="19" t="str">
        <x:v>http://starter.webinar.gg/</x:v>
      </x:c>
      <x:c r="W956" s="19" t="str">
        <x:v>https://pro.similarweb.com/#/digitalsuite/websiteanalysis/referrals/*/999/1m?webSource=Total&amp;selectedTab=incomingTraffic&amp;key=pages.razorpay.com</x:v>
      </x:c>
      <x:c r="X956" s="20" t="n">
        <x:f>IF(Q956="是",0,IFERROR(P956/SUMIFS($P$2:$P$964,$A$2:$A$964,A956,$Q$2:$Q$964,"否"),0))</x:f>
        <x:v>0.0024214144223057656</x:v>
      </x:c>
      <x:c r="Y956" s="22" t="str">
        <x:f>IF(OR(M956="",U956=""),"未交叉",IF(M956*U956&gt;0,"同向",IF(M956*U956&lt;0,"背离","一侧持平")))</x:f>
        <x:v>未交叉</x:v>
      </x:c>
    </x:row>
    <x:row r="957">
      <x:c r="A957" s="18" t="str">
        <x:v>pages.razorpay.com</x:v>
      </x:c>
      <x:c r="B957" s="19" t="str">
        <x:v>专用支付/结账入口</x:v>
      </x:c>
      <x:c r="C957" s="19" t="str">
        <x:v>高</x:v>
      </x:c>
      <x:c r="D957" s="19" t="str">
        <x:v>Jul 2026</x:v>
      </x:c>
      <x:c r="E957" s="19" t="n">
        <x:v>93</x:v>
      </x:c>
      <x:c r="F957" s="19" t="str">
        <x:v>trydoschool.com</x:v>
      </x:c>
      <x:c r="G957" s="19" t="str">
        <x:v>Search Engines</x:v>
      </x:c>
      <x:c r="H957" s="19" t="str">
        <x:v>营销、生产力与商业服务</x:v>
      </x:c>
      <x:c r="I957" s="19" t="str">
        <x:v>Similarweb 行业映射</x:v>
      </x:c>
      <x:c r="J957" s="19" t="n">
        <x:v>1158400</x:v>
      </x:c>
      <x:c r="K957" s="20" t="n">
        <x:v>0.0017000000000000001</x:v>
      </x:c>
      <x:c r="L957" s="19" t="str">
        <x:v>上升</x:v>
      </x:c>
      <x:c r="M957" s="20" t="n">
        <x:v>50</x:v>
      </x:c>
      <x:c r="N957" s="21" t="n">
        <x:v>1387000</x:v>
      </x:c>
      <x:c r="O957" s="21" t="n">
        <x:v>2358</x:v>
      </x:c>
      <x:c r="P957" s="21" t="n">
        <x:f>ROUND(N957*K957,0)</x:f>
        <x:v>2358</x:v>
      </x:c>
      <x:c r="Q957" s="19" t="str">
        <x:v>否</x:v>
      </x:c>
      <x:c r="R957" s="19" t="str"/>
      <x:c r="S957" s="19" t="n">
        <x:f>IF(Q957="是",0,MIN(10,2+IF(C957="高",2,1)+IF(K957&gt;=3%,3,IF(K957&gt;=1%,2,1))+IF(L957="新出现",2,IF(M957&gt;=100%,3,IF(M957&gt;0,2,0)))))</x:f>
        <x:v>8</x:v>
      </x:c>
      <x:c r="T957" s="21"/>
      <x:c r="U957" s="20"/>
      <x:c r="V957" s="19" t="str">
        <x:v>http://trydoschool.com/</x:v>
      </x:c>
      <x:c r="W957" s="19" t="str">
        <x:v>https://pro.similarweb.com/#/digitalsuite/websiteanalysis/referrals/*/999/1m?webSource=Total&amp;selectedTab=incomingTraffic&amp;key=pages.razorpay.com</x:v>
      </x:c>
      <x:c r="X957" s="20" t="n">
        <x:f>IF(Q957="是",0,IFERROR(P957/SUMIFS($P$2:$P$964,$A$2:$A$964,A957,$Q$2:$Q$964,"否"),0))</x:f>
        <x:v>0.0024214144223057656</x:v>
      </x:c>
      <x:c r="Y957" s="22" t="str">
        <x:f>IF(OR(M957="",U957=""),"未交叉",IF(M957*U957&gt;0,"同向",IF(M957*U957&lt;0,"背离","一侧持平")))</x:f>
        <x:v>未交叉</x:v>
      </x:c>
    </x:row>
    <x:row r="958">
      <x:c r="A958" s="18" t="str">
        <x:v>pages.razorpay.com</x:v>
      </x:c>
      <x:c r="B958" s="19" t="str">
        <x:v>专用支付/结账入口</x:v>
      </x:c>
      <x:c r="C958" s="19" t="str">
        <x:v>高</x:v>
      </x:c>
      <x:c r="D958" s="19" t="str">
        <x:v>Jul 2026</x:v>
      </x:c>
      <x:c r="E958" s="19" t="n">
        <x:v>94</x:v>
      </x:c>
      <x:c r="F958" s="19" t="str">
        <x:v>siddhivinayak.org</x:v>
      </x:c>
      <x:c r="G958" s="19" t="str">
        <x:v>Faith and Beliefs</x:v>
      </x:c>
      <x:c r="H958" s="19" t="str">
        <x:v>教育、知识与考试服务</x:v>
      </x:c>
      <x:c r="I958" s="19" t="str">
        <x:v>Similarweb 行业映射</x:v>
      </x:c>
      <x:c r="J958" s="19" t="n">
        <x:v>245431</x:v>
      </x:c>
      <x:c r="K958" s="20" t="n">
        <x:v>0.0016</x:v>
      </x:c>
      <x:c r="L958" s="19" t="str">
        <x:v>下降</x:v>
      </x:c>
      <x:c r="M958" s="20" t="n">
        <x:v>-0.1375</x:v>
      </x:c>
      <x:c r="N958" s="21" t="n">
        <x:v>1387000</x:v>
      </x:c>
      <x:c r="O958" s="21" t="n">
        <x:v>2219</x:v>
      </x:c>
      <x:c r="P958" s="21" t="n">
        <x:f>ROUND(N958*K958,0)</x:f>
        <x:v>2219</x:v>
      </x:c>
      <x:c r="Q958" s="19" t="str">
        <x:v>否</x:v>
      </x:c>
      <x:c r="R958" s="19" t="str"/>
      <x:c r="S958" s="19" t="n">
        <x:f>IF(Q958="是",0,MIN(10,2+IF(C958="高",2,1)+IF(K958&gt;=3%,3,IF(K958&gt;=1%,2,1))+IF(L958="新出现",2,IF(M958&gt;=100%,3,IF(M958&gt;0,2,0)))))</x:f>
        <x:v>5</x:v>
      </x:c>
      <x:c r="T958" s="21"/>
      <x:c r="U958" s="20"/>
      <x:c r="V958" s="19" t="str">
        <x:v>http://siddhivinayak.org/</x:v>
      </x:c>
      <x:c r="W958" s="19" t="str">
        <x:v>https://pro.similarweb.com/#/digitalsuite/websiteanalysis/referrals/*/999/1m?webSource=Total&amp;selectedTab=incomingTraffic&amp;key=pages.razorpay.com</x:v>
      </x:c>
      <x:c r="X958" s="20" t="n">
        <x:f>IF(Q958="是",0,IFERROR(P958/SUMIFS($P$2:$P$964,$A$2:$A$964,A958,$Q$2:$Q$964,"否"),0))</x:f>
        <x:v>0.002278676252373407</x:v>
      </x:c>
      <x:c r="Y958" s="22" t="str">
        <x:f>IF(OR(M958="",U958=""),"未交叉",IF(M958*U958&gt;0,"同向",IF(M958*U958&lt;0,"背离","一侧持平")))</x:f>
        <x:v>未交叉</x:v>
      </x:c>
    </x:row>
    <x:row r="959">
      <x:c r="A959" s="18" t="str">
        <x:v>pages.razorpay.com</x:v>
      </x:c>
      <x:c r="B959" s="19" t="str">
        <x:v>专用支付/结账入口</x:v>
      </x:c>
      <x:c r="C959" s="19" t="str">
        <x:v>高</x:v>
      </x:c>
      <x:c r="D959" s="19" t="str">
        <x:v>Jul 2026</x:v>
      </x:c>
      <x:c r="E959" s="19" t="n">
        <x:v>95</x:v>
      </x:c>
      <x:c r="F959" s="19" t="str">
        <x:v>thewallstreetschool.com</x:v>
      </x:c>
      <x:c r="G959" s="19" t="str">
        <x:v>Jobs and Employment</x:v>
      </x:c>
      <x:c r="H959" s="19" t="str">
        <x:v>营销、生产力与商业服务</x:v>
      </x:c>
      <x:c r="I959" s="19" t="str">
        <x:v>Similarweb 行业映射</x:v>
      </x:c>
      <x:c r="J959" s="19" t="n">
        <x:v>276953</x:v>
      </x:c>
      <x:c r="K959" s="20" t="n">
        <x:v>0.0015</x:v>
      </x:c>
      <x:c r="L959" s="19" t="str">
        <x:v>下降</x:v>
      </x:c>
      <x:c r="M959" s="20" t="n">
        <x:v>-0.35090000000000005</x:v>
      </x:c>
      <x:c r="N959" s="21" t="n">
        <x:v>1387000</x:v>
      </x:c>
      <x:c r="O959" s="21" t="n">
        <x:v>2081</x:v>
      </x:c>
      <x:c r="P959" s="21" t="n">
        <x:f>ROUND(N959*K959,0)</x:f>
        <x:v>2081</x:v>
      </x:c>
      <x:c r="Q959" s="19" t="str">
        <x:v>否</x:v>
      </x:c>
      <x:c r="R959" s="19" t="str"/>
      <x:c r="S959" s="19" t="n">
        <x:f>IF(Q959="是",0,MIN(10,2+IF(C959="高",2,1)+IF(K959&gt;=3%,3,IF(K959&gt;=1%,2,1))+IF(L959="新出现",2,IF(M959&gt;=100%,3,IF(M959&gt;0,2,0)))))</x:f>
        <x:v>5</x:v>
      </x:c>
      <x:c r="T959" s="21"/>
      <x:c r="U959" s="20"/>
      <x:c r="V959" s="19" t="str">
        <x:v>http://thewallstreetschool.com/</x:v>
      </x:c>
      <x:c r="W959" s="19" t="str">
        <x:v>https://pro.similarweb.com/#/digitalsuite/websiteanalysis/referrals/*/999/1m?webSource=Total&amp;selectedTab=incomingTraffic&amp;key=pages.razorpay.com</x:v>
      </x:c>
      <x:c r="X959" s="20" t="n">
        <x:f>IF(Q959="是",0,IFERROR(P959/SUMIFS($P$2:$P$964,$A$2:$A$964,A959,$Q$2:$Q$964,"否"),0))</x:f>
        <x:v>0.0021369649757499143</x:v>
      </x:c>
      <x:c r="Y959" s="22" t="str">
        <x:f>IF(OR(M959="",U959=""),"未交叉",IF(M959*U959&gt;0,"同向",IF(M959*U959&lt;0,"背离","一侧持平")))</x:f>
        <x:v>未交叉</x:v>
      </x:c>
    </x:row>
    <x:row r="960">
      <x:c r="A960" s="18" t="str">
        <x:v>pages.razorpay.com</x:v>
      </x:c>
      <x:c r="B960" s="19" t="str">
        <x:v>专用支付/结账入口</x:v>
      </x:c>
      <x:c r="C960" s="19" t="str">
        <x:v>高</x:v>
      </x:c>
      <x:c r="D960" s="19" t="str">
        <x:v>Jul 2026</x:v>
      </x:c>
      <x:c r="E960" s="19" t="n">
        <x:v>96</x:v>
      </x:c>
      <x:c r="F960" s="19" t="str">
        <x:v>outskill.com</x:v>
      </x:c>
      <x:c r="G960" s="19" t="str">
        <x:v>Investing</x:v>
      </x:c>
      <x:c r="H960" s="19" t="str">
        <x:v>金融、支付与交易服务</x:v>
      </x:c>
      <x:c r="I960" s="19" t="str">
        <x:v>Similarweb 行业映射</x:v>
      </x:c>
      <x:c r="J960" s="19" t="n">
        <x:v>20966</x:v>
      </x:c>
      <x:c r="K960" s="20" t="n">
        <x:v>0.0015</x:v>
      </x:c>
      <x:c r="L960" s="19" t="str">
        <x:v>下降</x:v>
      </x:c>
      <x:c r="M960" s="20" t="n">
        <x:v>-0.061200000000000004</x:v>
      </x:c>
      <x:c r="N960" s="21" t="n">
        <x:v>1387000</x:v>
      </x:c>
      <x:c r="O960" s="21" t="n">
        <x:v>2081</x:v>
      </x:c>
      <x:c r="P960" s="21" t="n">
        <x:f>ROUND(N960*K960,0)</x:f>
        <x:v>2081</x:v>
      </x:c>
      <x:c r="Q960" s="19" t="str">
        <x:v>否</x:v>
      </x:c>
      <x:c r="R960" s="19" t="str"/>
      <x:c r="S960" s="19" t="n">
        <x:f>IF(Q960="是",0,MIN(10,2+IF(C960="高",2,1)+IF(K960&gt;=3%,3,IF(K960&gt;=1%,2,1))+IF(L960="新出现",2,IF(M960&gt;=100%,3,IF(M960&gt;0,2,0)))))</x:f>
        <x:v>5</x:v>
      </x:c>
      <x:c r="T960" s="21"/>
      <x:c r="U960" s="20"/>
      <x:c r="V960" s="19" t="str">
        <x:v>http://outskill.com/</x:v>
      </x:c>
      <x:c r="W960" s="19" t="str">
        <x:v>https://pro.similarweb.com/#/digitalsuite/websiteanalysis/referrals/*/999/1m?webSource=Total&amp;selectedTab=incomingTraffic&amp;key=pages.razorpay.com</x:v>
      </x:c>
      <x:c r="X960" s="20" t="n">
        <x:f>IF(Q960="是",0,IFERROR(P960/SUMIFS($P$2:$P$964,$A$2:$A$964,A960,$Q$2:$Q$964,"否"),0))</x:f>
        <x:v>0.0021369649757499143</x:v>
      </x:c>
      <x:c r="Y960" s="22" t="str">
        <x:f>IF(OR(M960="",U960=""),"未交叉",IF(M960*U960&gt;0,"同向",IF(M960*U960&lt;0,"背离","一侧持平")))</x:f>
        <x:v>未交叉</x:v>
      </x:c>
    </x:row>
    <x:row r="961">
      <x:c r="A961" s="18" t="str">
        <x:v>pages.razorpay.com</x:v>
      </x:c>
      <x:c r="B961" s="19" t="str">
        <x:v>专用支付/结账入口</x:v>
      </x:c>
      <x:c r="C961" s="19" t="str">
        <x:v>高</x:v>
      </x:c>
      <x:c r="D961" s="19" t="str">
        <x:v>Jul 2026</x:v>
      </x:c>
      <x:c r="E961" s="19" t="n">
        <x:v>97</x:v>
      </x:c>
      <x:c r="F961" s="19" t="str">
        <x:v>razorpay.com</x:v>
      </x:c>
      <x:c r="G961" s="19" t="str">
        <x:v>Finance</x:v>
      </x:c>
      <x:c r="H961" s="19" t="str">
        <x:v>金融、支付与交易服务</x:v>
      </x:c>
      <x:c r="I961" s="19" t="str">
        <x:v>Similarweb 行业映射</x:v>
      </x:c>
      <x:c r="J961" s="19" t="n">
        <x:v>1395</x:v>
      </x:c>
      <x:c r="K961" s="20" t="n">
        <x:v>0.0015</x:v>
      </x:c>
      <x:c r="L961" s="19" t="str">
        <x:v>下降</x:v>
      </x:c>
      <x:c r="M961" s="20" t="n">
        <x:v>-0.6322</x:v>
      </x:c>
      <x:c r="N961" s="21" t="n">
        <x:v>1387000</x:v>
      </x:c>
      <x:c r="O961" s="21" t="n">
        <x:v>2081</x:v>
      </x:c>
      <x:c r="P961" s="21" t="n">
        <x:f>ROUND(N961*K961,0)</x:f>
        <x:v>2081</x:v>
      </x:c>
      <x:c r="Q961" s="19" t="str">
        <x:v>是</x:v>
      </x:c>
      <x:c r="R961" s="19" t="str">
        <x:v>支付平台或其内部域名</x:v>
      </x:c>
      <x:c r="S961" s="19" t="n">
        <x:f>IF(Q961="是",0,MIN(10,2+IF(C961="高",2,1)+IF(K961&gt;=3%,3,IF(K961&gt;=1%,2,1))+IF(L961="新出现",2,IF(M961&gt;=100%,3,IF(M961&gt;0,2,0)))))</x:f>
        <x:v>0</x:v>
      </x:c>
      <x:c r="T961" s="21"/>
      <x:c r="U961" s="20"/>
      <x:c r="V961" s="19" t="str">
        <x:v>http://razorpay.com/</x:v>
      </x:c>
      <x:c r="W961" s="19" t="str">
        <x:v>https://pro.similarweb.com/#/digitalsuite/websiteanalysis/referrals/*/999/1m?webSource=Total&amp;selectedTab=incomingTraffic&amp;key=pages.razorpay.com</x:v>
      </x:c>
      <x:c r="X961" s="20" t="n">
        <x:f>IF(Q961="是",0,IFERROR(P961/SUMIFS($P$2:$P$964,$A$2:$A$964,A961,$Q$2:$Q$964,"否"),0))</x:f>
        <x:v>0</x:v>
      </x:c>
      <x:c r="Y961" s="22" t="str">
        <x:f>IF(OR(M961="",U961=""),"未交叉",IF(M961*U961&gt;0,"同向",IF(M961*U961&lt;0,"背离","一侧持平")))</x:f>
        <x:v>未交叉</x:v>
      </x:c>
    </x:row>
    <x:row r="962">
      <x:c r="A962" s="18" t="str">
        <x:v>pages.razorpay.com</x:v>
      </x:c>
      <x:c r="B962" s="19" t="str">
        <x:v>专用支付/结账入口</x:v>
      </x:c>
      <x:c r="C962" s="19" t="str">
        <x:v>高</x:v>
      </x:c>
      <x:c r="D962" s="19" t="str">
        <x:v>Jul 2026</x:v>
      </x:c>
      <x:c r="E962" s="19" t="n">
        <x:v>98</x:v>
      </x:c>
      <x:c r="F962" s="19" t="str">
        <x:v>thelongevitysummitindia.com</x:v>
      </x:c>
      <x:c r="G962" s="19" t="str">
        <x:v>Unknown</x:v>
      </x:c>
      <x:c r="H962" s="19" t="str">
        <x:v>其他/待核查</x:v>
      </x:c>
      <x:c r="I962" s="19" t="str">
        <x:v>Similarweb 未分类</x:v>
      </x:c>
      <x:c r="J962" s="19" t="n">
        <x:v>2359739</x:v>
      </x:c>
      <x:c r="K962" s="20" t="n">
        <x:v>0.0014000000000000002</x:v>
      </x:c>
      <x:c r="L962" s="19" t="str">
        <x:v>新出现</x:v>
      </x:c>
      <x:c r="M962" s="20"/>
      <x:c r="N962" s="21" t="n">
        <x:v>1387000</x:v>
      </x:c>
      <x:c r="O962" s="21" t="n">
        <x:v>1942</x:v>
      </x:c>
      <x:c r="P962" s="21" t="n">
        <x:f>ROUND(N962*K962,0)</x:f>
        <x:v>1942</x:v>
      </x:c>
      <x:c r="Q962" s="19" t="str">
        <x:v>否</x:v>
      </x:c>
      <x:c r="R962" s="19" t="str"/>
      <x:c r="S962" s="19" t="n">
        <x:f>IF(Q962="是",0,MIN(10,2+IF(C962="高",2,1)+IF(K962&gt;=3%,3,IF(K962&gt;=1%,2,1))+IF(L962="新出现",2,IF(M962&gt;=100%,3,IF(M962&gt;0,2,0)))))</x:f>
        <x:v>7</x:v>
      </x:c>
      <x:c r="T962" s="21"/>
      <x:c r="U962" s="20"/>
      <x:c r="V962" s="19" t="str">
        <x:v>http://thelongevitysummitindia.com/</x:v>
      </x:c>
      <x:c r="W962" s="19" t="str">
        <x:v>https://pro.similarweb.com/#/digitalsuite/websiteanalysis/referrals/*/999/1m?webSource=Total&amp;selectedTab=incomingTraffic&amp;key=pages.razorpay.com</x:v>
      </x:c>
      <x:c r="X962" s="20" t="n">
        <x:f>IF(Q962="是",0,IFERROR(P962/SUMIFS($P$2:$P$964,$A$2:$A$964,A962,$Q$2:$Q$964,"否"),0))</x:f>
        <x:v>0.001994226805817556</x:v>
      </x:c>
      <x:c r="Y962" s="22" t="str">
        <x:f>IF(OR(M962="",U962=""),"未交叉",IF(M962*U962&gt;0,"同向",IF(M962*U962&lt;0,"背离","一侧持平")))</x:f>
        <x:v>未交叉</x:v>
      </x:c>
    </x:row>
    <x:row r="963">
      <x:c r="A963" s="18" t="str">
        <x:v>pages.razorpay.com</x:v>
      </x:c>
      <x:c r="B963" s="19" t="str">
        <x:v>专用支付/结账入口</x:v>
      </x:c>
      <x:c r="C963" s="19" t="str">
        <x:v>高</x:v>
      </x:c>
      <x:c r="D963" s="19" t="str">
        <x:v>Jul 2026</x:v>
      </x:c>
      <x:c r="E963" s="19" t="n">
        <x:v>99</x:v>
      </x:c>
      <x:c r="F963" s="19" t="str">
        <x:v>jeevanjali.com</x:v>
      </x:c>
      <x:c r="G963" s="19" t="str">
        <x:v>Faith and Beliefs</x:v>
      </x:c>
      <x:c r="H963" s="19" t="str">
        <x:v>教育、知识与考试服务</x:v>
      </x:c>
      <x:c r="I963" s="19" t="str">
        <x:v>Similarweb 行业映射</x:v>
      </x:c>
      <x:c r="J963" s="19" t="n">
        <x:v>572771</x:v>
      </x:c>
      <x:c r="K963" s="20" t="n">
        <x:v>0.0014000000000000002</x:v>
      </x:c>
      <x:c r="L963" s="19" t="str">
        <x:v>新出现</x:v>
      </x:c>
      <x:c r="M963" s="20"/>
      <x:c r="N963" s="21" t="n">
        <x:v>1387000</x:v>
      </x:c>
      <x:c r="O963" s="21" t="n">
        <x:v>1942</x:v>
      </x:c>
      <x:c r="P963" s="21" t="n">
        <x:f>ROUND(N963*K963,0)</x:f>
        <x:v>1942</x:v>
      </x:c>
      <x:c r="Q963" s="19" t="str">
        <x:v>否</x:v>
      </x:c>
      <x:c r="R963" s="19" t="str"/>
      <x:c r="S963" s="19" t="n">
        <x:f>IF(Q963="是",0,MIN(10,2+IF(C963="高",2,1)+IF(K963&gt;=3%,3,IF(K963&gt;=1%,2,1))+IF(L963="新出现",2,IF(M963&gt;=100%,3,IF(M963&gt;0,2,0)))))</x:f>
        <x:v>7</x:v>
      </x:c>
      <x:c r="T963" s="21"/>
      <x:c r="U963" s="20"/>
      <x:c r="V963" s="19" t="str">
        <x:v>http://jeevanjali.com/</x:v>
      </x:c>
      <x:c r="W963" s="19" t="str">
        <x:v>https://pro.similarweb.com/#/digitalsuite/websiteanalysis/referrals/*/999/1m?webSource=Total&amp;selectedTab=incomingTraffic&amp;key=pages.razorpay.com</x:v>
      </x:c>
      <x:c r="X963" s="20" t="n">
        <x:f>IF(Q963="是",0,IFERROR(P963/SUMIFS($P$2:$P$964,$A$2:$A$964,A963,$Q$2:$Q$964,"否"),0))</x:f>
        <x:v>0.001994226805817556</x:v>
      </x:c>
      <x:c r="Y963" s="22" t="str">
        <x:f>IF(OR(M963="",U963=""),"未交叉",IF(M963*U963&gt;0,"同向",IF(M963*U963&lt;0,"背离","一侧持平")))</x:f>
        <x:v>未交叉</x:v>
      </x:c>
    </x:row>
    <x:row r="964">
      <x:c r="A964" s="23" t="str">
        <x:v>pages.razorpay.com</x:v>
      </x:c>
      <x:c r="B964" s="24" t="str">
        <x:v>专用支付/结账入口</x:v>
      </x:c>
      <x:c r="C964" s="24" t="str">
        <x:v>高</x:v>
      </x:c>
      <x:c r="D964" s="24" t="str">
        <x:v>Jul 2026</x:v>
      </x:c>
      <x:c r="E964" s="24" t="n">
        <x:v>100</x:v>
      </x:c>
      <x:c r="F964" s="24" t="str">
        <x:v>vaijnathjyotirling.com</x:v>
      </x:c>
      <x:c r="G964" s="24" t="str">
        <x:v>Unknown</x:v>
      </x:c>
      <x:c r="H964" s="24" t="str">
        <x:v>其他/待核查</x:v>
      </x:c>
      <x:c r="I964" s="24" t="str">
        <x:v>Similarweb 未分类</x:v>
      </x:c>
      <x:c r="J964" s="24" t="n">
        <x:v>3219231</x:v>
      </x:c>
      <x:c r="K964" s="25" t="n">
        <x:v>0.0014000000000000002</x:v>
      </x:c>
      <x:c r="L964" s="24" t="str">
        <x:v>上升</x:v>
      </x:c>
      <x:c r="M964" s="25" t="n">
        <x:v>2.2096</x:v>
      </x:c>
      <x:c r="N964" s="26" t="n">
        <x:v>1387000</x:v>
      </x:c>
      <x:c r="O964" s="26" t="n">
        <x:v>1942</x:v>
      </x:c>
      <x:c r="P964" s="26" t="n">
        <x:f>ROUND(N964*K964,0)</x:f>
        <x:v>1942</x:v>
      </x:c>
      <x:c r="Q964" s="24" t="str">
        <x:v>否</x:v>
      </x:c>
      <x:c r="R964" s="24" t="str"/>
      <x:c r="S964" s="24" t="n">
        <x:f>IF(Q964="是",0,MIN(10,2+IF(C964="高",2,1)+IF(K964&gt;=3%,3,IF(K964&gt;=1%,2,1))+IF(L964="新出现",2,IF(M964&gt;=100%,3,IF(M964&gt;0,2,0)))))</x:f>
        <x:v>8</x:v>
      </x:c>
      <x:c r="T964" s="26"/>
      <x:c r="U964" s="25"/>
      <x:c r="V964" s="24" t="str">
        <x:v>http://vaijnathjyotirling.com/</x:v>
      </x:c>
      <x:c r="W964" s="24" t="str">
        <x:v>https://pro.similarweb.com/#/digitalsuite/websiteanalysis/referrals/*/999/1m?webSource=Total&amp;selectedTab=incomingTraffic&amp;key=pages.razorpay.com</x:v>
      </x:c>
      <x:c r="X964" s="25" t="n">
        <x:f>IF(Q964="是",0,IFERROR(P964/SUMIFS($P$2:$P$964,$A$2:$A$964,A964,$Q$2:$Q$964,"否"),0))</x:f>
        <x:v>0.001994226805817556</x:v>
      </x:c>
      <x:c r="Y964" s="27" t="str">
        <x:f>IF(OR(M964="",U964=""),"未交叉",IF(M964*U964&gt;0,"同向",IF(M964*U964&lt;0,"背离","一侧持平")))</x:f>
        <x:v>未交叉</x:v>
      </x:c>
    </x:row>
  </x:sheetData>
  <x:pageMargins left="0.7" right="0.7" top="0.75" bottom="0.75" header="0.3" footer="0.3"/>
  <x:tableParts count="1">
    <x:tablePart xmlns:r="http://schemas.openxmlformats.org/officeDocument/2006/relationships" r:id="R988107436441407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38" hidden="0" customWidth="1"/>
    <x:col min="4" max="4" width="48" hidden="0" customWidth="1"/>
    <x:col min="5" max="5" width="52" hidden="0" customWidth="1"/>
    <x:col min="6" max="6" width="34" hidden="0" customWidth="1"/>
    <x:col min="7" max="7" width="40" hidden="0" customWidth="1"/>
    <x:col min="8" max="8" width="20" hidden="0" customWidth="1"/>
  </x:cols>
  <x:sheetData>
    <x:row r="1">
      <x:c r="A1" s="30" t="str">
        <x:v>选题决策与下一轮研究</x:v>
      </x:c>
      <x:c r="B1" s="30"/>
      <x:c r="C1" s="30"/>
      <x:c r="D1" s="30"/>
      <x:c r="E1" s="30"/>
      <x:c r="F1" s="30"/>
      <x:c r="G1" s="30"/>
      <x:c r="H1" s="30"/>
    </x:row>
    <x:row r="2">
      <x:c r="A2" s="30"/>
      <x:c r="B2" s="30"/>
      <x:c r="C2" s="30"/>
      <x:c r="D2" s="30"/>
      <x:c r="E2" s="30"/>
      <x:c r="F2" s="30"/>
      <x:c r="G2" s="30"/>
      <x:c r="H2" s="30"/>
    </x:row>
    <x:row r="3">
      <x:c r="A3" s="35" t="str">
        <x:v>本页是研究判断，不是 content 成稿。优先级同时考虑证据强度、差异化和独立开发者可行动性。</x:v>
      </x:c>
      <x:c r="B3" s="35"/>
      <x:c r="C3" s="35"/>
      <x:c r="D3" s="35"/>
      <x:c r="E3" s="35"/>
      <x:c r="F3" s="35"/>
      <x:c r="G3" s="35"/>
      <x:c r="H3" s="35"/>
    </x:row>
    <x:row r="4">
      <x:c r="A4" s="6" t="str">
        <x:v>优先级</x:v>
      </x:c>
      <x:c r="B4" s="6" t="str">
        <x:v>状态</x:v>
      </x:c>
      <x:c r="C4" s="6" t="str">
        <x:v>方向</x:v>
      </x:c>
      <x:c r="D4" s="6" t="str">
        <x:v>当前判断</x:v>
      </x:c>
      <x:c r="E4" s="6" t="str">
        <x:v>证据与优势</x:v>
      </x:c>
      <x:c r="F4" s="6" t="str">
        <x:v>主要缺口</x:v>
      </x:c>
      <x:c r="G4" s="6" t="str">
        <x:v>下一步</x:v>
      </x:c>
      <x:c r="H4" s="6" t="str">
        <x:v>适合形式</x:v>
      </x:c>
    </x:row>
    <x:row r="5" ht="260" customHeight="1">
      <x:c r="A5" s="71" t="n">
        <x:v>1</x:v>
      </x:c>
      <x:c r="B5" s="71" t="str">
        <x:v>推荐</x:v>
      </x:c>
      <x:c r="C5" s="71" t="str">
        <x:v>AI 吃走了支付流量的大头，但独立开发者更值得看被 AI 遮住的专业小工具</x:v>
      </x:c>
      <x:c r="D5" s="71" t="str">
        <x:v>规模上，AI 内容生成、AI 开发工具占据 Stripe Checkout 可识别产品来源的主要份额；机会适配上，FastSpring 与 PayPro Global 中跨平台桌面/移动专业工具更集中、竞争更可控。最值得继续深挖的不是再做一个通用生成器，而是围绕明确职业任务、设备问题或创作流程的专业工具。</x:v>
      </x:c>
      <x:c r="E5" s="71" t="str">
        <x:v>11 个有数据入口、963 条来源记录；其中 5 个为专用支付/结账入口。
• Stripe Checkout 前 100 条中，剔除支付平台、自引荐和渠道域名后，AI 相关来源占可识别产品流量份额约 62.2%。
• 按专用入口总引荐访问量×来源份额估算，AI 相关条目占高置信样本约 57.5%；该数仅作结构比较，不能解释为订单或收入。
• FastSpring 可识别产品来源中，桌面/移动专业工具占约 69.0%；PayPro Global 中约 35.5%，另有约 36.0% 为开发者工具与互联网基础设施。
• Razorpay Payment Pages 可识别产品来源中，教育/课程/知识产品约占 48.4%，显示区域支付轨道对应不同商业结构。
• 10 个代表站点交叉验证里，8 个付款侧变化与站点访问量同向；但 Toolscale 与 Uare 的推算支付互动量高于站点访问量，说明绝对量不可用于收入估算。</x:v>
      </x:c>
      <x:c r="F5" s="71" t="str">
        <x:v>专业工具案例仍需补价格、许可证、更新频率、评价和连续月份趋势。</x:v>
      </x:c>
      <x:c r="G5" s="71" t="str">
        <x:v>先补 RoughAnimator、ADB AppControl、Bombich、Poweramp 四个产品，再决定是否写成产业分析。</x:v>
      </x:c>
      <x:c r="H5" s="71" t="str">
        <x:v>数据型行业分析</x:v>
      </x:c>
    </x:row>
    <x:row r="6" ht="96" customHeight="1">
      <x:c r="A6" s="69" t="n">
        <x:v>2</x:v>
      </x:c>
      <x:c r="B6" s="69" t="str">
        <x:v>备选</x:v>
      </x:c>
      <x:c r="C6" s="69" t="str">
        <x:v>支付页里最拥挤的赛道：AI 变现已经从生成器扩展到 3D、视频、语音和应用构建</x:v>
      </x:c>
      <x:c r="D6" s="69" t="str">
        <x:v>Higgsfield、Meshy、Emergent、fal 等同时出现高付款侧份额或访问增长，材料足够；缺点是结论接近市场共识，独立开发机会不够锋利。</x:v>
      </x:c>
      <x:c r="E6" s="69" t="str">
        <x:v>Higgsfield、Meshy、Emergent、fal 等同时出现高付款侧份额或访问增长，材料足够；缺点是结论接近市场共识，独立开发机会不够锋利。</x:v>
      </x:c>
      <x:c r="F6" s="69" t="str">
        <x:v>需要更长时间序列或更多公开经营证据。</x:v>
      </x:c>
      <x:c r="G6" s="69" t="str">
        <x:v>暂列观察池。</x:v>
      </x:c>
      <x:c r="H6" s="69" t="str">
        <x:v>专题研究</x:v>
      </x:c>
    </x:row>
    <x:row r="7" ht="96" customHeight="1">
      <x:c r="A7" s="69" t="n">
        <x:v>3</x:v>
      </x:c>
      <x:c r="B7" s="69" t="str">
        <x:v>备选</x:v>
      </x:c>
      <x:c r="C7" s="69" t="str">
        <x:v>被 SaaS 叙事忽略的现金流：老派下载软件和跨平台专业工具仍在卖钱</x:v>
      </x:c>
      <x:c r="D7" s="69" t="str">
        <x:v>FastSpring、PayPro Global 的结构非常集中，RoughAnimator、ADB AppControl 等案例具体；适合后续做更窄、更有差异化的选题。</x:v>
      </x:c>
      <x:c r="E7" s="69" t="str">
        <x:v>FastSpring、PayPro Global 的结构非常集中，RoughAnimator、ADB AppControl 等案例具体；适合后续做更窄、更有差异化的选题。</x:v>
      </x:c>
      <x:c r="F7" s="69" t="str">
        <x:v>需补产品经营细节与长期趋势。</x:v>
      </x:c>
      <x:c r="G7" s="69" t="str">
        <x:v>优先作为推荐方向的案例支线补充。</x:v>
      </x:c>
      <x:c r="H7" s="69" t="str">
        <x:v>专题研究</x:v>
      </x:c>
    </x:row>
    <x:row r="8" ht="96" customHeight="1">
      <x:c r="A8" s="69" t="n">
        <x:v>4</x:v>
      </x:c>
      <x:c r="B8" s="69" t="str">
        <x:v>备选</x:v>
      </x:c>
      <x:c r="C8" s="69" t="str">
        <x:v>印度支付页上的 AI 课程爆发：热点技能如何通过区域化支付快速变现</x:v>
      </x:c>
      <x:c r="D8" s="69" t="str">
        <x:v>Razorpay 样本信号强，增长极端；但单月脉冲和站点信息不足，需再补价格、产品页和连续月份。</x:v>
      </x:c>
      <x:c r="E8" s="69" t="str">
        <x:v>Razorpay 样本信号强，增长极端；但单月脉冲和站点信息不足，需再补价格、产品页和连续月份。</x:v>
      </x:c>
      <x:c r="F8" s="69" t="str">
        <x:v>需判断单月爆发是否为一次性发售。</x:v>
      </x:c>
      <x:c r="G8" s="69" t="str">
        <x:v>暂列观察池。</x:v>
      </x:c>
      <x:c r="H8" s="69" t="str">
        <x:v>专题研究</x:v>
      </x:c>
    </x:row>
    <x:row r="9" ht="96" customHeight="1">
      <x:c r="A9" s="69" t="n">
        <x:v>5</x:v>
      </x:c>
      <x:c r="B9" s="69" t="str">
        <x:v>备选</x:v>
      </x:c>
      <x:c r="C9" s="69" t="str">
        <x:v>拆解一个流行找项目方法：为什么 Similarweb 支付引荐不能证明月入 1 万美元</x:v>
      </x:c>
      <x:c r="D9" s="69" t="str">
        <x:v>反证充足，能纠正常见误用；更适合方法论/观点稿，不完全满足“找机会”的首要读者任务。</x:v>
      </x:c>
      <x:c r="E9" s="69" t="str">
        <x:v>反证充足，能纠正常见误用；更适合方法论/观点稿，不完全满足“找机会”的首要读者任务。</x:v>
      </x:c>
      <x:c r="F9" s="69" t="str">
        <x:v>需要更长时间序列或更多公开经营证据。</x:v>
      </x:c>
      <x:c r="G9" s="69" t="str">
        <x:v>暂列观察池。</x:v>
      </x:c>
      <x:c r="H9" s="69" t="str">
        <x:v>方法论/观点稿</x:v>
      </x:c>
    </x:row>
    <x:row r="12">
      <x:c r="A12" s="74" t="str">
        <x:v>下一轮补充材料</x:v>
      </x:c>
      <x:c r="B12" s="74"/>
      <x:c r="C12" s="74"/>
      <x:c r="D12" s="74"/>
      <x:c r="E12" s="74"/>
      <x:c r="F12" s="74"/>
      <x:c r="G12" s="74"/>
      <x:c r="H12" s="74"/>
    </x:row>
    <x:row r="13">
      <x:c r="A13" s="83" t="str">
        <x:v>1. 对 RoughAnimator、ADB AppControl、Bombich、Poweramp 等专业工具补价格、许可证、更新频率、用户评价和域名年龄。</x:v>
      </x:c>
      <x:c r="B13" s="84"/>
      <x:c r="C13" s="84"/>
      <x:c r="D13" s="84"/>
      <x:c r="E13" s="84"/>
      <x:c r="F13" s="84"/>
      <x:c r="G13" s="84"/>
      <x:c r="H13" s="85"/>
    </x:row>
    <x:row r="14">
      <x:c r="A14" s="94" t="str">
        <x:v>2. 对 Stripe Checkout 的 AI 大户按 3D、视频、语音、开发平台再细分，并补连续 6 个月的站点访问趋势。</x:v>
      </x:c>
      <x:c r="B14" s="95"/>
      <x:c r="C14" s="95"/>
      <x:c r="D14" s="95"/>
      <x:c r="E14" s="95"/>
      <x:c r="F14" s="95"/>
      <x:c r="G14" s="95"/>
      <x:c r="H14" s="96"/>
    </x:row>
    <x:row r="15">
      <x:c r="A15" s="83" t="str">
        <x:v>3. 对 Razorpay 的 AI 影视课程补产品页、售价、授课交付和活动时间，判断是持续业务还是一次性发售。</x:v>
      </x:c>
      <x:c r="B15" s="84"/>
      <x:c r="C15" s="84"/>
      <x:c r="D15" s="84"/>
      <x:c r="E15" s="84"/>
      <x:c r="F15" s="84"/>
      <x:c r="G15" s="84"/>
      <x:c r="H15" s="85"/>
    </x:row>
    <x:row r="16">
      <x:c r="A16" s="94" t="str">
        <x:v>4. 若要判断收入，需要再引入公开营收、创始人自述、价格×合理转化率区间，并明确上下限假设。</x:v>
      </x:c>
      <x:c r="B16" s="95"/>
      <x:c r="C16" s="95"/>
      <x:c r="D16" s="95"/>
      <x:c r="E16" s="95"/>
      <x:c r="F16" s="95"/>
      <x:c r="G16" s="95"/>
      <x:c r="H16" s="96"/>
    </x:row>
  </x:sheetData>
  <x:mergeCells>
    <x:mergeCell ref="A1:H2"/>
    <x:mergeCell ref="A3:H3"/>
    <x:mergeCell ref="A12:H12"/>
    <x:mergeCell ref="A13:H13"/>
    <x:mergeCell ref="A14:H14"/>
    <x:mergeCell ref="A15:H15"/>
    <x:mergeCell ref="A16:H16"/>
  </x:mergeCells>
  <x:pageMargins left="0.7" right="0.7" top="0.75" bottom="0.75" header="0.3" footer="0.3"/>
  <x:tableParts count="1">
    <x:tablePart xmlns:r="http://schemas.openxmlformats.org/officeDocument/2006/relationships" r:id="Rd1640f35836e458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3" hidden="0" customWidth="1"/>
    <x:col min="2" max="2" width="9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30" t="str">
        <x:v>方法、口径与不能推出的结论</x:v>
      </x:c>
      <x:c r="B1" s="30"/>
      <x:c r="C1" s="30"/>
      <x:c r="D1" s="30"/>
      <x:c r="E1" s="30"/>
      <x:c r="F1" s="30"/>
      <x:c r="G1" s="30"/>
      <x:c r="H1" s="30"/>
    </x:row>
    <x:row r="2">
      <x:c r="A2" s="30"/>
      <x:c r="B2" s="30"/>
      <x:c r="C2" s="30"/>
      <x:c r="D2" s="30"/>
      <x:c r="E2" s="30"/>
      <x:c r="F2" s="30"/>
      <x:c r="G2" s="30"/>
      <x:c r="H2" s="30"/>
    </x:row>
    <x:row r="3">
      <x:c r="A3" s="35" t="str">
        <x:v>这套方法是候选发现器，不是月入证明器。所有数值均需结合产品页、价格、公开经营信息和连续月份趋势解释。</x:v>
      </x:c>
      <x:c r="B3" s="35"/>
      <x:c r="C3" s="35"/>
      <x:c r="D3" s="35"/>
      <x:c r="E3" s="35"/>
      <x:c r="F3" s="35"/>
      <x:c r="G3" s="35"/>
      <x:c r="H3" s="35"/>
    </x:row>
    <x:row r="5">
      <x:c r="A5" s="6" t="str">
        <x:v>项目</x:v>
      </x:c>
      <x:c r="B5" s="6" t="str">
        <x:v>口径</x:v>
      </x:c>
    </x:row>
    <x:row r="6" ht="34" customHeight="1">
      <x:c r="A6" s="98" t="str">
        <x:v>研究状态</x:v>
      </x:c>
      <x:c r="B6" s="69" t="str">
        <x:v>第一轮完成，未生产内容</x:v>
      </x:c>
    </x:row>
    <x:row r="7" ht="34" customHeight="1">
      <x:c r="A7" s="98" t="str">
        <x:v>数据月份</x:v>
      </x:c>
      <x:c r="B7" s="69" t="str">
        <x:v>Jul 2026</x:v>
      </x:c>
    </x:row>
    <x:row r="8" ht="34" customHeight="1">
      <x:c r="A8" s="98" t="str">
        <x:v>地区 / 设备</x:v>
      </x:c>
      <x:c r="B8" s="69" t="str">
        <x:v>Worldwide / Total</x:v>
      </x:c>
    </x:row>
    <x:row r="9" ht="34" customHeight="1">
      <x:c r="A9" s="98" t="str">
        <x:v>流量范围</x:v>
      </x:c>
      <x:c r="B9" s="69" t="str">
        <x:v>All traffic / Include subdomains</x:v>
      </x:c>
    </x:row>
    <x:row r="10" ht="34" customHeight="1">
      <x:c r="A10" s="98" t="str">
        <x:v>有效入口</x:v>
      </x:c>
      <x:c r="B10" s="69" t="str">
        <x:v>11 个；高置信入口 5 个</x:v>
      </x:c>
    </x:row>
    <x:row r="11" ht="34" customHeight="1">
      <x:c r="A11" s="98" t="str">
        <x:v>来源记录</x:v>
      </x:c>
      <x:c r="B11" s="69" t="str">
        <x:v>963 条；每个入口最多前 100 条</x:v>
      </x:c>
    </x:row>
    <x:row r="12" ht="34" customHeight="1">
      <x:c r="A12" s="98" t="str">
        <x:v>Similarweb credits</x:v>
      </x:c>
      <x:c r="B12" s="69" t="str">
        <x:v>0；只读取会员页面，没有下载、导出或 API 调用</x:v>
      </x:c>
    </x:row>
    <x:row r="13" ht="34" customHeight="1">
      <x:c r="A13" s="98" t="str">
        <x:v>核心代理变量</x:v>
      </x:c>
      <x:c r="B13" s="69" t="str">
        <x:v>把支付服务商入口的 Incoming referral visits 视为付款意图信号，而不是交易。</x:v>
      </x:c>
    </x:row>
    <x:row r="14" ht="34" customHeight="1">
      <x:c r="A14" s="98" t="str">
        <x:v>高置信定义</x:v>
      </x:c>
      <x:c r="B14" s="69" t="str">
        <x:v>托管的结账或支付页面子域。</x:v>
      </x:c>
    </x:row>
    <x:row r="15" ht="34" customHeight="1">
      <x:c r="A15" s="98" t="str">
        <x:v>中置信定义</x:v>
      </x:c>
      <x:c r="B15" s="69" t="str">
        <x:v>支付服务商主域，混有结账、文档、账户和营销流量。</x:v>
      </x:c>
    </x:row>
    <x:row r="16" ht="34" customHeight="1">
      <x:c r="A16" s="98" t="str">
        <x:v>来源份额环比</x:v>
      </x:c>
      <x:c r="B16" s="69" t="str">
        <x:v>Similarweb 表中 Change：来源在该入口引荐流量里的份额环比，不是订单量增长</x:v>
      </x:c>
    </x:row>
    <x:row r="17" ht="34" customHeight="1">
      <x:c r="A17" s="98" t="str">
        <x:v>推算互动量</x:v>
      </x:c>
      <x:c r="B17" s="69" t="str">
        <x:v>ROUND(入口总引荐访问 × 来源份额, 0)，只用于同一研究内的结构比较</x:v>
      </x:c>
    </x:row>
    <x:row r="18" ht="34" customHeight="1">
      <x:c r="A18" s="98" t="str">
        <x:v>入口归一化份额</x:v>
      </x:c>
      <x:c r="B18" s="69" t="str">
        <x:v>剔除噪音后，每个来源的推算互动量 / 该入口样本推算互动量之和</x:v>
      </x:c>
    </x:row>
    <x:row r="19" ht="34" customHeight="1">
      <x:c r="A19" s="98" t="str">
        <x:v>付款侧信号分</x:v>
      </x:c>
      <x:c r="B19" s="69" t="str">
        <x:v>0–10 的筛选优先级：入口置信度、来源份额与份额变化共同构成；不代表收入</x:v>
      </x:c>
    </x:row>
    <x:row r="22">
      <x:c r="A22" s="101" t="str">
        <x:v>已知限制</x:v>
      </x:c>
      <x:c r="B22" s="101"/>
      <x:c r="C22" s="101"/>
      <x:c r="D22" s="101"/>
      <x:c r="E22" s="101"/>
      <x:c r="F22" s="101"/>
      <x:c r="G22" s="101"/>
      <x:c r="H22" s="101"/>
    </x:row>
    <x:row r="23" ht="32" customHeight="1">
      <x:c r="A23" s="110" t="str">
        <x:v>1. 来源访问不等于订单，重复跳转、失败支付和回跳都可能计入。</x:v>
      </x:c>
      <x:c r="B23" s="111"/>
      <x:c r="C23" s="111"/>
      <x:c r="D23" s="111"/>
      <x:c r="E23" s="111"/>
      <x:c r="F23" s="111"/>
      <x:c r="G23" s="111"/>
      <x:c r="H23" s="112"/>
    </x:row>
    <x:row r="24" ht="32" customHeight="1">
      <x:c r="A24" s="94" t="str">
        <x:v>2. Change 是来源份额的环比变化，不是订单量或绝对引荐访问量的增长。</x:v>
      </x:c>
      <x:c r="B24" s="95"/>
      <x:c r="C24" s="95"/>
      <x:c r="D24" s="95"/>
      <x:c r="E24" s="95"/>
      <x:c r="F24" s="95"/>
      <x:c r="G24" s="95"/>
      <x:c r="H24" s="96"/>
    </x:row>
    <x:row r="25" ht="32" customHeight="1">
      <x:c r="A25" s="110" t="str">
        <x:v>3. Similarweb 是模型估算，不是支付平台后台数据；小站误差尤其大。</x:v>
      </x:c>
      <x:c r="B25" s="111"/>
      <x:c r="C25" s="111"/>
      <x:c r="D25" s="111"/>
      <x:c r="E25" s="111"/>
      <x:c r="F25" s="111"/>
      <x:c r="G25" s="111"/>
      <x:c r="H25" s="112"/>
    </x:row>
    <x:row r="26" ht="32" customHeight="1">
      <x:c r="A26" s="94" t="str">
        <x:v>4. 主域会混入文档、登录、账号、营销和合作伙伴流量。</x:v>
      </x:c>
      <x:c r="B26" s="95"/>
      <x:c r="C26" s="95"/>
      <x:c r="D26" s="95"/>
      <x:c r="E26" s="95"/>
      <x:c r="F26" s="95"/>
      <x:c r="G26" s="95"/>
      <x:c r="H26" s="96"/>
    </x:row>
    <x:row r="27" ht="32" customHeight="1">
      <x:c r="A27" s="110" t="str">
        <x:v>5. 链接缩短、社交平台、联盟追踪会隐藏真实商户域名。</x:v>
      </x:c>
      <x:c r="B27" s="111"/>
      <x:c r="C27" s="111"/>
      <x:c r="D27" s="111"/>
      <x:c r="E27" s="111"/>
      <x:c r="F27" s="111"/>
      <x:c r="G27" s="111"/>
      <x:c r="H27" s="112"/>
    </x:row>
    <x:row r="28" ht="32" customHeight="1">
      <x:c r="A28" s="94" t="str">
        <x:v>6. 本轮仅 2026 年 7 月、全球、全设备、每个入口最多前 100 条。</x:v>
      </x:c>
      <x:c r="B28" s="95"/>
      <x:c r="C28" s="95"/>
      <x:c r="D28" s="95"/>
      <x:c r="E28" s="95"/>
      <x:c r="F28" s="95"/>
      <x:c r="G28" s="95"/>
      <x:c r="H28" s="96"/>
    </x:row>
    <x:row r="29" ht="32" customHeight="1">
      <x:c r="A29" s="110" t="str">
        <x:v>7. 服务端结账、App 内购、自动续费和不发生网页跳转的支付可能被漏掉。</x:v>
      </x:c>
      <x:c r="B29" s="111"/>
      <x:c r="C29" s="111"/>
      <x:c r="D29" s="111"/>
      <x:c r="E29" s="111"/>
      <x:c r="F29" s="111"/>
      <x:c r="G29" s="111"/>
      <x:c r="H29" s="112"/>
    </x:row>
    <x:row r="30" ht="32" customHeight="1">
      <x:c r="A30" s="94" t="str">
        <x:v>8. 不同地区支付入口的行业结构受地域和商户覆盖影响，不能直接代表全球市场。</x:v>
      </x:c>
      <x:c r="B30" s="95"/>
      <x:c r="C30" s="95"/>
      <x:c r="D30" s="95"/>
      <x:c r="E30" s="95"/>
      <x:c r="F30" s="95"/>
      <x:c r="G30" s="95"/>
      <x:c r="H30" s="96"/>
    </x:row>
    <x:row r="31" ht="32" customHeight="1">
      <x:c r="A31" s="110" t="str">
        <x:v>9. 没有售价、转化率、退款和续费数据，不能推断收入或月入门槛。</x:v>
      </x:c>
      <x:c r="B31" s="111"/>
      <x:c r="C31" s="111"/>
      <x:c r="D31" s="111"/>
      <x:c r="E31" s="111"/>
      <x:c r="F31" s="111"/>
      <x:c r="G31" s="111"/>
      <x:c r="H31" s="112"/>
    </x:row>
  </x:sheetData>
  <x:mergeCells>
    <x:mergeCell ref="A1:H2"/>
    <x:mergeCell ref="A3:H3"/>
    <x:mergeCell ref="A22:H22"/>
    <x:mergeCell ref="A23:H23"/>
    <x:mergeCell ref="A24:H24"/>
    <x:mergeCell ref="A25:H25"/>
    <x:mergeCell ref="A26:H26"/>
    <x:mergeCell ref="A27:H27"/>
    <x:mergeCell ref="A28:H28"/>
    <x:mergeCell ref="A29:H29"/>
    <x:mergeCell ref="A30:H30"/>
    <x:mergeCell ref="A31:H31"/>
  </x:mergeCells>
  <x:pageMargins left="0.7" right="0.7" top="0.75" bottom="0.75" header="0.3" footer="0.3"/>
</x:worksheet>
</file>